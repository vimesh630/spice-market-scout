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VERGER\Spice_Price_Prediction\Pepper\"/>
    </mc:Choice>
  </mc:AlternateContent>
  <xr:revisionPtr revIDLastSave="0" documentId="13_ncr:1_{CAB9E72C-D1B8-4DF4-9186-E6CB08D3B8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Sheet1!$A$1:$C$1350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07" i="1" l="1"/>
  <c r="D1006" i="1"/>
  <c r="D1005" i="1"/>
  <c r="D1004" i="1"/>
  <c r="D1008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8" i="1"/>
  <c r="D987" i="1"/>
  <c r="D986" i="1"/>
  <c r="D985" i="1"/>
  <c r="D984" i="1"/>
  <c r="D989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69" i="1"/>
  <c r="D968" i="1"/>
  <c r="D967" i="1"/>
  <c r="D966" i="1"/>
  <c r="D970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0" i="1"/>
  <c r="D949" i="1"/>
  <c r="D948" i="1"/>
  <c r="D947" i="1"/>
  <c r="D951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1" i="1"/>
  <c r="D930" i="1"/>
  <c r="D929" i="1"/>
  <c r="D928" i="1"/>
  <c r="D932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2" i="1"/>
  <c r="D911" i="1"/>
  <c r="D910" i="1"/>
  <c r="D909" i="1"/>
  <c r="D913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3" i="1"/>
  <c r="D892" i="1"/>
  <c r="D891" i="1"/>
  <c r="D890" i="1"/>
  <c r="D894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4" i="1"/>
  <c r="D873" i="1"/>
  <c r="D872" i="1"/>
  <c r="D871" i="1"/>
  <c r="D875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5" i="1"/>
  <c r="D854" i="1"/>
  <c r="D853" i="1"/>
  <c r="D852" i="1"/>
  <c r="D856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6" i="1"/>
  <c r="D835" i="1"/>
  <c r="D834" i="1"/>
  <c r="D833" i="1"/>
  <c r="D837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7" i="1"/>
  <c r="D816" i="1"/>
  <c r="D815" i="1"/>
  <c r="D814" i="1"/>
  <c r="D818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8" i="1"/>
  <c r="D797" i="1"/>
  <c r="D796" i="1"/>
  <c r="D795" i="1"/>
  <c r="D799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79" i="1"/>
  <c r="D778" i="1"/>
  <c r="D777" i="1"/>
  <c r="D776" i="1"/>
  <c r="D780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0" i="1"/>
  <c r="D759" i="1"/>
  <c r="D758" i="1"/>
  <c r="D757" i="1"/>
  <c r="D761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1" i="1"/>
  <c r="D740" i="1"/>
  <c r="D739" i="1"/>
  <c r="D738" i="1"/>
  <c r="D742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2" i="1"/>
  <c r="D721" i="1"/>
  <c r="D720" i="1"/>
  <c r="D719" i="1"/>
  <c r="D723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3" i="1"/>
  <c r="D702" i="1"/>
  <c r="D701" i="1"/>
  <c r="D700" i="1"/>
  <c r="D704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4" i="1"/>
  <c r="D683" i="1"/>
  <c r="D682" i="1"/>
  <c r="D681" i="1"/>
  <c r="D685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5" i="1"/>
  <c r="D664" i="1"/>
  <c r="D663" i="1"/>
  <c r="D662" i="1"/>
  <c r="D666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6" i="1"/>
  <c r="D645" i="1"/>
  <c r="D644" i="1"/>
  <c r="D643" i="1"/>
  <c r="D647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7" i="1"/>
  <c r="D626" i="1"/>
  <c r="D625" i="1"/>
  <c r="D624" i="1"/>
  <c r="D628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8" i="1"/>
  <c r="D607" i="1"/>
  <c r="D606" i="1"/>
  <c r="D605" i="1"/>
  <c r="D609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89" i="1"/>
  <c r="D588" i="1"/>
  <c r="D587" i="1"/>
  <c r="D586" i="1"/>
  <c r="D590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0" i="1"/>
  <c r="D569" i="1"/>
  <c r="D568" i="1"/>
  <c r="D567" i="1"/>
  <c r="D571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1" i="1"/>
  <c r="D550" i="1"/>
  <c r="D549" i="1"/>
  <c r="D548" i="1"/>
  <c r="D552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2" i="1"/>
  <c r="D531" i="1"/>
  <c r="D530" i="1"/>
  <c r="D529" i="1"/>
  <c r="D533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3" i="1"/>
  <c r="D512" i="1"/>
  <c r="D511" i="1"/>
  <c r="D510" i="1"/>
  <c r="D514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4" i="1"/>
  <c r="D493" i="1"/>
  <c r="D492" i="1"/>
  <c r="D491" i="1"/>
  <c r="D495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5" i="1"/>
  <c r="D474" i="1"/>
  <c r="D473" i="1"/>
  <c r="D472" i="1"/>
  <c r="D476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6" i="1"/>
  <c r="D455" i="1"/>
  <c r="D454" i="1"/>
  <c r="D453" i="1"/>
  <c r="D457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7" i="1"/>
  <c r="D436" i="1"/>
  <c r="D435" i="1"/>
  <c r="D434" i="1"/>
  <c r="D438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8" i="1"/>
  <c r="D417" i="1"/>
  <c r="D416" i="1"/>
  <c r="D415" i="1"/>
  <c r="D419" i="1"/>
  <c r="D413" i="1"/>
  <c r="D414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380" i="1"/>
  <c r="D379" i="1"/>
  <c r="D378" i="1"/>
  <c r="D377" i="1"/>
  <c r="D381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1" i="1"/>
  <c r="D360" i="1"/>
  <c r="D359" i="1"/>
  <c r="D358" i="1"/>
  <c r="D362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2" i="1"/>
  <c r="D340" i="1"/>
  <c r="D339" i="1"/>
  <c r="D343" i="1"/>
  <c r="D338" i="1"/>
  <c r="D337" i="1"/>
  <c r="D336" i="1"/>
  <c r="D335" i="1"/>
  <c r="D334" i="1"/>
  <c r="D333" i="1"/>
  <c r="D332" i="1"/>
  <c r="D330" i="1"/>
  <c r="D329" i="1"/>
  <c r="D328" i="1"/>
  <c r="D327" i="1"/>
  <c r="D326" i="1"/>
  <c r="D325" i="1"/>
  <c r="D323" i="1"/>
  <c r="D322" i="1"/>
  <c r="D320" i="1"/>
  <c r="D324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6" i="1"/>
  <c r="D304" i="1"/>
  <c r="D303" i="1"/>
  <c r="D302" i="1"/>
  <c r="D301" i="1"/>
  <c r="D305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5" i="1"/>
  <c r="D284" i="1"/>
  <c r="D283" i="1"/>
  <c r="D282" i="1"/>
  <c r="D286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6" i="1"/>
  <c r="D265" i="1"/>
  <c r="D264" i="1"/>
  <c r="D263" i="1"/>
  <c r="D267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7" i="1"/>
  <c r="D246" i="1"/>
  <c r="D245" i="1"/>
  <c r="D244" i="1"/>
  <c r="D248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3" i="1"/>
  <c r="D204" i="1"/>
  <c r="D202" i="1"/>
  <c r="D201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6" i="1"/>
  <c r="D127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<sst xmlns="http://schemas.openxmlformats.org/spreadsheetml/2006/main" count="2779" uniqueCount="31">
  <si>
    <t>Date</t>
  </si>
  <si>
    <t>Grade</t>
  </si>
  <si>
    <t>Region</t>
  </si>
  <si>
    <t>Regional_Price</t>
  </si>
  <si>
    <t>Seasonal_Impact</t>
  </si>
  <si>
    <t>Temperature</t>
  </si>
  <si>
    <t>Rainfall</t>
  </si>
  <si>
    <t>Exchange_Rate</t>
  </si>
  <si>
    <t>Inflation_Rate</t>
  </si>
  <si>
    <t>Fuel_Price</t>
  </si>
  <si>
    <t>GR1</t>
  </si>
  <si>
    <t>Kandy</t>
  </si>
  <si>
    <t>Matale</t>
  </si>
  <si>
    <t>Nuwaraeliya</t>
  </si>
  <si>
    <t>Kegalle</t>
  </si>
  <si>
    <t>Ratnapura</t>
  </si>
  <si>
    <t>Badulla</t>
  </si>
  <si>
    <t>Kurunegala</t>
  </si>
  <si>
    <t>Colombo</t>
  </si>
  <si>
    <t>Gampaha</t>
  </si>
  <si>
    <t>Kalutara</t>
  </si>
  <si>
    <t>Galle</t>
  </si>
  <si>
    <t>Matara</t>
  </si>
  <si>
    <t>Hambantota</t>
  </si>
  <si>
    <t>Monaragala</t>
  </si>
  <si>
    <t>White</t>
  </si>
  <si>
    <t>NaN</t>
  </si>
  <si>
    <t>Vietnam_FOB_USD</t>
  </si>
  <si>
    <t>Vietnam_Harvest_Flag</t>
  </si>
  <si>
    <t>India_Domestic_Price</t>
  </si>
  <si>
    <t>Urea_Price_USD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</si>
</sst>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50"/>
  <sheetViews>
    <sheetView tabSelected="1" topLeftCell="A375" zoomScale="113" workbookViewId="0">
      <selection activeCell="N990" sqref="N990"/>
    </sheetView>
  </sheetViews>
  <sheetFormatPr defaultRowHeight="14.5" x14ac:dyDescent="0.35"/>
  <cols>
    <col min="1" max="1" width="9.81640625" bestFit="1" customWidth="1"/>
    <col min="2" max="2" width="11.26953125" bestFit="1" customWidth="1"/>
    <col min="3" max="3" width="11.1796875" bestFit="1" customWidth="1"/>
    <col min="4" max="4" width="20.1796875" bestFit="1" customWidth="1"/>
    <col min="5" max="5" width="15" bestFit="1" customWidth="1"/>
    <col min="6" max="6" width="11.7265625" bestFit="1" customWidth="1"/>
    <col min="8" max="8" width="13.453125" bestFit="1" customWidth="1"/>
    <col min="9" max="9" width="12.54296875" bestFit="1" customWidth="1"/>
    <col min="10" max="10" width="9.26953125" bestFit="1" customWidth="1"/>
    <col min="11" max="11" width="16.81640625" bestFit="1" customWidth="1"/>
    <col min="12" max="12" width="19.6328125" bestFit="1" customWidth="1"/>
    <col min="13" max="13" width="14.54296875" bestFit="1" customWidth="1"/>
    <col min="14" max="14" width="19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27</v>
      </c>
      <c r="L1" t="s">
        <v>28</v>
      </c>
      <c r="M1" t="s">
        <v>30</v>
      </c>
      <c r="N1" t="s">
        <v>29</v>
      </c>
    </row>
    <row r="2" spans="1:14" x14ac:dyDescent="0.35">
      <c r="A2" s="1">
        <v>43831</v>
      </c>
      <c r="B2" t="s">
        <v>10</v>
      </c>
      <c r="C2" t="s">
        <v>11</v>
      </c>
      <c r="D2">
        <f>AVERAGE(646,620,583,565)</f>
        <v>603.5</v>
      </c>
      <c r="E2">
        <v>1</v>
      </c>
      <c r="F2">
        <v>28.454937000000001</v>
      </c>
      <c r="G2">
        <v>7.4000006000000003</v>
      </c>
      <c r="H2">
        <v>181.40360000000001</v>
      </c>
      <c r="I2">
        <v>5.7</v>
      </c>
      <c r="J2">
        <v>104</v>
      </c>
      <c r="L2">
        <v>0</v>
      </c>
    </row>
    <row r="3" spans="1:14" x14ac:dyDescent="0.35">
      <c r="A3" s="1">
        <v>43831</v>
      </c>
      <c r="B3" t="s">
        <v>10</v>
      </c>
      <c r="C3" t="s">
        <v>12</v>
      </c>
      <c r="D3">
        <f>AVERAGE(536,603,620,668)</f>
        <v>606.75</v>
      </c>
      <c r="E3">
        <v>1</v>
      </c>
      <c r="F3">
        <v>29.612776</v>
      </c>
      <c r="G3">
        <v>10</v>
      </c>
      <c r="H3">
        <v>181.40360000000001</v>
      </c>
      <c r="I3">
        <v>5.7</v>
      </c>
      <c r="J3">
        <v>104</v>
      </c>
      <c r="L3">
        <v>0</v>
      </c>
    </row>
    <row r="4" spans="1:14" x14ac:dyDescent="0.35">
      <c r="A4" s="1">
        <v>43831</v>
      </c>
      <c r="B4" t="s">
        <v>10</v>
      </c>
      <c r="C4" t="s">
        <v>13</v>
      </c>
      <c r="D4">
        <f>AVERAGE(585,595,557,543)</f>
        <v>570</v>
      </c>
      <c r="E4">
        <v>1</v>
      </c>
      <c r="F4">
        <v>20.404142</v>
      </c>
      <c r="G4">
        <v>18.100000000000001</v>
      </c>
      <c r="H4">
        <v>181.40360000000001</v>
      </c>
      <c r="I4">
        <v>5.7</v>
      </c>
      <c r="J4">
        <v>104</v>
      </c>
      <c r="L4">
        <v>0</v>
      </c>
    </row>
    <row r="5" spans="1:14" x14ac:dyDescent="0.35">
      <c r="A5" s="1">
        <v>43831</v>
      </c>
      <c r="B5" t="s">
        <v>10</v>
      </c>
      <c r="C5" t="s">
        <v>14</v>
      </c>
      <c r="D5">
        <f>AVERAGE(550,566,616,650)</f>
        <v>595.5</v>
      </c>
      <c r="E5">
        <v>1</v>
      </c>
      <c r="F5">
        <v>32.149451999999997</v>
      </c>
      <c r="G5">
        <v>11</v>
      </c>
      <c r="H5">
        <v>181.40360000000001</v>
      </c>
      <c r="I5">
        <v>5.7</v>
      </c>
      <c r="J5">
        <v>104</v>
      </c>
      <c r="L5">
        <v>0</v>
      </c>
    </row>
    <row r="6" spans="1:14" x14ac:dyDescent="0.35">
      <c r="A6" s="1">
        <v>43831</v>
      </c>
      <c r="B6" t="s">
        <v>10</v>
      </c>
      <c r="C6" t="s">
        <v>15</v>
      </c>
      <c r="D6">
        <f>AVERAGE(595,560,577,505)</f>
        <v>559.25</v>
      </c>
      <c r="E6">
        <v>1</v>
      </c>
      <c r="F6">
        <v>30.479451999999998</v>
      </c>
      <c r="G6">
        <v>37.600002000000003</v>
      </c>
      <c r="H6">
        <v>181.40360000000001</v>
      </c>
      <c r="I6">
        <v>5.7</v>
      </c>
      <c r="J6">
        <v>104</v>
      </c>
      <c r="L6">
        <v>0</v>
      </c>
    </row>
    <row r="7" spans="1:14" x14ac:dyDescent="0.35">
      <c r="A7" s="1">
        <v>43831</v>
      </c>
      <c r="B7" t="s">
        <v>10</v>
      </c>
      <c r="C7" t="s">
        <v>16</v>
      </c>
      <c r="D7">
        <f>AVERAGE(589,585,614,648)</f>
        <v>609</v>
      </c>
      <c r="E7">
        <v>1</v>
      </c>
      <c r="F7">
        <v>25.160225000000001</v>
      </c>
      <c r="G7">
        <v>110.8</v>
      </c>
      <c r="H7">
        <v>181.40360000000001</v>
      </c>
      <c r="I7">
        <v>5.7</v>
      </c>
      <c r="J7">
        <v>104</v>
      </c>
      <c r="L7">
        <v>0</v>
      </c>
    </row>
    <row r="8" spans="1:14" x14ac:dyDescent="0.35">
      <c r="A8" s="1">
        <v>43831</v>
      </c>
      <c r="B8" t="s">
        <v>10</v>
      </c>
      <c r="C8" t="s">
        <v>17</v>
      </c>
      <c r="D8">
        <f>AVERAGE(667,617,627,567)</f>
        <v>619.5</v>
      </c>
      <c r="E8">
        <v>1</v>
      </c>
      <c r="F8">
        <v>31.393094999999999</v>
      </c>
      <c r="G8">
        <v>11</v>
      </c>
      <c r="H8">
        <v>181.40360000000001</v>
      </c>
      <c r="I8">
        <v>5.7</v>
      </c>
      <c r="J8">
        <v>104</v>
      </c>
      <c r="L8">
        <v>0</v>
      </c>
    </row>
    <row r="9" spans="1:14" x14ac:dyDescent="0.35">
      <c r="A9" s="1">
        <v>43831</v>
      </c>
      <c r="B9" t="s">
        <v>10</v>
      </c>
      <c r="C9" t="s">
        <v>18</v>
      </c>
      <c r="D9">
        <f>AVERAGE(556,663,675)</f>
        <v>631.33333333333337</v>
      </c>
      <c r="E9">
        <v>1</v>
      </c>
      <c r="F9">
        <v>30.640129999999999</v>
      </c>
      <c r="G9">
        <v>18.800001000000002</v>
      </c>
      <c r="H9">
        <v>181.40360000000001</v>
      </c>
      <c r="I9">
        <v>5.7</v>
      </c>
      <c r="J9">
        <v>104</v>
      </c>
      <c r="L9">
        <v>0</v>
      </c>
    </row>
    <row r="10" spans="1:14" x14ac:dyDescent="0.35">
      <c r="A10" s="1">
        <v>43831</v>
      </c>
      <c r="B10" t="s">
        <v>10</v>
      </c>
      <c r="C10" t="s">
        <v>19</v>
      </c>
      <c r="D10">
        <f>AVERAGE(630,590,560,520)</f>
        <v>575</v>
      </c>
      <c r="E10">
        <v>1</v>
      </c>
      <c r="F10">
        <v>32.767257999999998</v>
      </c>
      <c r="G10">
        <v>20.9</v>
      </c>
      <c r="H10">
        <v>181.40360000000001</v>
      </c>
      <c r="I10">
        <v>5.7</v>
      </c>
      <c r="J10">
        <v>104</v>
      </c>
      <c r="L10">
        <v>0</v>
      </c>
    </row>
    <row r="11" spans="1:14" x14ac:dyDescent="0.35">
      <c r="A11" s="1">
        <v>43831</v>
      </c>
      <c r="B11" t="s">
        <v>10</v>
      </c>
      <c r="C11" t="s">
        <v>20</v>
      </c>
      <c r="D11">
        <f>AVERAGE(500,500,600,620)</f>
        <v>555</v>
      </c>
      <c r="E11">
        <v>1</v>
      </c>
      <c r="F11">
        <v>30.246386999999999</v>
      </c>
      <c r="G11">
        <v>26.500001999999999</v>
      </c>
      <c r="H11">
        <v>181.40360000000001</v>
      </c>
      <c r="I11">
        <v>5.7</v>
      </c>
      <c r="J11">
        <v>104</v>
      </c>
      <c r="L11">
        <v>0</v>
      </c>
    </row>
    <row r="12" spans="1:14" x14ac:dyDescent="0.35">
      <c r="A12" s="1">
        <v>43831</v>
      </c>
      <c r="B12" t="s">
        <v>10</v>
      </c>
      <c r="C12" t="s">
        <v>21</v>
      </c>
      <c r="D12">
        <f>AVERAGE(550,500,525,500)</f>
        <v>518.75</v>
      </c>
      <c r="E12">
        <v>1</v>
      </c>
      <c r="F12">
        <v>30.265484000000001</v>
      </c>
      <c r="G12">
        <v>45.3</v>
      </c>
      <c r="H12">
        <v>181.40360000000001</v>
      </c>
      <c r="I12">
        <v>5.7</v>
      </c>
      <c r="J12">
        <v>104</v>
      </c>
      <c r="L12">
        <v>0</v>
      </c>
    </row>
    <row r="13" spans="1:14" x14ac:dyDescent="0.35">
      <c r="A13" s="1">
        <v>43831</v>
      </c>
      <c r="B13" t="s">
        <v>10</v>
      </c>
      <c r="C13" t="s">
        <v>22</v>
      </c>
      <c r="D13">
        <f>AVERAGE(520,550,600,600)</f>
        <v>567.5</v>
      </c>
      <c r="E13">
        <v>1</v>
      </c>
      <c r="F13">
        <v>29.135195</v>
      </c>
      <c r="G13">
        <v>8.8000000000000007</v>
      </c>
      <c r="H13">
        <v>181.40360000000001</v>
      </c>
      <c r="I13">
        <v>5.7</v>
      </c>
      <c r="J13">
        <v>104</v>
      </c>
      <c r="L13">
        <v>0</v>
      </c>
    </row>
    <row r="14" spans="1:14" x14ac:dyDescent="0.35">
      <c r="A14" s="1">
        <v>43831</v>
      </c>
      <c r="B14" t="s">
        <v>10</v>
      </c>
      <c r="C14" t="s">
        <v>23</v>
      </c>
      <c r="D14">
        <f>AVERAGE(610,600,508,500)</f>
        <v>554.5</v>
      </c>
      <c r="E14">
        <v>1</v>
      </c>
      <c r="F14">
        <v>30.615933999999999</v>
      </c>
      <c r="G14">
        <v>23.900002000000001</v>
      </c>
      <c r="H14">
        <v>181.40360000000001</v>
      </c>
      <c r="I14">
        <v>5.7</v>
      </c>
      <c r="J14">
        <v>104</v>
      </c>
      <c r="L14">
        <v>0</v>
      </c>
    </row>
    <row r="15" spans="1:14" x14ac:dyDescent="0.35">
      <c r="A15" s="1">
        <v>43831</v>
      </c>
      <c r="B15" t="s">
        <v>10</v>
      </c>
      <c r="C15" t="s">
        <v>24</v>
      </c>
      <c r="D15">
        <f>AVERAGE(550,554,575,640)</f>
        <v>579.75</v>
      </c>
      <c r="E15">
        <v>1</v>
      </c>
      <c r="F15">
        <v>29.059225000000001</v>
      </c>
      <c r="G15">
        <v>41.8</v>
      </c>
      <c r="H15">
        <v>181.40360000000001</v>
      </c>
      <c r="I15">
        <v>5.7</v>
      </c>
      <c r="J15">
        <v>104</v>
      </c>
      <c r="L15">
        <v>0</v>
      </c>
    </row>
    <row r="16" spans="1:14" x14ac:dyDescent="0.35">
      <c r="A16" s="1">
        <v>43831</v>
      </c>
      <c r="B16" t="s">
        <v>25</v>
      </c>
      <c r="C16" t="s">
        <v>11</v>
      </c>
      <c r="D16">
        <f>AVERAGE(928,944,911,867)</f>
        <v>912.5</v>
      </c>
      <c r="E16">
        <v>1</v>
      </c>
      <c r="F16">
        <v>28.454937000000001</v>
      </c>
      <c r="G16">
        <v>7.4000006000000003</v>
      </c>
      <c r="H16">
        <v>181.40360000000001</v>
      </c>
      <c r="I16">
        <v>5.7</v>
      </c>
      <c r="J16">
        <v>104</v>
      </c>
      <c r="L16">
        <v>0</v>
      </c>
    </row>
    <row r="17" spans="1:12" x14ac:dyDescent="0.35">
      <c r="A17" s="1">
        <v>43831</v>
      </c>
      <c r="B17" t="s">
        <v>25</v>
      </c>
      <c r="C17" t="s">
        <v>12</v>
      </c>
      <c r="D17">
        <f>AVERAGE(775,866,885,918)</f>
        <v>861</v>
      </c>
      <c r="E17">
        <v>1</v>
      </c>
      <c r="F17">
        <v>29.612776</v>
      </c>
      <c r="G17">
        <v>10</v>
      </c>
      <c r="H17">
        <v>181.40360000000001</v>
      </c>
      <c r="I17">
        <v>5.7</v>
      </c>
      <c r="J17">
        <v>104</v>
      </c>
      <c r="L17">
        <v>0</v>
      </c>
    </row>
    <row r="18" spans="1:12" x14ac:dyDescent="0.35">
      <c r="A18" s="1">
        <v>43831</v>
      </c>
      <c r="B18" t="s">
        <v>25</v>
      </c>
      <c r="C18" t="s">
        <v>14</v>
      </c>
      <c r="D18">
        <f>AVERAGE(1050,1000,875,950)</f>
        <v>968.75</v>
      </c>
      <c r="E18">
        <v>1</v>
      </c>
      <c r="F18">
        <v>32.149451999999997</v>
      </c>
      <c r="G18">
        <v>11</v>
      </c>
      <c r="H18">
        <v>181.40360000000001</v>
      </c>
      <c r="I18">
        <v>5.7</v>
      </c>
      <c r="J18">
        <v>104</v>
      </c>
      <c r="L18">
        <v>0</v>
      </c>
    </row>
    <row r="19" spans="1:12" x14ac:dyDescent="0.35">
      <c r="A19" s="1">
        <v>43831</v>
      </c>
      <c r="B19" t="s">
        <v>25</v>
      </c>
      <c r="C19" t="s">
        <v>16</v>
      </c>
      <c r="D19">
        <f>AVERAGE(800,758)</f>
        <v>779</v>
      </c>
      <c r="E19">
        <v>1</v>
      </c>
      <c r="F19">
        <v>25.160225000000001</v>
      </c>
      <c r="G19">
        <v>110.8</v>
      </c>
      <c r="H19">
        <v>181.40360000000001</v>
      </c>
      <c r="I19">
        <v>5.7</v>
      </c>
      <c r="J19">
        <v>104</v>
      </c>
      <c r="L19">
        <v>0</v>
      </c>
    </row>
    <row r="20" spans="1:12" x14ac:dyDescent="0.35">
      <c r="A20" s="1">
        <v>43831</v>
      </c>
      <c r="B20" t="s">
        <v>25</v>
      </c>
      <c r="C20" t="s">
        <v>24</v>
      </c>
      <c r="D20">
        <f>AVERAGE(780,780,804,798)</f>
        <v>790.5</v>
      </c>
      <c r="E20">
        <v>1</v>
      </c>
      <c r="F20">
        <v>29.059225000000001</v>
      </c>
      <c r="G20">
        <v>41.8</v>
      </c>
      <c r="H20">
        <v>181.40360000000001</v>
      </c>
      <c r="I20">
        <v>5.7</v>
      </c>
      <c r="J20">
        <v>104</v>
      </c>
      <c r="L20">
        <v>0</v>
      </c>
    </row>
    <row r="21" spans="1:12" x14ac:dyDescent="0.35">
      <c r="A21" s="1">
        <v>43862</v>
      </c>
      <c r="B21" t="s">
        <v>10</v>
      </c>
      <c r="C21" t="s">
        <v>11</v>
      </c>
      <c r="D21">
        <f>AVERAGE(534,530,529,531)</f>
        <v>531</v>
      </c>
      <c r="E21">
        <v>1</v>
      </c>
      <c r="F21">
        <v>30.087140000000002</v>
      </c>
      <c r="G21">
        <v>12.200001</v>
      </c>
      <c r="H21">
        <v>181.56280000000001</v>
      </c>
      <c r="I21">
        <v>6.2</v>
      </c>
      <c r="J21">
        <v>104</v>
      </c>
      <c r="L21">
        <v>1</v>
      </c>
    </row>
    <row r="22" spans="1:12" x14ac:dyDescent="0.35">
      <c r="A22" s="1">
        <v>43862</v>
      </c>
      <c r="B22" t="s">
        <v>10</v>
      </c>
      <c r="C22" t="s">
        <v>12</v>
      </c>
      <c r="D22">
        <f>AVERAGE(550,527,547,528)</f>
        <v>538</v>
      </c>
      <c r="E22">
        <v>1</v>
      </c>
      <c r="F22">
        <v>31.059103</v>
      </c>
      <c r="G22">
        <v>11.700001</v>
      </c>
      <c r="H22">
        <v>181.56280000000001</v>
      </c>
      <c r="I22">
        <v>6.2</v>
      </c>
      <c r="J22">
        <v>104</v>
      </c>
      <c r="L22">
        <v>1</v>
      </c>
    </row>
    <row r="23" spans="1:12" x14ac:dyDescent="0.35">
      <c r="A23" s="1">
        <v>43862</v>
      </c>
      <c r="B23" t="s">
        <v>10</v>
      </c>
      <c r="C23" t="s">
        <v>13</v>
      </c>
      <c r="D23">
        <f>AVERAGE(545,525,528,528)</f>
        <v>531.5</v>
      </c>
      <c r="E23">
        <v>1</v>
      </c>
      <c r="F23">
        <v>21.228672</v>
      </c>
      <c r="G23">
        <v>48.800002999999997</v>
      </c>
      <c r="H23">
        <v>181.56280000000001</v>
      </c>
      <c r="I23">
        <v>6.2</v>
      </c>
      <c r="J23">
        <v>104</v>
      </c>
      <c r="L23">
        <v>1</v>
      </c>
    </row>
    <row r="24" spans="1:12" x14ac:dyDescent="0.35">
      <c r="A24" s="1">
        <v>43862</v>
      </c>
      <c r="B24" t="s">
        <v>10</v>
      </c>
      <c r="C24" t="s">
        <v>14</v>
      </c>
      <c r="D24">
        <f>AVERAGE(508,523,483,525)</f>
        <v>509.75</v>
      </c>
      <c r="E24">
        <v>1</v>
      </c>
      <c r="F24">
        <v>34.63438</v>
      </c>
      <c r="G24">
        <v>9.9</v>
      </c>
      <c r="H24">
        <v>181.56280000000001</v>
      </c>
      <c r="I24">
        <v>6.2</v>
      </c>
      <c r="J24">
        <v>104</v>
      </c>
      <c r="L24">
        <v>1</v>
      </c>
    </row>
    <row r="25" spans="1:12" x14ac:dyDescent="0.35">
      <c r="A25" s="1">
        <v>43862</v>
      </c>
      <c r="B25" t="s">
        <v>10</v>
      </c>
      <c r="C25" t="s">
        <v>15</v>
      </c>
      <c r="D25">
        <f>AVERAGE(512,545,545,535)</f>
        <v>534.25</v>
      </c>
      <c r="E25">
        <v>1</v>
      </c>
      <c r="F25">
        <v>32.540239999999997</v>
      </c>
      <c r="G25">
        <v>70</v>
      </c>
      <c r="H25">
        <v>181.56280000000001</v>
      </c>
      <c r="I25">
        <v>6.2</v>
      </c>
      <c r="J25">
        <v>104</v>
      </c>
      <c r="L25">
        <v>1</v>
      </c>
    </row>
    <row r="26" spans="1:12" x14ac:dyDescent="0.35">
      <c r="A26" s="1">
        <v>43862</v>
      </c>
      <c r="B26" t="s">
        <v>10</v>
      </c>
      <c r="C26" t="s">
        <v>16</v>
      </c>
      <c r="D26">
        <f>AVERAGE(565,560,547,583)</f>
        <v>563.75</v>
      </c>
      <c r="E26">
        <v>1</v>
      </c>
      <c r="F26">
        <v>25.336310000000001</v>
      </c>
      <c r="G26">
        <v>142.9</v>
      </c>
      <c r="H26">
        <v>181.56280000000001</v>
      </c>
      <c r="I26">
        <v>6.2</v>
      </c>
      <c r="J26">
        <v>104</v>
      </c>
      <c r="L26">
        <v>1</v>
      </c>
    </row>
    <row r="27" spans="1:12" x14ac:dyDescent="0.35">
      <c r="A27" s="1">
        <v>43862</v>
      </c>
      <c r="B27" t="s">
        <v>10</v>
      </c>
      <c r="C27" t="s">
        <v>17</v>
      </c>
      <c r="D27">
        <f>AVERAGE(583,533,533,533)</f>
        <v>545.5</v>
      </c>
      <c r="E27">
        <v>1</v>
      </c>
      <c r="F27">
        <v>33.205997000000004</v>
      </c>
      <c r="G27">
        <v>8.6999999999999993</v>
      </c>
      <c r="H27">
        <v>181.56280000000001</v>
      </c>
      <c r="I27">
        <v>6.2</v>
      </c>
      <c r="J27">
        <v>104</v>
      </c>
      <c r="L27">
        <v>1</v>
      </c>
    </row>
    <row r="28" spans="1:12" x14ac:dyDescent="0.35">
      <c r="A28" s="1">
        <v>43862</v>
      </c>
      <c r="B28" t="s">
        <v>10</v>
      </c>
      <c r="C28" t="s">
        <v>18</v>
      </c>
      <c r="D28">
        <f>AVERAGE(513,531,500,525)</f>
        <v>517.25</v>
      </c>
      <c r="E28">
        <v>1</v>
      </c>
      <c r="F28">
        <v>32.187793999999997</v>
      </c>
      <c r="G28">
        <v>24.3</v>
      </c>
      <c r="H28">
        <v>181.56280000000001</v>
      </c>
      <c r="I28">
        <v>6.2</v>
      </c>
      <c r="J28">
        <v>104</v>
      </c>
      <c r="L28">
        <v>1</v>
      </c>
    </row>
    <row r="29" spans="1:12" x14ac:dyDescent="0.35">
      <c r="A29" s="1">
        <v>43862</v>
      </c>
      <c r="B29" t="s">
        <v>10</v>
      </c>
      <c r="C29" t="s">
        <v>19</v>
      </c>
      <c r="D29">
        <f>AVERAGE(510,518,520,520)</f>
        <v>517</v>
      </c>
      <c r="E29">
        <v>1</v>
      </c>
      <c r="F29">
        <v>34.605690000000003</v>
      </c>
      <c r="G29">
        <v>25</v>
      </c>
      <c r="H29">
        <v>181.56280000000001</v>
      </c>
      <c r="I29">
        <v>6.2</v>
      </c>
      <c r="J29">
        <v>104</v>
      </c>
      <c r="L29">
        <v>1</v>
      </c>
    </row>
    <row r="30" spans="1:12" x14ac:dyDescent="0.35">
      <c r="A30" s="1">
        <v>43862</v>
      </c>
      <c r="B30" t="s">
        <v>10</v>
      </c>
      <c r="C30" t="s">
        <v>20</v>
      </c>
      <c r="D30">
        <f>AVERAGE(535,500)</f>
        <v>517.5</v>
      </c>
      <c r="E30">
        <v>1</v>
      </c>
      <c r="F30">
        <v>30.820414</v>
      </c>
      <c r="G30">
        <v>37.600002000000003</v>
      </c>
      <c r="H30">
        <v>181.56280000000001</v>
      </c>
      <c r="I30">
        <v>6.2</v>
      </c>
      <c r="J30">
        <v>104</v>
      </c>
      <c r="L30">
        <v>1</v>
      </c>
    </row>
    <row r="31" spans="1:12" x14ac:dyDescent="0.35">
      <c r="A31" s="1">
        <v>43862</v>
      </c>
      <c r="B31" t="s">
        <v>10</v>
      </c>
      <c r="C31" t="s">
        <v>21</v>
      </c>
      <c r="D31">
        <f>AVERAGE(525)</f>
        <v>525</v>
      </c>
      <c r="E31">
        <v>1</v>
      </c>
      <c r="F31">
        <v>31.290344000000001</v>
      </c>
      <c r="G31">
        <v>67.3</v>
      </c>
      <c r="H31">
        <v>181.56280000000001</v>
      </c>
      <c r="I31">
        <v>6.2</v>
      </c>
      <c r="J31">
        <v>104</v>
      </c>
      <c r="L31">
        <v>1</v>
      </c>
    </row>
    <row r="32" spans="1:12" x14ac:dyDescent="0.35">
      <c r="A32" s="1">
        <v>43862</v>
      </c>
      <c r="B32" t="s">
        <v>10</v>
      </c>
      <c r="C32" t="s">
        <v>22</v>
      </c>
      <c r="D32">
        <f>AVERAGE(550)</f>
        <v>550</v>
      </c>
      <c r="E32">
        <v>1</v>
      </c>
      <c r="F32">
        <v>29.479965</v>
      </c>
      <c r="G32">
        <v>30.300001000000002</v>
      </c>
      <c r="H32">
        <v>181.56280000000001</v>
      </c>
      <c r="I32">
        <v>6.2</v>
      </c>
      <c r="J32">
        <v>104</v>
      </c>
      <c r="L32">
        <v>1</v>
      </c>
    </row>
    <row r="33" spans="1:12" x14ac:dyDescent="0.35">
      <c r="A33" s="1">
        <v>43862</v>
      </c>
      <c r="B33" t="s">
        <v>10</v>
      </c>
      <c r="C33" t="s">
        <v>23</v>
      </c>
      <c r="D33">
        <f>AVERAGE(550,550,535,536)</f>
        <v>542.75</v>
      </c>
      <c r="E33">
        <v>1</v>
      </c>
      <c r="F33">
        <v>31.196414999999998</v>
      </c>
      <c r="G33">
        <v>77.599999999999994</v>
      </c>
      <c r="H33">
        <v>181.56280000000001</v>
      </c>
      <c r="I33">
        <v>6.2</v>
      </c>
      <c r="J33">
        <v>104</v>
      </c>
      <c r="L33">
        <v>1</v>
      </c>
    </row>
    <row r="34" spans="1:12" x14ac:dyDescent="0.35">
      <c r="A34" s="1">
        <v>43862</v>
      </c>
      <c r="B34" t="s">
        <v>10</v>
      </c>
      <c r="C34" t="s">
        <v>24</v>
      </c>
      <c r="D34">
        <f>AVERAGE(542,555,550,529)</f>
        <v>544</v>
      </c>
      <c r="E34">
        <v>1</v>
      </c>
      <c r="F34">
        <v>30.181861999999999</v>
      </c>
      <c r="G34">
        <v>40.500003999999997</v>
      </c>
      <c r="H34">
        <v>181.56280000000001</v>
      </c>
      <c r="I34">
        <v>6.2</v>
      </c>
      <c r="J34">
        <v>104</v>
      </c>
      <c r="L34">
        <v>1</v>
      </c>
    </row>
    <row r="35" spans="1:12" x14ac:dyDescent="0.35">
      <c r="A35" s="1">
        <v>43862</v>
      </c>
      <c r="B35" t="s">
        <v>25</v>
      </c>
      <c r="C35" t="s">
        <v>11</v>
      </c>
      <c r="D35">
        <f>AVERAGE(844,883,853,819)</f>
        <v>849.75</v>
      </c>
      <c r="E35">
        <v>1</v>
      </c>
      <c r="F35">
        <v>30.087140000000002</v>
      </c>
      <c r="G35">
        <v>12.200001</v>
      </c>
      <c r="H35">
        <v>181.56280000000001</v>
      </c>
      <c r="I35">
        <v>6.2</v>
      </c>
      <c r="J35">
        <v>104</v>
      </c>
      <c r="L35">
        <v>1</v>
      </c>
    </row>
    <row r="36" spans="1:12" x14ac:dyDescent="0.35">
      <c r="A36" s="1">
        <v>43862</v>
      </c>
      <c r="B36" t="s">
        <v>25</v>
      </c>
      <c r="C36" t="s">
        <v>12</v>
      </c>
      <c r="D36">
        <f>AVERAGE(909,850,760,810)</f>
        <v>832.25</v>
      </c>
      <c r="E36">
        <v>1</v>
      </c>
      <c r="F36">
        <v>31.059103</v>
      </c>
      <c r="G36">
        <v>11.700001</v>
      </c>
      <c r="H36">
        <v>181.56280000000001</v>
      </c>
      <c r="I36">
        <v>6.2</v>
      </c>
      <c r="J36">
        <v>104</v>
      </c>
      <c r="L36">
        <v>1</v>
      </c>
    </row>
    <row r="37" spans="1:12" x14ac:dyDescent="0.35">
      <c r="A37" s="1">
        <v>43862</v>
      </c>
      <c r="B37" t="s">
        <v>25</v>
      </c>
      <c r="C37" t="s">
        <v>14</v>
      </c>
      <c r="D37">
        <f>AVERAGE(975,850,900,850)</f>
        <v>893.75</v>
      </c>
      <c r="E37">
        <v>1</v>
      </c>
      <c r="F37">
        <v>34.63438</v>
      </c>
      <c r="G37">
        <v>9.9</v>
      </c>
      <c r="H37">
        <v>181.56280000000001</v>
      </c>
      <c r="I37">
        <v>6.2</v>
      </c>
      <c r="J37">
        <v>104</v>
      </c>
      <c r="L37">
        <v>1</v>
      </c>
    </row>
    <row r="38" spans="1:12" x14ac:dyDescent="0.35">
      <c r="A38" s="1">
        <v>43862</v>
      </c>
      <c r="B38" t="s">
        <v>25</v>
      </c>
      <c r="C38" t="s">
        <v>16</v>
      </c>
      <c r="D38">
        <f>AVERAGE(850,758,758,800)</f>
        <v>791.5</v>
      </c>
      <c r="E38">
        <v>1</v>
      </c>
      <c r="F38">
        <v>25.336310000000001</v>
      </c>
      <c r="G38">
        <v>142.9</v>
      </c>
      <c r="H38">
        <v>181.56280000000001</v>
      </c>
      <c r="I38">
        <v>6.2</v>
      </c>
      <c r="J38">
        <v>104</v>
      </c>
      <c r="L38">
        <v>1</v>
      </c>
    </row>
    <row r="39" spans="1:12" x14ac:dyDescent="0.35">
      <c r="A39" s="1">
        <v>43862</v>
      </c>
      <c r="B39" t="s">
        <v>25</v>
      </c>
      <c r="C39" t="s">
        <v>24</v>
      </c>
      <c r="D39">
        <f>AVERAGE(710,790,790,790)</f>
        <v>770</v>
      </c>
      <c r="E39">
        <v>1</v>
      </c>
      <c r="F39">
        <v>30.181861999999999</v>
      </c>
      <c r="G39">
        <v>40.500003999999997</v>
      </c>
      <c r="H39">
        <v>181.56280000000001</v>
      </c>
      <c r="I39">
        <v>6.2</v>
      </c>
      <c r="J39">
        <v>104</v>
      </c>
      <c r="L39">
        <v>1</v>
      </c>
    </row>
    <row r="40" spans="1:12" x14ac:dyDescent="0.35">
      <c r="A40" s="1">
        <v>43891</v>
      </c>
      <c r="B40" t="s">
        <v>10</v>
      </c>
      <c r="C40" t="s">
        <v>11</v>
      </c>
      <c r="D40">
        <f>AVERAGE(535,547)</f>
        <v>541</v>
      </c>
      <c r="E40">
        <v>1</v>
      </c>
      <c r="F40">
        <v>32.780743000000001</v>
      </c>
      <c r="G40">
        <v>12.799999</v>
      </c>
      <c r="H40">
        <v>185.05670000000001</v>
      </c>
      <c r="I40">
        <v>5.4</v>
      </c>
      <c r="J40">
        <v>104</v>
      </c>
      <c r="L40">
        <v>1</v>
      </c>
    </row>
    <row r="41" spans="1:12" x14ac:dyDescent="0.35">
      <c r="A41" s="1">
        <v>43891</v>
      </c>
      <c r="B41" t="s">
        <v>10</v>
      </c>
      <c r="C41" t="s">
        <v>12</v>
      </c>
      <c r="D41">
        <f>AVERAGE(559,547)</f>
        <v>553</v>
      </c>
      <c r="E41">
        <v>1</v>
      </c>
      <c r="F41">
        <v>33.395029999999998</v>
      </c>
      <c r="G41">
        <v>29.199998999999998</v>
      </c>
      <c r="H41">
        <v>185.05670000000001</v>
      </c>
      <c r="I41">
        <v>5.4</v>
      </c>
      <c r="J41">
        <v>104</v>
      </c>
      <c r="L41">
        <v>1</v>
      </c>
    </row>
    <row r="42" spans="1:12" x14ac:dyDescent="0.35">
      <c r="A42" s="1">
        <v>43891</v>
      </c>
      <c r="B42" t="s">
        <v>10</v>
      </c>
      <c r="C42" t="s">
        <v>13</v>
      </c>
      <c r="D42">
        <f>AVERAGE(507,525)</f>
        <v>516</v>
      </c>
      <c r="E42">
        <v>1</v>
      </c>
      <c r="F42">
        <v>23.112210000000001</v>
      </c>
      <c r="G42">
        <v>22.8</v>
      </c>
      <c r="H42">
        <v>185.05670000000001</v>
      </c>
      <c r="I42">
        <v>5.4</v>
      </c>
      <c r="J42">
        <v>104</v>
      </c>
      <c r="L42">
        <v>1</v>
      </c>
    </row>
    <row r="43" spans="1:12" x14ac:dyDescent="0.35">
      <c r="A43" s="1">
        <v>43891</v>
      </c>
      <c r="B43" t="s">
        <v>10</v>
      </c>
      <c r="C43" t="s">
        <v>14</v>
      </c>
      <c r="D43">
        <f>AVERAGE(523,503)</f>
        <v>513</v>
      </c>
      <c r="E43">
        <v>1</v>
      </c>
      <c r="F43">
        <v>35.154290000000003</v>
      </c>
      <c r="G43">
        <v>49.7</v>
      </c>
      <c r="H43">
        <v>185.05670000000001</v>
      </c>
      <c r="I43">
        <v>5.4</v>
      </c>
      <c r="J43">
        <v>104</v>
      </c>
      <c r="L43">
        <v>1</v>
      </c>
    </row>
    <row r="44" spans="1:12" x14ac:dyDescent="0.35">
      <c r="A44" s="1">
        <v>43891</v>
      </c>
      <c r="B44" t="s">
        <v>10</v>
      </c>
      <c r="C44" t="s">
        <v>15</v>
      </c>
      <c r="D44">
        <f>AVERAGE(510,515)</f>
        <v>512.5</v>
      </c>
      <c r="E44">
        <v>1</v>
      </c>
      <c r="F44">
        <v>33.248806000000002</v>
      </c>
      <c r="G44">
        <v>66.5</v>
      </c>
      <c r="H44">
        <v>185.05670000000001</v>
      </c>
      <c r="I44">
        <v>5.4</v>
      </c>
      <c r="J44">
        <v>104</v>
      </c>
      <c r="L44">
        <v>1</v>
      </c>
    </row>
    <row r="45" spans="1:12" x14ac:dyDescent="0.35">
      <c r="A45" s="1">
        <v>43891</v>
      </c>
      <c r="B45" t="s">
        <v>10</v>
      </c>
      <c r="C45" t="s">
        <v>16</v>
      </c>
      <c r="D45">
        <f>AVERAGE(551,540)</f>
        <v>545.5</v>
      </c>
      <c r="E45">
        <v>1</v>
      </c>
      <c r="F45">
        <v>28.024740000000001</v>
      </c>
      <c r="G45">
        <v>37.700000000000003</v>
      </c>
      <c r="H45">
        <v>185.05670000000001</v>
      </c>
      <c r="I45">
        <v>5.4</v>
      </c>
      <c r="J45">
        <v>104</v>
      </c>
      <c r="L45">
        <v>1</v>
      </c>
    </row>
    <row r="46" spans="1:12" x14ac:dyDescent="0.35">
      <c r="A46" s="1">
        <v>43891</v>
      </c>
      <c r="B46" t="s">
        <v>10</v>
      </c>
      <c r="C46" t="s">
        <v>17</v>
      </c>
      <c r="D46">
        <f>AVERAGE(533,542)</f>
        <v>537.5</v>
      </c>
      <c r="E46">
        <v>1</v>
      </c>
      <c r="F46">
        <v>35.485027000000002</v>
      </c>
      <c r="G46">
        <v>31.4</v>
      </c>
      <c r="H46">
        <v>185.05670000000001</v>
      </c>
      <c r="I46">
        <v>5.4</v>
      </c>
      <c r="J46">
        <v>104</v>
      </c>
      <c r="L46">
        <v>1</v>
      </c>
    </row>
    <row r="47" spans="1:12" x14ac:dyDescent="0.35">
      <c r="A47" s="1">
        <v>43891</v>
      </c>
      <c r="B47" t="s">
        <v>10</v>
      </c>
      <c r="C47" t="s">
        <v>18</v>
      </c>
      <c r="D47">
        <f>AVERAGE(513)</f>
        <v>513</v>
      </c>
      <c r="E47">
        <v>1</v>
      </c>
      <c r="F47">
        <v>31.538516999999999</v>
      </c>
      <c r="G47">
        <v>48.4</v>
      </c>
      <c r="H47">
        <v>185.05670000000001</v>
      </c>
      <c r="I47">
        <v>5.4</v>
      </c>
      <c r="J47">
        <v>104</v>
      </c>
      <c r="L47">
        <v>1</v>
      </c>
    </row>
    <row r="48" spans="1:12" x14ac:dyDescent="0.35">
      <c r="A48" s="1">
        <v>43891</v>
      </c>
      <c r="B48" t="s">
        <v>10</v>
      </c>
      <c r="C48" t="s">
        <v>19</v>
      </c>
      <c r="D48">
        <f>AVERAGE(556,535)</f>
        <v>545.5</v>
      </c>
      <c r="E48">
        <v>1</v>
      </c>
      <c r="F48">
        <v>32.909194999999997</v>
      </c>
      <c r="G48">
        <v>76.400000000000006</v>
      </c>
      <c r="H48">
        <v>185.05670000000001</v>
      </c>
      <c r="I48">
        <v>5.4</v>
      </c>
      <c r="J48">
        <v>104</v>
      </c>
      <c r="L48">
        <v>1</v>
      </c>
    </row>
    <row r="49" spans="1:12" x14ac:dyDescent="0.35">
      <c r="A49" s="1">
        <v>43891</v>
      </c>
      <c r="B49" t="s">
        <v>10</v>
      </c>
      <c r="C49" t="s">
        <v>20</v>
      </c>
      <c r="D49">
        <f>AVERAGE(535,533)</f>
        <v>534</v>
      </c>
      <c r="E49">
        <v>1</v>
      </c>
      <c r="F49">
        <v>31.501225999999999</v>
      </c>
      <c r="G49">
        <v>60</v>
      </c>
      <c r="H49">
        <v>185.05670000000001</v>
      </c>
      <c r="I49">
        <v>5.4</v>
      </c>
      <c r="J49">
        <v>104</v>
      </c>
      <c r="L49">
        <v>1</v>
      </c>
    </row>
    <row r="50" spans="1:12" x14ac:dyDescent="0.35">
      <c r="A50" s="1">
        <v>43891</v>
      </c>
      <c r="B50" t="s">
        <v>10</v>
      </c>
      <c r="C50" t="s">
        <v>21</v>
      </c>
      <c r="D50">
        <f>AVERAGE(520,525)</f>
        <v>522.5</v>
      </c>
      <c r="E50">
        <v>1</v>
      </c>
      <c r="F50">
        <v>31.931614</v>
      </c>
      <c r="G50">
        <v>55.300002999999997</v>
      </c>
      <c r="H50">
        <v>185.05670000000001</v>
      </c>
      <c r="I50">
        <v>5.4</v>
      </c>
      <c r="J50">
        <v>104</v>
      </c>
      <c r="L50">
        <v>1</v>
      </c>
    </row>
    <row r="51" spans="1:12" x14ac:dyDescent="0.35">
      <c r="A51" s="1">
        <v>43891</v>
      </c>
      <c r="B51" t="s">
        <v>10</v>
      </c>
      <c r="C51" t="s">
        <v>22</v>
      </c>
      <c r="D51">
        <f>AVERAGE(550,530)</f>
        <v>540</v>
      </c>
      <c r="E51">
        <v>1</v>
      </c>
      <c r="F51">
        <v>29.144873</v>
      </c>
      <c r="G51">
        <v>15.200001</v>
      </c>
      <c r="H51">
        <v>185.05670000000001</v>
      </c>
      <c r="I51">
        <v>5.4</v>
      </c>
      <c r="J51">
        <v>104</v>
      </c>
      <c r="L51">
        <v>1</v>
      </c>
    </row>
    <row r="52" spans="1:12" x14ac:dyDescent="0.35">
      <c r="A52" s="1">
        <v>43891</v>
      </c>
      <c r="B52" t="s">
        <v>10</v>
      </c>
      <c r="C52" t="s">
        <v>23</v>
      </c>
      <c r="D52">
        <f>AVERAGE(500,527)</f>
        <v>513.5</v>
      </c>
      <c r="E52">
        <v>1</v>
      </c>
      <c r="F52">
        <v>31.665935999999999</v>
      </c>
      <c r="G52">
        <v>13.4</v>
      </c>
      <c r="H52">
        <v>185.05670000000001</v>
      </c>
      <c r="I52">
        <v>5.4</v>
      </c>
      <c r="J52">
        <v>104</v>
      </c>
      <c r="L52">
        <v>1</v>
      </c>
    </row>
    <row r="53" spans="1:12" x14ac:dyDescent="0.35">
      <c r="A53" s="1">
        <v>43891</v>
      </c>
      <c r="B53" t="s">
        <v>10</v>
      </c>
      <c r="C53" t="s">
        <v>24</v>
      </c>
      <c r="D53">
        <f>AVERAGE(555,542)</f>
        <v>548.5</v>
      </c>
      <c r="E53">
        <v>1</v>
      </c>
      <c r="F53">
        <v>32.875349999999997</v>
      </c>
      <c r="G53">
        <v>22</v>
      </c>
      <c r="H53">
        <v>185.05670000000001</v>
      </c>
      <c r="I53">
        <v>5.4</v>
      </c>
      <c r="J53">
        <v>104</v>
      </c>
      <c r="L53">
        <v>1</v>
      </c>
    </row>
    <row r="54" spans="1:12" x14ac:dyDescent="0.35">
      <c r="A54" s="1">
        <v>43891</v>
      </c>
      <c r="B54" t="s">
        <v>25</v>
      </c>
      <c r="C54" t="s">
        <v>11</v>
      </c>
      <c r="D54">
        <f>AVERAGE(863,852)</f>
        <v>857.5</v>
      </c>
      <c r="E54">
        <v>1</v>
      </c>
      <c r="F54">
        <v>32.780743000000001</v>
      </c>
      <c r="G54">
        <v>12.799999</v>
      </c>
      <c r="H54">
        <v>185.05670000000001</v>
      </c>
      <c r="I54">
        <v>5.4</v>
      </c>
      <c r="J54">
        <v>104</v>
      </c>
      <c r="L54">
        <v>1</v>
      </c>
    </row>
    <row r="55" spans="1:12" x14ac:dyDescent="0.35">
      <c r="A55" s="1">
        <v>43891</v>
      </c>
      <c r="B55" t="s">
        <v>25</v>
      </c>
      <c r="C55" t="s">
        <v>12</v>
      </c>
      <c r="D55">
        <f>AVERAGE(841,853)</f>
        <v>847</v>
      </c>
      <c r="E55">
        <v>1</v>
      </c>
      <c r="F55">
        <v>33.395029999999998</v>
      </c>
      <c r="G55">
        <v>29.199998999999998</v>
      </c>
      <c r="H55">
        <v>185.05670000000001</v>
      </c>
      <c r="I55">
        <v>5.4</v>
      </c>
      <c r="J55">
        <v>104</v>
      </c>
      <c r="L55">
        <v>1</v>
      </c>
    </row>
    <row r="56" spans="1:12" x14ac:dyDescent="0.35">
      <c r="A56" s="1">
        <v>43891</v>
      </c>
      <c r="B56" t="s">
        <v>25</v>
      </c>
      <c r="C56" t="s">
        <v>14</v>
      </c>
      <c r="D56">
        <f>AVERAGE(825,800)</f>
        <v>812.5</v>
      </c>
      <c r="E56">
        <v>1</v>
      </c>
      <c r="F56">
        <v>35.154290000000003</v>
      </c>
      <c r="G56">
        <v>49.7</v>
      </c>
      <c r="H56">
        <v>185.05670000000001</v>
      </c>
      <c r="I56">
        <v>5.4</v>
      </c>
      <c r="J56">
        <v>104</v>
      </c>
      <c r="L56">
        <v>1</v>
      </c>
    </row>
    <row r="57" spans="1:12" x14ac:dyDescent="0.35">
      <c r="A57" s="1">
        <v>43891</v>
      </c>
      <c r="B57" t="s">
        <v>25</v>
      </c>
      <c r="C57" t="s">
        <v>16</v>
      </c>
      <c r="D57">
        <f>AVERAGE(779,775)</f>
        <v>777</v>
      </c>
      <c r="E57">
        <v>1</v>
      </c>
      <c r="F57">
        <v>28.024740000000001</v>
      </c>
      <c r="G57">
        <v>37.700000000000003</v>
      </c>
      <c r="H57">
        <v>185.05670000000001</v>
      </c>
      <c r="I57">
        <v>5.4</v>
      </c>
      <c r="J57">
        <v>104</v>
      </c>
      <c r="L57">
        <v>1</v>
      </c>
    </row>
    <row r="58" spans="1:12" x14ac:dyDescent="0.35">
      <c r="A58" s="1">
        <v>43891</v>
      </c>
      <c r="B58" t="s">
        <v>25</v>
      </c>
      <c r="C58" t="s">
        <v>24</v>
      </c>
      <c r="D58">
        <f>AVERAGE(780)</f>
        <v>780</v>
      </c>
      <c r="E58">
        <v>1</v>
      </c>
      <c r="F58">
        <v>32.875349999999997</v>
      </c>
      <c r="G58">
        <v>22</v>
      </c>
      <c r="H58">
        <v>185.05670000000001</v>
      </c>
      <c r="I58">
        <v>5.4</v>
      </c>
      <c r="J58">
        <v>104</v>
      </c>
      <c r="L58">
        <v>1</v>
      </c>
    </row>
    <row r="59" spans="1:12" x14ac:dyDescent="0.35">
      <c r="A59" s="1">
        <v>43922</v>
      </c>
      <c r="B59" t="s">
        <v>10</v>
      </c>
      <c r="C59" t="s">
        <v>11</v>
      </c>
      <c r="D59">
        <f>AVERAGE(543,538)</f>
        <v>540.5</v>
      </c>
      <c r="E59">
        <v>0</v>
      </c>
      <c r="F59">
        <v>31.386333</v>
      </c>
      <c r="G59">
        <v>119.7</v>
      </c>
      <c r="H59">
        <v>193.08539999999999</v>
      </c>
      <c r="I59">
        <v>5.2</v>
      </c>
      <c r="J59">
        <v>104</v>
      </c>
      <c r="L59">
        <v>1</v>
      </c>
    </row>
    <row r="60" spans="1:12" x14ac:dyDescent="0.35">
      <c r="A60" s="1">
        <v>43922</v>
      </c>
      <c r="B60" t="s">
        <v>10</v>
      </c>
      <c r="C60" t="s">
        <v>12</v>
      </c>
      <c r="D60">
        <f>AVERAGE(514,535)</f>
        <v>524.5</v>
      </c>
      <c r="E60">
        <v>0</v>
      </c>
      <c r="F60">
        <v>32.131</v>
      </c>
      <c r="G60">
        <v>184.00002000000001</v>
      </c>
      <c r="H60">
        <v>193.08539999999999</v>
      </c>
      <c r="I60">
        <v>5.2</v>
      </c>
      <c r="J60">
        <v>104</v>
      </c>
      <c r="L60">
        <v>1</v>
      </c>
    </row>
    <row r="61" spans="1:12" x14ac:dyDescent="0.35">
      <c r="A61" s="1">
        <v>43922</v>
      </c>
      <c r="B61" t="s">
        <v>10</v>
      </c>
      <c r="C61" t="s">
        <v>13</v>
      </c>
      <c r="D61">
        <f>AVERAGE(495)</f>
        <v>495</v>
      </c>
      <c r="E61">
        <v>0</v>
      </c>
      <c r="F61">
        <v>21.911833000000001</v>
      </c>
      <c r="G61">
        <v>191.5</v>
      </c>
      <c r="H61">
        <v>193.08539999999999</v>
      </c>
      <c r="I61">
        <v>5.2</v>
      </c>
      <c r="J61">
        <v>104</v>
      </c>
      <c r="L61">
        <v>1</v>
      </c>
    </row>
    <row r="62" spans="1:12" x14ac:dyDescent="0.35">
      <c r="A62" s="1">
        <v>43922</v>
      </c>
      <c r="B62" t="s">
        <v>10</v>
      </c>
      <c r="C62" t="s">
        <v>14</v>
      </c>
      <c r="D62">
        <f>AVERAGE(525,491)</f>
        <v>508</v>
      </c>
      <c r="E62">
        <v>0</v>
      </c>
      <c r="F62">
        <v>32.391334999999998</v>
      </c>
      <c r="G62">
        <v>261.19997999999998</v>
      </c>
      <c r="H62">
        <v>193.08539999999999</v>
      </c>
      <c r="I62">
        <v>5.2</v>
      </c>
      <c r="J62">
        <v>104</v>
      </c>
      <c r="L62">
        <v>1</v>
      </c>
    </row>
    <row r="63" spans="1:12" x14ac:dyDescent="0.35">
      <c r="A63" s="1">
        <v>43922</v>
      </c>
      <c r="B63" t="s">
        <v>10</v>
      </c>
      <c r="C63" t="s">
        <v>15</v>
      </c>
      <c r="D63">
        <f>AVERAGE(490,450)</f>
        <v>470</v>
      </c>
      <c r="E63">
        <v>0</v>
      </c>
      <c r="F63">
        <v>31.841332999999999</v>
      </c>
      <c r="G63">
        <v>283.7</v>
      </c>
      <c r="H63">
        <v>193.08539999999999</v>
      </c>
      <c r="I63">
        <v>5.2</v>
      </c>
      <c r="J63">
        <v>104</v>
      </c>
      <c r="L63">
        <v>1</v>
      </c>
    </row>
    <row r="64" spans="1:12" x14ac:dyDescent="0.35">
      <c r="A64" s="1">
        <v>43922</v>
      </c>
      <c r="B64" t="s">
        <v>10</v>
      </c>
      <c r="C64" t="s">
        <v>16</v>
      </c>
      <c r="D64">
        <f>AVERAGE(500,517)</f>
        <v>508.5</v>
      </c>
      <c r="E64">
        <v>0</v>
      </c>
      <c r="F64">
        <v>28.456999</v>
      </c>
      <c r="G64">
        <v>127.4</v>
      </c>
      <c r="H64">
        <v>193.08539999999999</v>
      </c>
      <c r="I64">
        <v>5.2</v>
      </c>
      <c r="J64">
        <v>104</v>
      </c>
      <c r="L64">
        <v>1</v>
      </c>
    </row>
    <row r="65" spans="1:12" x14ac:dyDescent="0.35">
      <c r="A65" s="1">
        <v>43922</v>
      </c>
      <c r="B65" t="s">
        <v>10</v>
      </c>
      <c r="C65" t="s">
        <v>17</v>
      </c>
      <c r="D65">
        <f>AVERAGE(567,542)</f>
        <v>554.5</v>
      </c>
      <c r="E65">
        <v>0</v>
      </c>
      <c r="F65">
        <v>33.794330000000002</v>
      </c>
      <c r="G65">
        <v>232.2</v>
      </c>
      <c r="H65">
        <v>193.08539999999999</v>
      </c>
      <c r="I65">
        <v>5.2</v>
      </c>
      <c r="J65">
        <v>104</v>
      </c>
      <c r="L65">
        <v>1</v>
      </c>
    </row>
    <row r="66" spans="1:12" x14ac:dyDescent="0.35">
      <c r="A66" s="1">
        <v>43922</v>
      </c>
      <c r="B66" t="s">
        <v>10</v>
      </c>
      <c r="C66" t="s">
        <v>18</v>
      </c>
      <c r="D66" t="s">
        <v>26</v>
      </c>
      <c r="E66">
        <v>0</v>
      </c>
      <c r="F66">
        <v>31.279</v>
      </c>
      <c r="G66">
        <v>155.30000000000001</v>
      </c>
      <c r="H66">
        <v>193.08539999999999</v>
      </c>
      <c r="I66">
        <v>5.2</v>
      </c>
      <c r="J66">
        <v>104</v>
      </c>
      <c r="L66">
        <v>1</v>
      </c>
    </row>
    <row r="67" spans="1:12" x14ac:dyDescent="0.35">
      <c r="A67" s="1">
        <v>43922</v>
      </c>
      <c r="B67" t="s">
        <v>10</v>
      </c>
      <c r="C67" t="s">
        <v>19</v>
      </c>
      <c r="D67" t="s">
        <v>26</v>
      </c>
      <c r="E67">
        <v>0</v>
      </c>
      <c r="F67">
        <v>32.151670000000003</v>
      </c>
      <c r="G67">
        <v>175.4</v>
      </c>
      <c r="H67">
        <v>193.08539999999999</v>
      </c>
      <c r="I67">
        <v>5.2</v>
      </c>
      <c r="J67">
        <v>104</v>
      </c>
      <c r="L67">
        <v>1</v>
      </c>
    </row>
    <row r="68" spans="1:12" x14ac:dyDescent="0.35">
      <c r="A68" s="1">
        <v>43922</v>
      </c>
      <c r="B68" t="s">
        <v>10</v>
      </c>
      <c r="C68" t="s">
        <v>20</v>
      </c>
      <c r="D68" t="s">
        <v>26</v>
      </c>
      <c r="E68">
        <v>0</v>
      </c>
      <c r="F68">
        <v>31.169665999999999</v>
      </c>
      <c r="G68">
        <v>160.19999999999999</v>
      </c>
      <c r="H68">
        <v>193.08539999999999</v>
      </c>
      <c r="I68">
        <v>5.2</v>
      </c>
      <c r="J68">
        <v>104</v>
      </c>
      <c r="L68">
        <v>1</v>
      </c>
    </row>
    <row r="69" spans="1:12" x14ac:dyDescent="0.35">
      <c r="A69" s="1">
        <v>43922</v>
      </c>
      <c r="B69" t="s">
        <v>10</v>
      </c>
      <c r="C69" t="s">
        <v>21</v>
      </c>
      <c r="D69">
        <f>AVERAGE(520,475)</f>
        <v>497.5</v>
      </c>
      <c r="E69">
        <v>0</v>
      </c>
      <c r="F69">
        <v>30.539999000000002</v>
      </c>
      <c r="G69">
        <v>197.9</v>
      </c>
      <c r="H69">
        <v>193.08539999999999</v>
      </c>
      <c r="I69">
        <v>5.2</v>
      </c>
      <c r="J69">
        <v>104</v>
      </c>
      <c r="L69">
        <v>1</v>
      </c>
    </row>
    <row r="70" spans="1:12" x14ac:dyDescent="0.35">
      <c r="A70" s="1">
        <v>43922</v>
      </c>
      <c r="B70" t="s">
        <v>10</v>
      </c>
      <c r="C70" t="s">
        <v>22</v>
      </c>
      <c r="D70">
        <f>AVERAGE(520,530)</f>
        <v>525</v>
      </c>
      <c r="E70">
        <v>0</v>
      </c>
      <c r="F70">
        <v>29.254332999999999</v>
      </c>
      <c r="G70">
        <v>89.4</v>
      </c>
      <c r="H70">
        <v>193.08539999999999</v>
      </c>
      <c r="I70">
        <v>5.2</v>
      </c>
      <c r="J70">
        <v>104</v>
      </c>
      <c r="L70">
        <v>1</v>
      </c>
    </row>
    <row r="71" spans="1:12" x14ac:dyDescent="0.35">
      <c r="A71" s="1">
        <v>43922</v>
      </c>
      <c r="B71" t="s">
        <v>10</v>
      </c>
      <c r="C71" t="s">
        <v>23</v>
      </c>
      <c r="D71">
        <f>AVERAGE(490,500)</f>
        <v>495</v>
      </c>
      <c r="E71">
        <v>0</v>
      </c>
      <c r="F71">
        <v>31.515667000000001</v>
      </c>
      <c r="G71">
        <v>73.599999999999994</v>
      </c>
      <c r="H71">
        <v>193.08539999999999</v>
      </c>
      <c r="I71">
        <v>5.2</v>
      </c>
      <c r="J71">
        <v>104</v>
      </c>
      <c r="L71">
        <v>1</v>
      </c>
    </row>
    <row r="72" spans="1:12" x14ac:dyDescent="0.35">
      <c r="A72" s="1">
        <v>43922</v>
      </c>
      <c r="B72" t="s">
        <v>10</v>
      </c>
      <c r="C72" t="s">
        <v>24</v>
      </c>
      <c r="D72">
        <f>AVERAGE(466,510)</f>
        <v>488</v>
      </c>
      <c r="E72">
        <v>0</v>
      </c>
      <c r="F72">
        <v>32.810997</v>
      </c>
      <c r="G72">
        <v>198.3</v>
      </c>
      <c r="H72">
        <v>193.08539999999999</v>
      </c>
      <c r="I72">
        <v>5.2</v>
      </c>
      <c r="J72">
        <v>104</v>
      </c>
      <c r="L72">
        <v>1</v>
      </c>
    </row>
    <row r="73" spans="1:12" x14ac:dyDescent="0.35">
      <c r="A73" s="1">
        <v>43922</v>
      </c>
      <c r="B73" t="s">
        <v>25</v>
      </c>
      <c r="C73" t="s">
        <v>11</v>
      </c>
      <c r="D73">
        <f>AVERAGE(825)</f>
        <v>825</v>
      </c>
      <c r="E73">
        <v>0</v>
      </c>
      <c r="F73">
        <v>31.386333</v>
      </c>
      <c r="G73">
        <v>119.7</v>
      </c>
      <c r="H73">
        <v>193.08539999999999</v>
      </c>
      <c r="I73">
        <v>5.2</v>
      </c>
      <c r="J73">
        <v>104</v>
      </c>
      <c r="L73">
        <v>1</v>
      </c>
    </row>
    <row r="74" spans="1:12" x14ac:dyDescent="0.35">
      <c r="A74" s="1">
        <v>43922</v>
      </c>
      <c r="B74" t="s">
        <v>25</v>
      </c>
      <c r="C74" t="s">
        <v>12</v>
      </c>
      <c r="D74">
        <f>AVERAGE(738,719)</f>
        <v>728.5</v>
      </c>
      <c r="E74">
        <v>0</v>
      </c>
      <c r="F74">
        <v>32.131</v>
      </c>
      <c r="G74">
        <v>184.00002000000001</v>
      </c>
      <c r="H74">
        <v>193.08539999999999</v>
      </c>
      <c r="I74">
        <v>5.2</v>
      </c>
      <c r="J74">
        <v>104</v>
      </c>
      <c r="L74">
        <v>1</v>
      </c>
    </row>
    <row r="75" spans="1:12" x14ac:dyDescent="0.35">
      <c r="A75" s="1">
        <v>43922</v>
      </c>
      <c r="B75" t="s">
        <v>25</v>
      </c>
      <c r="C75" t="s">
        <v>14</v>
      </c>
      <c r="D75">
        <f>AVERAGE(750,800)</f>
        <v>775</v>
      </c>
      <c r="E75">
        <v>0</v>
      </c>
      <c r="F75">
        <v>32.391334999999998</v>
      </c>
      <c r="G75">
        <v>261.19997999999998</v>
      </c>
      <c r="H75">
        <v>193.08539999999999</v>
      </c>
      <c r="I75">
        <v>5.2</v>
      </c>
      <c r="J75">
        <v>104</v>
      </c>
      <c r="L75">
        <v>1</v>
      </c>
    </row>
    <row r="76" spans="1:12" x14ac:dyDescent="0.35">
      <c r="A76" s="1">
        <v>43922</v>
      </c>
      <c r="B76" t="s">
        <v>25</v>
      </c>
      <c r="C76" t="s">
        <v>16</v>
      </c>
      <c r="D76">
        <f>AVERAGE(900,800)</f>
        <v>850</v>
      </c>
      <c r="E76">
        <v>0</v>
      </c>
      <c r="F76">
        <v>28.456999</v>
      </c>
      <c r="G76">
        <v>127.4</v>
      </c>
      <c r="H76">
        <v>193.08539999999999</v>
      </c>
      <c r="I76">
        <v>5.2</v>
      </c>
      <c r="J76">
        <v>104</v>
      </c>
      <c r="L76">
        <v>1</v>
      </c>
    </row>
    <row r="77" spans="1:12" x14ac:dyDescent="0.35">
      <c r="A77" s="1">
        <v>43922</v>
      </c>
      <c r="B77" t="s">
        <v>25</v>
      </c>
      <c r="C77" t="s">
        <v>24</v>
      </c>
      <c r="D77">
        <f>AVERAGE(683,633)</f>
        <v>658</v>
      </c>
      <c r="E77">
        <v>0</v>
      </c>
      <c r="F77">
        <v>32.810997</v>
      </c>
      <c r="G77">
        <v>198.3</v>
      </c>
      <c r="H77">
        <v>193.08539999999999</v>
      </c>
      <c r="I77">
        <v>5.2</v>
      </c>
      <c r="J77">
        <v>104</v>
      </c>
      <c r="L77">
        <v>1</v>
      </c>
    </row>
    <row r="78" spans="1:12" x14ac:dyDescent="0.35">
      <c r="A78" s="1">
        <v>43952</v>
      </c>
      <c r="B78" t="s">
        <v>10</v>
      </c>
      <c r="C78" t="s">
        <v>11</v>
      </c>
      <c r="D78">
        <f>AVERAGE(511,531,536,536)</f>
        <v>528.5</v>
      </c>
      <c r="E78">
        <v>0</v>
      </c>
      <c r="F78">
        <v>28.654935999999999</v>
      </c>
      <c r="G78">
        <v>230.1</v>
      </c>
      <c r="H78">
        <v>187.86500000000001</v>
      </c>
      <c r="I78">
        <v>4</v>
      </c>
      <c r="J78">
        <v>104</v>
      </c>
      <c r="L78">
        <v>0</v>
      </c>
    </row>
    <row r="79" spans="1:12" x14ac:dyDescent="0.35">
      <c r="A79" s="1">
        <v>43952</v>
      </c>
      <c r="B79" t="s">
        <v>10</v>
      </c>
      <c r="C79" t="s">
        <v>12</v>
      </c>
      <c r="D79">
        <f>AVERAGE(500,503,543,513)</f>
        <v>514.75</v>
      </c>
      <c r="E79">
        <v>0</v>
      </c>
      <c r="F79">
        <v>28.980516000000001</v>
      </c>
      <c r="G79">
        <v>250.40001000000001</v>
      </c>
      <c r="H79">
        <v>187.86500000000001</v>
      </c>
      <c r="I79">
        <v>4</v>
      </c>
      <c r="J79">
        <v>104</v>
      </c>
      <c r="L79">
        <v>0</v>
      </c>
    </row>
    <row r="80" spans="1:12" x14ac:dyDescent="0.35">
      <c r="A80" s="1">
        <v>43952</v>
      </c>
      <c r="B80" t="s">
        <v>10</v>
      </c>
      <c r="C80" t="s">
        <v>13</v>
      </c>
      <c r="D80">
        <f>AVERAGE(537,530,520,495)</f>
        <v>520.5</v>
      </c>
      <c r="E80">
        <v>0</v>
      </c>
      <c r="F80">
        <v>20.270273</v>
      </c>
      <c r="G80">
        <v>287.3</v>
      </c>
      <c r="H80">
        <v>187.86500000000001</v>
      </c>
      <c r="I80">
        <v>4</v>
      </c>
      <c r="J80">
        <v>104</v>
      </c>
      <c r="L80">
        <v>0</v>
      </c>
    </row>
    <row r="81" spans="1:12" x14ac:dyDescent="0.35">
      <c r="A81" s="1">
        <v>43952</v>
      </c>
      <c r="B81" t="s">
        <v>10</v>
      </c>
      <c r="C81" t="s">
        <v>14</v>
      </c>
      <c r="D81">
        <f>AVERAGE(512,506,523,491)</f>
        <v>508</v>
      </c>
      <c r="E81">
        <v>0</v>
      </c>
      <c r="F81">
        <v>29.852675999999999</v>
      </c>
      <c r="G81">
        <v>278.10000000000002</v>
      </c>
      <c r="H81">
        <v>187.86500000000001</v>
      </c>
      <c r="I81">
        <v>4</v>
      </c>
      <c r="J81">
        <v>104</v>
      </c>
      <c r="L81">
        <v>0</v>
      </c>
    </row>
    <row r="82" spans="1:12" x14ac:dyDescent="0.35">
      <c r="A82" s="1">
        <v>43952</v>
      </c>
      <c r="B82" t="s">
        <v>10</v>
      </c>
      <c r="C82" t="s">
        <v>15</v>
      </c>
      <c r="D82">
        <f>AVERAGE(470,462,455,500)</f>
        <v>471.75</v>
      </c>
      <c r="E82">
        <v>0</v>
      </c>
      <c r="F82">
        <v>29.802033999999999</v>
      </c>
      <c r="G82">
        <v>406</v>
      </c>
      <c r="H82">
        <v>187.86500000000001</v>
      </c>
      <c r="I82">
        <v>4</v>
      </c>
      <c r="J82">
        <v>104</v>
      </c>
      <c r="L82">
        <v>0</v>
      </c>
    </row>
    <row r="83" spans="1:12" x14ac:dyDescent="0.35">
      <c r="A83" s="1">
        <v>43952</v>
      </c>
      <c r="B83" t="s">
        <v>10</v>
      </c>
      <c r="C83" t="s">
        <v>16</v>
      </c>
      <c r="D83">
        <f>AVERAGE(526,531,530,518)</f>
        <v>526.25</v>
      </c>
      <c r="E83">
        <v>0</v>
      </c>
      <c r="F83">
        <v>28.868289999999998</v>
      </c>
      <c r="G83">
        <v>142.40001000000001</v>
      </c>
      <c r="H83">
        <v>187.86500000000001</v>
      </c>
      <c r="I83">
        <v>4</v>
      </c>
      <c r="J83">
        <v>104</v>
      </c>
      <c r="L83">
        <v>0</v>
      </c>
    </row>
    <row r="84" spans="1:12" x14ac:dyDescent="0.35">
      <c r="A84" s="1">
        <v>43952</v>
      </c>
      <c r="B84" t="s">
        <v>10</v>
      </c>
      <c r="C84" t="s">
        <v>17</v>
      </c>
      <c r="D84">
        <f>AVERAGE(535,545,542,553)</f>
        <v>543.75</v>
      </c>
      <c r="E84">
        <v>0</v>
      </c>
      <c r="F84">
        <v>30.609226</v>
      </c>
      <c r="G84">
        <v>206.7</v>
      </c>
      <c r="H84">
        <v>187.86500000000001</v>
      </c>
      <c r="I84">
        <v>4</v>
      </c>
      <c r="J84">
        <v>104</v>
      </c>
      <c r="L84">
        <v>0</v>
      </c>
    </row>
    <row r="85" spans="1:12" x14ac:dyDescent="0.35">
      <c r="A85" s="1">
        <v>43952</v>
      </c>
      <c r="B85" t="s">
        <v>10</v>
      </c>
      <c r="C85" t="s">
        <v>18</v>
      </c>
      <c r="D85" t="s">
        <v>26</v>
      </c>
      <c r="E85">
        <v>0</v>
      </c>
      <c r="F85">
        <v>29.849807999999999</v>
      </c>
      <c r="G85">
        <v>291.60000000000002</v>
      </c>
      <c r="H85">
        <v>187.86500000000001</v>
      </c>
      <c r="I85">
        <v>4</v>
      </c>
      <c r="J85">
        <v>104</v>
      </c>
      <c r="L85">
        <v>0</v>
      </c>
    </row>
    <row r="86" spans="1:12" x14ac:dyDescent="0.35">
      <c r="A86" s="1">
        <v>43952</v>
      </c>
      <c r="B86" t="s">
        <v>10</v>
      </c>
      <c r="C86" t="s">
        <v>19</v>
      </c>
      <c r="D86" t="s">
        <v>26</v>
      </c>
      <c r="E86">
        <v>0</v>
      </c>
      <c r="F86">
        <v>30.496289999999998</v>
      </c>
      <c r="G86">
        <v>307</v>
      </c>
      <c r="H86">
        <v>187.86500000000001</v>
      </c>
      <c r="I86">
        <v>4</v>
      </c>
      <c r="J86">
        <v>104</v>
      </c>
      <c r="L86">
        <v>0</v>
      </c>
    </row>
    <row r="87" spans="1:12" x14ac:dyDescent="0.35">
      <c r="A87" s="1">
        <v>43952</v>
      </c>
      <c r="B87" t="s">
        <v>10</v>
      </c>
      <c r="C87" t="s">
        <v>20</v>
      </c>
      <c r="D87">
        <f>AVERAGE(500,535,533)</f>
        <v>522.66666666666663</v>
      </c>
      <c r="E87">
        <v>0</v>
      </c>
      <c r="F87">
        <v>29.66413</v>
      </c>
      <c r="G87">
        <v>311.60000000000002</v>
      </c>
      <c r="H87">
        <v>187.86500000000001</v>
      </c>
      <c r="I87">
        <v>4</v>
      </c>
      <c r="J87">
        <v>104</v>
      </c>
      <c r="L87">
        <v>0</v>
      </c>
    </row>
    <row r="88" spans="1:12" x14ac:dyDescent="0.35">
      <c r="A88" s="1">
        <v>43952</v>
      </c>
      <c r="B88" t="s">
        <v>10</v>
      </c>
      <c r="C88" t="s">
        <v>21</v>
      </c>
      <c r="D88">
        <f>AVERAGE(520,520,480,490)</f>
        <v>502.5</v>
      </c>
      <c r="E88">
        <v>0</v>
      </c>
      <c r="F88">
        <v>29.338063999999999</v>
      </c>
      <c r="G88">
        <v>350.9</v>
      </c>
      <c r="H88">
        <v>187.86500000000001</v>
      </c>
      <c r="I88">
        <v>4</v>
      </c>
      <c r="J88">
        <v>104</v>
      </c>
      <c r="L88">
        <v>0</v>
      </c>
    </row>
    <row r="89" spans="1:12" x14ac:dyDescent="0.35">
      <c r="A89" s="1">
        <v>43952</v>
      </c>
      <c r="B89" t="s">
        <v>10</v>
      </c>
      <c r="C89" t="s">
        <v>22</v>
      </c>
      <c r="D89">
        <f>AVERAGE(520,550)</f>
        <v>535</v>
      </c>
      <c r="E89">
        <v>0</v>
      </c>
      <c r="F89">
        <v>28.815840000000001</v>
      </c>
      <c r="G89">
        <v>211</v>
      </c>
      <c r="H89">
        <v>187.86500000000001</v>
      </c>
      <c r="I89">
        <v>4</v>
      </c>
      <c r="J89">
        <v>104</v>
      </c>
      <c r="L89">
        <v>0</v>
      </c>
    </row>
    <row r="90" spans="1:12" x14ac:dyDescent="0.35">
      <c r="A90" s="1">
        <v>43952</v>
      </c>
      <c r="B90" t="s">
        <v>10</v>
      </c>
      <c r="C90" t="s">
        <v>23</v>
      </c>
      <c r="D90">
        <f>AVERAGE(523,500,500,500)</f>
        <v>505.75</v>
      </c>
      <c r="E90">
        <v>0</v>
      </c>
      <c r="F90">
        <v>31.359486</v>
      </c>
      <c r="G90">
        <v>68.200005000000004</v>
      </c>
      <c r="H90">
        <v>187.86500000000001</v>
      </c>
      <c r="I90">
        <v>4</v>
      </c>
      <c r="J90">
        <v>104</v>
      </c>
      <c r="L90">
        <v>0</v>
      </c>
    </row>
    <row r="91" spans="1:12" x14ac:dyDescent="0.35">
      <c r="A91" s="1">
        <v>43952</v>
      </c>
      <c r="B91" t="s">
        <v>10</v>
      </c>
      <c r="C91" t="s">
        <v>24</v>
      </c>
      <c r="D91">
        <f>AVERAGE(521,525,523,538)</f>
        <v>526.75</v>
      </c>
      <c r="E91">
        <v>0</v>
      </c>
      <c r="F91">
        <v>32.480193999999997</v>
      </c>
      <c r="G91">
        <v>99.3</v>
      </c>
      <c r="H91">
        <v>187.86500000000001</v>
      </c>
      <c r="I91">
        <v>4</v>
      </c>
      <c r="J91">
        <v>104</v>
      </c>
      <c r="L91">
        <v>0</v>
      </c>
    </row>
    <row r="92" spans="1:12" x14ac:dyDescent="0.35">
      <c r="A92" s="1">
        <v>43952</v>
      </c>
      <c r="B92" t="s">
        <v>25</v>
      </c>
      <c r="C92" t="s">
        <v>11</v>
      </c>
      <c r="D92">
        <f>AVERAGE(817,846,850,925)</f>
        <v>859.5</v>
      </c>
      <c r="E92">
        <v>0</v>
      </c>
      <c r="F92">
        <v>28.654935999999999</v>
      </c>
      <c r="G92">
        <v>230.1</v>
      </c>
      <c r="H92">
        <v>187.86500000000001</v>
      </c>
      <c r="I92">
        <v>4</v>
      </c>
      <c r="J92">
        <v>104</v>
      </c>
      <c r="L92">
        <v>0</v>
      </c>
    </row>
    <row r="93" spans="1:12" x14ac:dyDescent="0.35">
      <c r="A93" s="1">
        <v>43952</v>
      </c>
      <c r="B93" t="s">
        <v>25</v>
      </c>
      <c r="C93" t="s">
        <v>12</v>
      </c>
      <c r="D93">
        <f>AVERAGE(850,775,792,813)</f>
        <v>807.5</v>
      </c>
      <c r="E93">
        <v>0</v>
      </c>
      <c r="F93">
        <v>28.980516000000001</v>
      </c>
      <c r="G93">
        <v>250.40001000000001</v>
      </c>
      <c r="H93">
        <v>187.86500000000001</v>
      </c>
      <c r="I93">
        <v>4</v>
      </c>
      <c r="J93">
        <v>104</v>
      </c>
      <c r="L93">
        <v>0</v>
      </c>
    </row>
    <row r="94" spans="1:12" x14ac:dyDescent="0.35">
      <c r="A94" s="1">
        <v>43952</v>
      </c>
      <c r="B94" t="s">
        <v>25</v>
      </c>
      <c r="C94" t="s">
        <v>14</v>
      </c>
      <c r="D94">
        <f>AVERAGE(775)</f>
        <v>775</v>
      </c>
      <c r="E94">
        <v>0</v>
      </c>
      <c r="F94">
        <v>29.852675999999999</v>
      </c>
      <c r="G94">
        <v>278.10000000000002</v>
      </c>
      <c r="H94">
        <v>187.86500000000001</v>
      </c>
      <c r="I94">
        <v>4</v>
      </c>
      <c r="J94">
        <v>104</v>
      </c>
      <c r="L94">
        <v>0</v>
      </c>
    </row>
    <row r="95" spans="1:12" x14ac:dyDescent="0.35">
      <c r="A95" s="1">
        <v>43952</v>
      </c>
      <c r="B95" t="s">
        <v>25</v>
      </c>
      <c r="C95" t="s">
        <v>16</v>
      </c>
      <c r="D95">
        <f>AVERAGE(775,780,781,775)</f>
        <v>777.75</v>
      </c>
      <c r="E95">
        <v>0</v>
      </c>
      <c r="F95">
        <v>28.868289999999998</v>
      </c>
      <c r="G95">
        <v>142.40001000000001</v>
      </c>
      <c r="H95">
        <v>187.86500000000001</v>
      </c>
      <c r="I95">
        <v>4</v>
      </c>
      <c r="J95">
        <v>104</v>
      </c>
      <c r="L95">
        <v>0</v>
      </c>
    </row>
    <row r="96" spans="1:12" x14ac:dyDescent="0.35">
      <c r="A96" s="1">
        <v>43952</v>
      </c>
      <c r="B96" t="s">
        <v>25</v>
      </c>
      <c r="C96" t="s">
        <v>24</v>
      </c>
      <c r="D96">
        <f>AVERAGE(776,775,800,788)</f>
        <v>784.75</v>
      </c>
      <c r="E96">
        <v>0</v>
      </c>
      <c r="F96">
        <v>32.480193999999997</v>
      </c>
      <c r="G96">
        <v>99.3</v>
      </c>
      <c r="H96">
        <v>187.86500000000001</v>
      </c>
      <c r="I96">
        <v>4</v>
      </c>
      <c r="J96">
        <v>104</v>
      </c>
      <c r="L96">
        <v>0</v>
      </c>
    </row>
    <row r="97" spans="1:12" x14ac:dyDescent="0.35">
      <c r="A97" s="1">
        <v>43983</v>
      </c>
      <c r="B97" t="s">
        <v>10</v>
      </c>
      <c r="C97" t="s">
        <v>11</v>
      </c>
      <c r="D97">
        <f>AVERAGE(487,495,501,503,504)</f>
        <v>498</v>
      </c>
      <c r="E97">
        <v>1</v>
      </c>
      <c r="F97">
        <v>28.296333000000001</v>
      </c>
      <c r="G97">
        <v>89.8</v>
      </c>
      <c r="H97">
        <v>185.9545</v>
      </c>
      <c r="I97">
        <v>3.9</v>
      </c>
      <c r="J97">
        <v>104</v>
      </c>
      <c r="L97">
        <v>0</v>
      </c>
    </row>
    <row r="98" spans="1:12" x14ac:dyDescent="0.35">
      <c r="A98" s="1">
        <v>43983</v>
      </c>
      <c r="B98" t="s">
        <v>10</v>
      </c>
      <c r="C98" t="s">
        <v>12</v>
      </c>
      <c r="D98">
        <f>AVERAGE(514,519,476,508,489)</f>
        <v>501.2</v>
      </c>
      <c r="E98">
        <v>1</v>
      </c>
      <c r="F98">
        <v>28.044333999999999</v>
      </c>
      <c r="G98">
        <v>148.30000000000001</v>
      </c>
      <c r="H98">
        <v>185.9545</v>
      </c>
      <c r="I98">
        <v>3.9</v>
      </c>
      <c r="J98">
        <v>104</v>
      </c>
      <c r="L98">
        <v>0</v>
      </c>
    </row>
    <row r="99" spans="1:12" x14ac:dyDescent="0.35">
      <c r="A99" s="1">
        <v>43983</v>
      </c>
      <c r="B99" t="s">
        <v>10</v>
      </c>
      <c r="C99" t="s">
        <v>13</v>
      </c>
      <c r="D99">
        <f>AVERAGE(491,493,500,500,510)</f>
        <v>498.8</v>
      </c>
      <c r="E99">
        <v>1</v>
      </c>
      <c r="F99">
        <v>18.788499999999999</v>
      </c>
      <c r="G99">
        <v>110.2</v>
      </c>
      <c r="H99">
        <v>185.9545</v>
      </c>
      <c r="I99">
        <v>3.9</v>
      </c>
      <c r="J99">
        <v>104</v>
      </c>
      <c r="L99">
        <v>0</v>
      </c>
    </row>
    <row r="100" spans="1:12" x14ac:dyDescent="0.35">
      <c r="A100" s="1">
        <v>43983</v>
      </c>
      <c r="B100" t="s">
        <v>10</v>
      </c>
      <c r="C100" t="s">
        <v>14</v>
      </c>
      <c r="D100">
        <f>AVERAGE(500,503,506,491,468)</f>
        <v>493.6</v>
      </c>
      <c r="E100">
        <v>1</v>
      </c>
      <c r="F100">
        <v>28.864666</v>
      </c>
      <c r="G100">
        <v>223</v>
      </c>
      <c r="H100">
        <v>185.9545</v>
      </c>
      <c r="I100">
        <v>3.9</v>
      </c>
      <c r="J100">
        <v>104</v>
      </c>
      <c r="L100">
        <v>0</v>
      </c>
    </row>
    <row r="101" spans="1:12" x14ac:dyDescent="0.35">
      <c r="A101" s="1">
        <v>43983</v>
      </c>
      <c r="B101" t="s">
        <v>10</v>
      </c>
      <c r="C101" t="s">
        <v>15</v>
      </c>
      <c r="D101">
        <f>AVERAGE(455,490,475,487,498)</f>
        <v>481</v>
      </c>
      <c r="E101">
        <v>1</v>
      </c>
      <c r="F101">
        <v>29.358000000000001</v>
      </c>
      <c r="G101">
        <v>354.9</v>
      </c>
      <c r="H101">
        <v>185.9545</v>
      </c>
      <c r="I101">
        <v>3.9</v>
      </c>
      <c r="J101">
        <v>104</v>
      </c>
      <c r="L101">
        <v>0</v>
      </c>
    </row>
    <row r="102" spans="1:12" x14ac:dyDescent="0.35">
      <c r="A102" s="1">
        <v>43983</v>
      </c>
      <c r="B102" t="s">
        <v>10</v>
      </c>
      <c r="C102" t="s">
        <v>16</v>
      </c>
      <c r="D102">
        <f>AVERAGE(504,478,499,496,483)</f>
        <v>492</v>
      </c>
      <c r="E102">
        <v>1</v>
      </c>
      <c r="F102">
        <v>30.223665</v>
      </c>
      <c r="G102">
        <v>62.1</v>
      </c>
      <c r="H102">
        <v>185.9545</v>
      </c>
      <c r="I102">
        <v>3.9</v>
      </c>
      <c r="J102">
        <v>104</v>
      </c>
      <c r="L102">
        <v>0</v>
      </c>
    </row>
    <row r="103" spans="1:12" x14ac:dyDescent="0.35">
      <c r="A103" s="1">
        <v>43983</v>
      </c>
      <c r="B103" t="s">
        <v>10</v>
      </c>
      <c r="C103" t="s">
        <v>17</v>
      </c>
      <c r="D103">
        <f>AVERAGE(517,507,523,523,533)</f>
        <v>520.6</v>
      </c>
      <c r="E103">
        <v>1</v>
      </c>
      <c r="F103">
        <v>29.804333</v>
      </c>
      <c r="G103">
        <v>166.5</v>
      </c>
      <c r="H103">
        <v>185.9545</v>
      </c>
      <c r="I103">
        <v>3.9</v>
      </c>
      <c r="J103">
        <v>104</v>
      </c>
      <c r="L103">
        <v>0</v>
      </c>
    </row>
    <row r="104" spans="1:12" x14ac:dyDescent="0.35">
      <c r="A104" s="1">
        <v>43983</v>
      </c>
      <c r="B104" t="s">
        <v>10</v>
      </c>
      <c r="C104" t="s">
        <v>18</v>
      </c>
      <c r="D104">
        <f>AVERAGE(500,500,513,463,456)</f>
        <v>486.4</v>
      </c>
      <c r="E104">
        <v>1</v>
      </c>
      <c r="F104">
        <v>29.174002000000002</v>
      </c>
      <c r="G104">
        <v>260.39999999999998</v>
      </c>
      <c r="H104">
        <v>185.9545</v>
      </c>
      <c r="I104">
        <v>3.9</v>
      </c>
      <c r="J104">
        <v>104</v>
      </c>
      <c r="L104">
        <v>0</v>
      </c>
    </row>
    <row r="105" spans="1:12" x14ac:dyDescent="0.35">
      <c r="A105" s="1">
        <v>43983</v>
      </c>
      <c r="B105" t="s">
        <v>10</v>
      </c>
      <c r="C105" t="s">
        <v>19</v>
      </c>
      <c r="D105">
        <f>AVERAGE(504,505,516,510,518)</f>
        <v>510.6</v>
      </c>
      <c r="E105">
        <v>1</v>
      </c>
      <c r="F105">
        <v>29.711666000000001</v>
      </c>
      <c r="G105">
        <v>284.10000000000002</v>
      </c>
      <c r="H105">
        <v>185.9545</v>
      </c>
      <c r="I105">
        <v>3.9</v>
      </c>
      <c r="J105">
        <v>104</v>
      </c>
      <c r="L105">
        <v>0</v>
      </c>
    </row>
    <row r="106" spans="1:12" x14ac:dyDescent="0.35">
      <c r="A106" s="1">
        <v>43983</v>
      </c>
      <c r="B106" t="s">
        <v>10</v>
      </c>
      <c r="C106" t="s">
        <v>20</v>
      </c>
      <c r="D106">
        <f>AVERAGE(500)</f>
        <v>500</v>
      </c>
      <c r="E106">
        <v>1</v>
      </c>
      <c r="F106">
        <v>29.211334000000001</v>
      </c>
      <c r="G106">
        <v>248.70000999999999</v>
      </c>
      <c r="H106">
        <v>185.9545</v>
      </c>
      <c r="I106">
        <v>3.9</v>
      </c>
      <c r="J106">
        <v>104</v>
      </c>
      <c r="L106">
        <v>0</v>
      </c>
    </row>
    <row r="107" spans="1:12" x14ac:dyDescent="0.35">
      <c r="A107" s="1">
        <v>43983</v>
      </c>
      <c r="B107" t="s">
        <v>10</v>
      </c>
      <c r="C107" t="s">
        <v>21</v>
      </c>
      <c r="D107">
        <f>AVERAGE(440,490,490,490,520)</f>
        <v>486</v>
      </c>
      <c r="E107">
        <v>1</v>
      </c>
      <c r="F107">
        <v>28.961666000000001</v>
      </c>
      <c r="G107">
        <v>231.40001000000001</v>
      </c>
      <c r="H107">
        <v>185.9545</v>
      </c>
      <c r="I107">
        <v>3.9</v>
      </c>
      <c r="J107">
        <v>104</v>
      </c>
      <c r="L107">
        <v>0</v>
      </c>
    </row>
    <row r="108" spans="1:12" x14ac:dyDescent="0.35">
      <c r="A108" s="1">
        <v>43983</v>
      </c>
      <c r="B108" t="s">
        <v>10</v>
      </c>
      <c r="C108" t="s">
        <v>22</v>
      </c>
      <c r="D108">
        <f>AVERAGE(520)</f>
        <v>520</v>
      </c>
      <c r="E108">
        <v>1</v>
      </c>
      <c r="F108">
        <v>28.487666999999998</v>
      </c>
      <c r="G108">
        <v>114.89999400000001</v>
      </c>
      <c r="H108">
        <v>185.9545</v>
      </c>
      <c r="I108">
        <v>3.9</v>
      </c>
      <c r="J108">
        <v>104</v>
      </c>
      <c r="L108">
        <v>0</v>
      </c>
    </row>
    <row r="109" spans="1:12" x14ac:dyDescent="0.35">
      <c r="A109" s="1">
        <v>43983</v>
      </c>
      <c r="B109" t="s">
        <v>10</v>
      </c>
      <c r="C109" t="s">
        <v>23</v>
      </c>
      <c r="D109">
        <f>AVERAGE(533,500,500,480,480)</f>
        <v>498.6</v>
      </c>
      <c r="E109">
        <v>1</v>
      </c>
      <c r="F109">
        <v>32.387332999999998</v>
      </c>
      <c r="G109">
        <v>27.2</v>
      </c>
      <c r="H109">
        <v>185.9545</v>
      </c>
      <c r="I109">
        <v>3.9</v>
      </c>
      <c r="J109">
        <v>104</v>
      </c>
      <c r="L109">
        <v>0</v>
      </c>
    </row>
    <row r="110" spans="1:12" x14ac:dyDescent="0.35">
      <c r="A110" s="1">
        <v>43983</v>
      </c>
      <c r="B110" t="s">
        <v>10</v>
      </c>
      <c r="C110" t="s">
        <v>24</v>
      </c>
      <c r="D110">
        <f>AVERAGE(518,512,500,493,460)</f>
        <v>496.6</v>
      </c>
      <c r="E110">
        <v>1</v>
      </c>
      <c r="F110">
        <v>35.427666000000002</v>
      </c>
      <c r="G110">
        <v>40.5</v>
      </c>
      <c r="H110">
        <v>185.9545</v>
      </c>
      <c r="I110">
        <v>3.9</v>
      </c>
      <c r="J110">
        <v>104</v>
      </c>
      <c r="L110">
        <v>0</v>
      </c>
    </row>
    <row r="111" spans="1:12" x14ac:dyDescent="0.35">
      <c r="A111" s="1">
        <v>43983</v>
      </c>
      <c r="B111" t="s">
        <v>25</v>
      </c>
      <c r="C111" t="s">
        <v>11</v>
      </c>
      <c r="D111">
        <f>AVERAGE(838,834,850,833,863)</f>
        <v>843.6</v>
      </c>
      <c r="E111">
        <v>1</v>
      </c>
      <c r="F111">
        <v>28.296333000000001</v>
      </c>
      <c r="G111">
        <v>89.8</v>
      </c>
      <c r="H111">
        <v>185.9545</v>
      </c>
      <c r="I111">
        <v>3.9</v>
      </c>
      <c r="J111">
        <v>104</v>
      </c>
      <c r="L111">
        <v>0</v>
      </c>
    </row>
    <row r="112" spans="1:12" x14ac:dyDescent="0.35">
      <c r="A112" s="1">
        <v>43983</v>
      </c>
      <c r="B112" t="s">
        <v>25</v>
      </c>
      <c r="C112" t="s">
        <v>12</v>
      </c>
      <c r="D112">
        <f>AVERAGE(782,794,746,782,800)</f>
        <v>780.8</v>
      </c>
      <c r="E112">
        <v>1</v>
      </c>
      <c r="F112">
        <v>28.044333999999999</v>
      </c>
      <c r="G112">
        <v>148.30000000000001</v>
      </c>
      <c r="H112">
        <v>185.9545</v>
      </c>
      <c r="I112">
        <v>3.9</v>
      </c>
      <c r="J112">
        <v>104</v>
      </c>
      <c r="L112">
        <v>0</v>
      </c>
    </row>
    <row r="113" spans="1:12" x14ac:dyDescent="0.35">
      <c r="A113" s="1">
        <v>43983</v>
      </c>
      <c r="B113" t="s">
        <v>25</v>
      </c>
      <c r="C113" t="s">
        <v>14</v>
      </c>
      <c r="D113">
        <f>AVERAGE(733,800,800,750,716)</f>
        <v>759.8</v>
      </c>
      <c r="E113">
        <v>1</v>
      </c>
      <c r="F113">
        <v>28.864666</v>
      </c>
      <c r="G113">
        <v>223</v>
      </c>
      <c r="H113">
        <v>185.9545</v>
      </c>
      <c r="I113">
        <v>3.9</v>
      </c>
      <c r="J113">
        <v>104</v>
      </c>
      <c r="L113">
        <v>0</v>
      </c>
    </row>
    <row r="114" spans="1:12" x14ac:dyDescent="0.35">
      <c r="A114" s="1">
        <v>43983</v>
      </c>
      <c r="B114" t="s">
        <v>25</v>
      </c>
      <c r="C114" t="s">
        <v>16</v>
      </c>
      <c r="D114">
        <f>AVERAGE(775,775,700,775,775)</f>
        <v>760</v>
      </c>
      <c r="E114">
        <v>1</v>
      </c>
      <c r="F114">
        <v>30.223665</v>
      </c>
      <c r="G114">
        <v>62.1</v>
      </c>
      <c r="H114">
        <v>185.9545</v>
      </c>
      <c r="I114">
        <v>3.9</v>
      </c>
      <c r="J114">
        <v>104</v>
      </c>
      <c r="L114">
        <v>0</v>
      </c>
    </row>
    <row r="115" spans="1:12" x14ac:dyDescent="0.35">
      <c r="A115" s="1">
        <v>43983</v>
      </c>
      <c r="B115" t="s">
        <v>25</v>
      </c>
      <c r="C115" t="s">
        <v>24</v>
      </c>
      <c r="D115">
        <f>AVERAGE(755,793,795,750,763)</f>
        <v>771.2</v>
      </c>
      <c r="E115">
        <v>1</v>
      </c>
      <c r="F115">
        <v>35.427666000000002</v>
      </c>
      <c r="G115">
        <v>40.5</v>
      </c>
      <c r="H115">
        <v>185.9545</v>
      </c>
      <c r="I115">
        <v>3.9</v>
      </c>
      <c r="J115">
        <v>104</v>
      </c>
      <c r="L115">
        <v>0</v>
      </c>
    </row>
    <row r="116" spans="1:12" x14ac:dyDescent="0.35">
      <c r="A116" s="1">
        <v>44013</v>
      </c>
      <c r="B116" t="s">
        <v>10</v>
      </c>
      <c r="C116" t="s">
        <v>11</v>
      </c>
      <c r="D116">
        <f>AVERAGE(518,498,470,485)</f>
        <v>492.75</v>
      </c>
      <c r="E116">
        <v>1</v>
      </c>
      <c r="F116">
        <v>27.806546999999998</v>
      </c>
      <c r="G116">
        <v>140.80000000000001</v>
      </c>
      <c r="H116">
        <v>185.84870000000001</v>
      </c>
      <c r="I116">
        <v>4.2</v>
      </c>
      <c r="J116">
        <v>104</v>
      </c>
      <c r="L116">
        <v>0</v>
      </c>
    </row>
    <row r="117" spans="1:12" x14ac:dyDescent="0.35">
      <c r="A117" s="1">
        <v>44013</v>
      </c>
      <c r="B117" t="s">
        <v>10</v>
      </c>
      <c r="C117" t="s">
        <v>12</v>
      </c>
      <c r="D117">
        <f>AVERAGE(512,476,514,543)</f>
        <v>511.25</v>
      </c>
      <c r="E117">
        <v>1</v>
      </c>
      <c r="F117">
        <v>27.549871</v>
      </c>
      <c r="G117">
        <v>172.1</v>
      </c>
      <c r="H117">
        <v>185.84870000000001</v>
      </c>
      <c r="I117">
        <v>4.2</v>
      </c>
      <c r="J117">
        <v>104</v>
      </c>
      <c r="L117">
        <v>0</v>
      </c>
    </row>
    <row r="118" spans="1:12" x14ac:dyDescent="0.35">
      <c r="A118" s="1">
        <v>44013</v>
      </c>
      <c r="B118" t="s">
        <v>10</v>
      </c>
      <c r="C118" t="s">
        <v>13</v>
      </c>
      <c r="D118">
        <f>AVERAGE(503,495,497,480)</f>
        <v>493.75</v>
      </c>
      <c r="E118">
        <v>1</v>
      </c>
      <c r="F118">
        <v>18.578337000000001</v>
      </c>
      <c r="G118">
        <v>172.3</v>
      </c>
      <c r="H118">
        <v>185.84870000000001</v>
      </c>
      <c r="I118">
        <v>4.2</v>
      </c>
      <c r="J118">
        <v>104</v>
      </c>
      <c r="L118">
        <v>0</v>
      </c>
    </row>
    <row r="119" spans="1:12" x14ac:dyDescent="0.35">
      <c r="A119" s="1">
        <v>44013</v>
      </c>
      <c r="B119" t="s">
        <v>10</v>
      </c>
      <c r="C119" t="s">
        <v>14</v>
      </c>
      <c r="D119">
        <f>AVERAGE(478,480,483,533)</f>
        <v>493.5</v>
      </c>
      <c r="E119">
        <v>1</v>
      </c>
      <c r="F119">
        <v>28.391386000000001</v>
      </c>
      <c r="G119">
        <v>239.4</v>
      </c>
      <c r="H119">
        <v>185.84870000000001</v>
      </c>
      <c r="I119">
        <v>4.2</v>
      </c>
      <c r="J119">
        <v>104</v>
      </c>
      <c r="L119">
        <v>0</v>
      </c>
    </row>
    <row r="120" spans="1:12" x14ac:dyDescent="0.35">
      <c r="A120" s="1">
        <v>44013</v>
      </c>
      <c r="B120" t="s">
        <v>10</v>
      </c>
      <c r="C120" t="s">
        <v>15</v>
      </c>
      <c r="D120">
        <f>AVERAGE(545,487,455,450)</f>
        <v>484.25</v>
      </c>
      <c r="E120">
        <v>1</v>
      </c>
      <c r="F120">
        <v>28.876225999999999</v>
      </c>
      <c r="G120">
        <v>428.2</v>
      </c>
      <c r="H120">
        <v>185.84870000000001</v>
      </c>
      <c r="I120">
        <v>4.2</v>
      </c>
      <c r="J120">
        <v>104</v>
      </c>
      <c r="L120">
        <v>0</v>
      </c>
    </row>
    <row r="121" spans="1:12" x14ac:dyDescent="0.35">
      <c r="A121" s="1">
        <v>44013</v>
      </c>
      <c r="B121" t="s">
        <v>10</v>
      </c>
      <c r="C121" t="s">
        <v>16</v>
      </c>
      <c r="D121">
        <f>AVERAGE(488,470,474,527)</f>
        <v>489.75</v>
      </c>
      <c r="E121">
        <v>1</v>
      </c>
      <c r="F121">
        <v>29.095708999999999</v>
      </c>
      <c r="G121">
        <v>156.80000000000001</v>
      </c>
      <c r="H121">
        <v>185.84870000000001</v>
      </c>
      <c r="I121">
        <v>4.2</v>
      </c>
      <c r="J121">
        <v>104</v>
      </c>
      <c r="L121">
        <v>0</v>
      </c>
    </row>
    <row r="122" spans="1:12" x14ac:dyDescent="0.35">
      <c r="A122" s="1">
        <v>44013</v>
      </c>
      <c r="B122" t="s">
        <v>10</v>
      </c>
      <c r="C122" t="s">
        <v>17</v>
      </c>
      <c r="D122">
        <f>AVERAGE(533,507,500,500)</f>
        <v>510</v>
      </c>
      <c r="E122">
        <v>1</v>
      </c>
      <c r="F122">
        <v>29.215679999999999</v>
      </c>
      <c r="G122">
        <v>177.7</v>
      </c>
      <c r="H122">
        <v>185.84870000000001</v>
      </c>
      <c r="I122">
        <v>4.2</v>
      </c>
      <c r="J122">
        <v>104</v>
      </c>
      <c r="L122">
        <v>0</v>
      </c>
    </row>
    <row r="123" spans="1:12" x14ac:dyDescent="0.35">
      <c r="A123" s="1">
        <v>44013</v>
      </c>
      <c r="B123" t="s">
        <v>10</v>
      </c>
      <c r="C123" t="s">
        <v>18</v>
      </c>
      <c r="D123">
        <f>AVERAGE(470,463,460,531)</f>
        <v>481</v>
      </c>
      <c r="E123">
        <v>1</v>
      </c>
      <c r="F123">
        <v>28.635292</v>
      </c>
      <c r="G123">
        <v>256.10000000000002</v>
      </c>
      <c r="H123">
        <v>185.84870000000001</v>
      </c>
      <c r="I123">
        <v>4.2</v>
      </c>
      <c r="J123">
        <v>104</v>
      </c>
      <c r="L123">
        <v>0</v>
      </c>
    </row>
    <row r="124" spans="1:12" x14ac:dyDescent="0.35">
      <c r="A124" s="1">
        <v>44013</v>
      </c>
      <c r="B124" t="s">
        <v>10</v>
      </c>
      <c r="C124" t="s">
        <v>19</v>
      </c>
      <c r="D124">
        <f>AVERAGE(502,535,490,492)</f>
        <v>504.75</v>
      </c>
      <c r="E124">
        <v>1</v>
      </c>
      <c r="F124">
        <v>29.083385</v>
      </c>
      <c r="G124">
        <v>275.60000000000002</v>
      </c>
      <c r="H124">
        <v>185.84870000000001</v>
      </c>
      <c r="I124">
        <v>4.2</v>
      </c>
      <c r="J124">
        <v>104</v>
      </c>
      <c r="L124">
        <v>0</v>
      </c>
    </row>
    <row r="125" spans="1:12" x14ac:dyDescent="0.35">
      <c r="A125" s="1">
        <v>44013</v>
      </c>
      <c r="B125" t="s">
        <v>10</v>
      </c>
      <c r="C125" t="s">
        <v>20</v>
      </c>
      <c r="D125">
        <f>AVERAGE(500)</f>
        <v>500</v>
      </c>
      <c r="E125">
        <v>1</v>
      </c>
      <c r="F125">
        <v>28.717354</v>
      </c>
      <c r="G125">
        <v>261.60000000000002</v>
      </c>
      <c r="H125">
        <v>185.84870000000001</v>
      </c>
      <c r="I125">
        <v>4.2</v>
      </c>
      <c r="J125">
        <v>104</v>
      </c>
      <c r="L125">
        <v>0</v>
      </c>
    </row>
    <row r="126" spans="1:12" x14ac:dyDescent="0.35">
      <c r="A126" s="1">
        <v>44013</v>
      </c>
      <c r="B126" t="s">
        <v>10</v>
      </c>
      <c r="C126" t="s">
        <v>21</v>
      </c>
      <c r="D126">
        <f>AVERAGE(450,450,475,550)</f>
        <v>481.25</v>
      </c>
      <c r="E126">
        <v>1</v>
      </c>
      <c r="F126">
        <v>28.420321999999999</v>
      </c>
      <c r="G126">
        <v>302.3</v>
      </c>
      <c r="H126">
        <v>185.84870000000001</v>
      </c>
      <c r="I126">
        <v>4.2</v>
      </c>
      <c r="J126">
        <v>104</v>
      </c>
      <c r="L126">
        <v>0</v>
      </c>
    </row>
    <row r="127" spans="1:12" x14ac:dyDescent="0.35">
      <c r="A127" s="1">
        <v>44013</v>
      </c>
      <c r="B127" t="s">
        <v>10</v>
      </c>
      <c r="C127" t="s">
        <v>22</v>
      </c>
      <c r="D127">
        <f>AVERAGE(480,480,500,550)</f>
        <v>502.5</v>
      </c>
      <c r="E127">
        <v>1</v>
      </c>
      <c r="F127">
        <v>27.828742999999999</v>
      </c>
      <c r="G127">
        <v>234.89998</v>
      </c>
      <c r="H127">
        <v>185.84870000000001</v>
      </c>
      <c r="I127">
        <v>4.2</v>
      </c>
      <c r="J127">
        <v>104</v>
      </c>
      <c r="L127">
        <v>0</v>
      </c>
    </row>
    <row r="128" spans="1:12" x14ac:dyDescent="0.35">
      <c r="A128" s="1">
        <v>44013</v>
      </c>
      <c r="B128" t="s">
        <v>10</v>
      </c>
      <c r="C128" t="s">
        <v>23</v>
      </c>
      <c r="D128">
        <f>AVERAGE(525,500,460,450)</f>
        <v>483.75</v>
      </c>
      <c r="E128">
        <v>1</v>
      </c>
      <c r="F128">
        <v>31.046581</v>
      </c>
      <c r="G128">
        <v>92.5</v>
      </c>
      <c r="H128">
        <v>185.84870000000001</v>
      </c>
      <c r="I128">
        <v>4.2</v>
      </c>
      <c r="J128">
        <v>104</v>
      </c>
      <c r="L128">
        <v>0</v>
      </c>
    </row>
    <row r="129" spans="1:12" x14ac:dyDescent="0.35">
      <c r="A129" s="1">
        <v>44013</v>
      </c>
      <c r="B129" t="s">
        <v>10</v>
      </c>
      <c r="C129" t="s">
        <v>24</v>
      </c>
      <c r="D129">
        <f>AVERAGE(473,475,500,560)</f>
        <v>502</v>
      </c>
      <c r="E129">
        <v>1</v>
      </c>
      <c r="F129">
        <v>33.364060000000002</v>
      </c>
      <c r="G129">
        <v>98.6</v>
      </c>
      <c r="H129">
        <v>185.84870000000001</v>
      </c>
      <c r="I129">
        <v>4.2</v>
      </c>
      <c r="J129">
        <v>104</v>
      </c>
      <c r="L129">
        <v>0</v>
      </c>
    </row>
    <row r="130" spans="1:12" x14ac:dyDescent="0.35">
      <c r="A130" s="1">
        <v>44013</v>
      </c>
      <c r="B130" t="s">
        <v>25</v>
      </c>
      <c r="C130" t="s">
        <v>11</v>
      </c>
      <c r="D130">
        <f>AVERAGE(816,861,817,862)</f>
        <v>839</v>
      </c>
      <c r="E130">
        <v>1</v>
      </c>
      <c r="F130">
        <v>27.806546999999998</v>
      </c>
      <c r="G130">
        <v>140.80000000000001</v>
      </c>
      <c r="H130">
        <v>185.84870000000001</v>
      </c>
      <c r="I130">
        <v>4.2</v>
      </c>
      <c r="J130">
        <v>104</v>
      </c>
      <c r="L130">
        <v>0</v>
      </c>
    </row>
    <row r="131" spans="1:12" x14ac:dyDescent="0.35">
      <c r="A131" s="1">
        <v>44013</v>
      </c>
      <c r="B131" t="s">
        <v>25</v>
      </c>
      <c r="C131" t="s">
        <v>12</v>
      </c>
      <c r="D131">
        <f>AVERAGE(800,770,794,833)</f>
        <v>799.25</v>
      </c>
      <c r="E131">
        <v>1</v>
      </c>
      <c r="F131">
        <v>27.549871</v>
      </c>
      <c r="G131">
        <v>172.1</v>
      </c>
      <c r="H131">
        <v>185.84870000000001</v>
      </c>
      <c r="I131">
        <v>4.2</v>
      </c>
      <c r="J131">
        <v>104</v>
      </c>
      <c r="L131">
        <v>0</v>
      </c>
    </row>
    <row r="132" spans="1:12" x14ac:dyDescent="0.35">
      <c r="A132" s="1">
        <v>44013</v>
      </c>
      <c r="B132" t="s">
        <v>25</v>
      </c>
      <c r="C132" t="s">
        <v>14</v>
      </c>
      <c r="D132">
        <f>AVERAGE(816,850,750,850)</f>
        <v>816.5</v>
      </c>
      <c r="E132">
        <v>1</v>
      </c>
      <c r="F132">
        <v>28.391386000000001</v>
      </c>
      <c r="G132">
        <v>239.4</v>
      </c>
      <c r="H132">
        <v>185.84870000000001</v>
      </c>
      <c r="I132">
        <v>4.2</v>
      </c>
      <c r="J132">
        <v>104</v>
      </c>
      <c r="L132">
        <v>0</v>
      </c>
    </row>
    <row r="133" spans="1:12" x14ac:dyDescent="0.35">
      <c r="A133" s="1">
        <v>44013</v>
      </c>
      <c r="B133" t="s">
        <v>25</v>
      </c>
      <c r="C133" t="s">
        <v>16</v>
      </c>
      <c r="D133">
        <f>AVERAGE(796,758,775,750)</f>
        <v>769.75</v>
      </c>
      <c r="E133">
        <v>1</v>
      </c>
      <c r="F133">
        <v>29.095708999999999</v>
      </c>
      <c r="G133">
        <v>156.80000000000001</v>
      </c>
      <c r="H133">
        <v>185.84870000000001</v>
      </c>
      <c r="I133">
        <v>4.2</v>
      </c>
      <c r="J133">
        <v>104</v>
      </c>
      <c r="L133">
        <v>0</v>
      </c>
    </row>
    <row r="134" spans="1:12" x14ac:dyDescent="0.35">
      <c r="A134" s="1">
        <v>44013</v>
      </c>
      <c r="B134" t="s">
        <v>25</v>
      </c>
      <c r="C134" t="s">
        <v>24</v>
      </c>
      <c r="D134">
        <f>AVERAGE(775,785,785,791)</f>
        <v>784</v>
      </c>
      <c r="E134">
        <v>1</v>
      </c>
      <c r="F134">
        <v>33.364060000000002</v>
      </c>
      <c r="G134">
        <v>98.6</v>
      </c>
      <c r="H134">
        <v>185.84870000000001</v>
      </c>
      <c r="I134">
        <v>4.2</v>
      </c>
      <c r="J134">
        <v>104</v>
      </c>
      <c r="L134">
        <v>0</v>
      </c>
    </row>
    <row r="135" spans="1:12" x14ac:dyDescent="0.35">
      <c r="A135" s="1">
        <v>44044</v>
      </c>
      <c r="B135" t="s">
        <v>10</v>
      </c>
      <c r="C135" t="s">
        <v>11</v>
      </c>
      <c r="D135">
        <f>AVERAGE(516,525,536,576,570)</f>
        <v>544.6</v>
      </c>
      <c r="E135">
        <v>1</v>
      </c>
      <c r="F135">
        <v>27.496872</v>
      </c>
      <c r="G135">
        <v>159.20000999999999</v>
      </c>
      <c r="H135">
        <v>184.8939</v>
      </c>
      <c r="I135">
        <v>4.0999999999999996</v>
      </c>
      <c r="J135">
        <v>104</v>
      </c>
      <c r="L135">
        <v>0</v>
      </c>
    </row>
    <row r="136" spans="1:12" x14ac:dyDescent="0.35">
      <c r="A136" s="1">
        <v>44044</v>
      </c>
      <c r="B136" t="s">
        <v>10</v>
      </c>
      <c r="C136" t="s">
        <v>12</v>
      </c>
      <c r="D136">
        <f>AVERAGE(537,576,546,541,533)</f>
        <v>546.6</v>
      </c>
      <c r="E136">
        <v>1</v>
      </c>
      <c r="F136">
        <v>27.754709999999999</v>
      </c>
      <c r="G136">
        <v>187.6</v>
      </c>
      <c r="H136">
        <v>184.8939</v>
      </c>
      <c r="I136">
        <v>4.0999999999999996</v>
      </c>
      <c r="J136">
        <v>104</v>
      </c>
      <c r="L136">
        <v>0</v>
      </c>
    </row>
    <row r="137" spans="1:12" x14ac:dyDescent="0.35">
      <c r="A137" s="1">
        <v>44044</v>
      </c>
      <c r="B137" t="s">
        <v>10</v>
      </c>
      <c r="C137" t="s">
        <v>13</v>
      </c>
      <c r="D137">
        <f>AVERAGE(520,520,527,553,530)</f>
        <v>530</v>
      </c>
      <c r="E137">
        <v>1</v>
      </c>
      <c r="F137">
        <v>18.812207999999998</v>
      </c>
      <c r="G137">
        <v>231.5</v>
      </c>
      <c r="H137">
        <v>184.8939</v>
      </c>
      <c r="I137">
        <v>4.0999999999999996</v>
      </c>
      <c r="J137">
        <v>104</v>
      </c>
      <c r="L137">
        <v>0</v>
      </c>
    </row>
    <row r="138" spans="1:12" x14ac:dyDescent="0.35">
      <c r="A138" s="1">
        <v>44044</v>
      </c>
      <c r="B138" t="s">
        <v>10</v>
      </c>
      <c r="C138" t="s">
        <v>14</v>
      </c>
      <c r="D138">
        <f>AVERAGE(586,586,526,523,523)</f>
        <v>548.79999999999995</v>
      </c>
      <c r="E138">
        <v>1</v>
      </c>
      <c r="F138">
        <v>28.852675999999999</v>
      </c>
      <c r="G138">
        <v>270.60000000000002</v>
      </c>
      <c r="H138">
        <v>184.8939</v>
      </c>
      <c r="I138">
        <v>4.0999999999999996</v>
      </c>
      <c r="J138">
        <v>104</v>
      </c>
      <c r="L138">
        <v>0</v>
      </c>
    </row>
    <row r="139" spans="1:12" x14ac:dyDescent="0.35">
      <c r="A139" s="1">
        <v>44044</v>
      </c>
      <c r="B139" t="s">
        <v>10</v>
      </c>
      <c r="C139" t="s">
        <v>15</v>
      </c>
      <c r="D139">
        <f>AVERAGE(510,526,555,592,580)</f>
        <v>552.6</v>
      </c>
      <c r="E139">
        <v>1</v>
      </c>
      <c r="F139">
        <v>29.208485</v>
      </c>
      <c r="G139">
        <v>331.8</v>
      </c>
      <c r="H139">
        <v>184.8939</v>
      </c>
      <c r="I139">
        <v>4.0999999999999996</v>
      </c>
      <c r="J139">
        <v>104</v>
      </c>
      <c r="L139">
        <v>0</v>
      </c>
    </row>
    <row r="140" spans="1:12" x14ac:dyDescent="0.35">
      <c r="A140" s="1">
        <v>44044</v>
      </c>
      <c r="B140" t="s">
        <v>10</v>
      </c>
      <c r="C140" t="s">
        <v>16</v>
      </c>
      <c r="D140">
        <f>AVERAGE(558,565,530,526,525)</f>
        <v>540.79999999999995</v>
      </c>
      <c r="E140">
        <v>1</v>
      </c>
      <c r="F140">
        <v>30.424741999999998</v>
      </c>
      <c r="G140">
        <v>67.7</v>
      </c>
      <c r="H140">
        <v>184.8939</v>
      </c>
      <c r="I140">
        <v>4.0999999999999996</v>
      </c>
      <c r="J140">
        <v>104</v>
      </c>
      <c r="L140">
        <v>0</v>
      </c>
    </row>
    <row r="141" spans="1:12" x14ac:dyDescent="0.35">
      <c r="A141" s="1">
        <v>44044</v>
      </c>
      <c r="B141" t="s">
        <v>10</v>
      </c>
      <c r="C141" t="s">
        <v>17</v>
      </c>
      <c r="D141">
        <f>AVERAGE(533,550,560,583,590)</f>
        <v>563.20000000000005</v>
      </c>
      <c r="E141">
        <v>1</v>
      </c>
      <c r="F141">
        <v>29.683420000000002</v>
      </c>
      <c r="G141">
        <v>176.1</v>
      </c>
      <c r="H141">
        <v>184.8939</v>
      </c>
      <c r="I141">
        <v>4.0999999999999996</v>
      </c>
      <c r="J141">
        <v>104</v>
      </c>
      <c r="L141">
        <v>0</v>
      </c>
    </row>
    <row r="142" spans="1:12" x14ac:dyDescent="0.35">
      <c r="A142" s="1">
        <v>44044</v>
      </c>
      <c r="B142" t="s">
        <v>10</v>
      </c>
      <c r="C142" t="s">
        <v>18</v>
      </c>
      <c r="D142">
        <f>AVERAGE(523,523,525,538)</f>
        <v>527.25</v>
      </c>
      <c r="E142">
        <v>1</v>
      </c>
      <c r="F142">
        <v>28.636904000000001</v>
      </c>
      <c r="G142">
        <v>222.6</v>
      </c>
      <c r="H142">
        <v>184.8939</v>
      </c>
      <c r="I142">
        <v>4.0999999999999996</v>
      </c>
      <c r="J142">
        <v>104</v>
      </c>
      <c r="L142">
        <v>0</v>
      </c>
    </row>
    <row r="143" spans="1:12" x14ac:dyDescent="0.35">
      <c r="A143" s="1">
        <v>44044</v>
      </c>
      <c r="B143" t="s">
        <v>10</v>
      </c>
      <c r="C143" t="s">
        <v>19</v>
      </c>
      <c r="D143">
        <f>AVERAGE(555,550,568,565,581)</f>
        <v>563.79999999999995</v>
      </c>
      <c r="E143">
        <v>1</v>
      </c>
      <c r="F143">
        <v>29.17371</v>
      </c>
      <c r="G143">
        <v>220.6</v>
      </c>
      <c r="H143">
        <v>184.8939</v>
      </c>
      <c r="I143">
        <v>4.0999999999999996</v>
      </c>
      <c r="J143">
        <v>104</v>
      </c>
      <c r="L143">
        <v>0</v>
      </c>
    </row>
    <row r="144" spans="1:12" x14ac:dyDescent="0.35">
      <c r="A144" s="1">
        <v>44044</v>
      </c>
      <c r="B144" t="s">
        <v>10</v>
      </c>
      <c r="C144" t="s">
        <v>20</v>
      </c>
      <c r="D144">
        <f>AVERAGE(530,530,500,500,500)</f>
        <v>512</v>
      </c>
      <c r="E144">
        <v>1</v>
      </c>
      <c r="F144">
        <v>28.796386999999999</v>
      </c>
      <c r="G144">
        <v>176.40001000000001</v>
      </c>
      <c r="H144">
        <v>184.8939</v>
      </c>
      <c r="I144">
        <v>4.0999999999999996</v>
      </c>
      <c r="J144">
        <v>104</v>
      </c>
      <c r="L144">
        <v>0</v>
      </c>
    </row>
    <row r="145" spans="1:12" x14ac:dyDescent="0.35">
      <c r="A145" s="1">
        <v>44044</v>
      </c>
      <c r="B145" t="s">
        <v>10</v>
      </c>
      <c r="C145" t="s">
        <v>21</v>
      </c>
      <c r="D145">
        <f>AVERAGE(505,540,575,575)</f>
        <v>548.75</v>
      </c>
      <c r="E145">
        <v>1</v>
      </c>
      <c r="F145">
        <v>28.523548000000002</v>
      </c>
      <c r="G145">
        <v>207.20000999999999</v>
      </c>
      <c r="H145">
        <v>184.8939</v>
      </c>
      <c r="I145">
        <v>4.0999999999999996</v>
      </c>
      <c r="J145">
        <v>104</v>
      </c>
      <c r="L145">
        <v>0</v>
      </c>
    </row>
    <row r="146" spans="1:12" x14ac:dyDescent="0.35">
      <c r="A146" s="1">
        <v>44044</v>
      </c>
      <c r="B146" t="s">
        <v>10</v>
      </c>
      <c r="C146" t="s">
        <v>22</v>
      </c>
      <c r="D146">
        <f>AVERAGE(600,580,550,530,540)</f>
        <v>560</v>
      </c>
      <c r="E146">
        <v>1</v>
      </c>
      <c r="F146">
        <v>27.846485000000001</v>
      </c>
      <c r="G146">
        <v>98.4</v>
      </c>
      <c r="H146">
        <v>184.8939</v>
      </c>
      <c r="I146">
        <v>4.0999999999999996</v>
      </c>
      <c r="J146">
        <v>104</v>
      </c>
      <c r="L146">
        <v>0</v>
      </c>
    </row>
    <row r="147" spans="1:12" x14ac:dyDescent="0.35">
      <c r="A147" s="1">
        <v>44044</v>
      </c>
      <c r="B147" t="s">
        <v>10</v>
      </c>
      <c r="C147" t="s">
        <v>23</v>
      </c>
      <c r="D147">
        <f>AVERAGE(543,537,537,580,580)</f>
        <v>555.4</v>
      </c>
      <c r="E147">
        <v>1</v>
      </c>
      <c r="F147">
        <v>31.373999999999999</v>
      </c>
      <c r="G147">
        <v>48.1</v>
      </c>
      <c r="H147">
        <v>184.8939</v>
      </c>
      <c r="I147">
        <v>4.0999999999999996</v>
      </c>
      <c r="J147">
        <v>104</v>
      </c>
      <c r="L147">
        <v>0</v>
      </c>
    </row>
    <row r="148" spans="1:12" x14ac:dyDescent="0.35">
      <c r="A148" s="1">
        <v>44044</v>
      </c>
      <c r="B148" t="s">
        <v>10</v>
      </c>
      <c r="C148" t="s">
        <v>24</v>
      </c>
      <c r="D148">
        <f>AVERAGE(584,592,552,528,524)</f>
        <v>556</v>
      </c>
      <c r="E148">
        <v>1</v>
      </c>
      <c r="F148">
        <v>35.555999999999997</v>
      </c>
      <c r="G148">
        <v>28.300001000000002</v>
      </c>
      <c r="H148">
        <v>184.8939</v>
      </c>
      <c r="I148">
        <v>4.0999999999999996</v>
      </c>
      <c r="J148">
        <v>104</v>
      </c>
      <c r="L148">
        <v>0</v>
      </c>
    </row>
    <row r="149" spans="1:12" x14ac:dyDescent="0.35">
      <c r="A149" s="1">
        <v>44044</v>
      </c>
      <c r="B149" t="s">
        <v>25</v>
      </c>
      <c r="C149" t="s">
        <v>11</v>
      </c>
      <c r="D149">
        <f>AVERAGE(842,816,858,855,844)</f>
        <v>843</v>
      </c>
      <c r="E149">
        <v>1</v>
      </c>
      <c r="F149">
        <v>27.496872</v>
      </c>
      <c r="G149">
        <v>159.20000999999999</v>
      </c>
      <c r="H149">
        <v>184.8939</v>
      </c>
      <c r="I149">
        <v>4.0999999999999996</v>
      </c>
      <c r="J149">
        <v>104</v>
      </c>
      <c r="L149">
        <v>0</v>
      </c>
    </row>
    <row r="150" spans="1:12" x14ac:dyDescent="0.35">
      <c r="A150" s="1">
        <v>44044</v>
      </c>
      <c r="B150" t="s">
        <v>25</v>
      </c>
      <c r="C150" t="s">
        <v>12</v>
      </c>
      <c r="D150">
        <f>AVERAGE(850,847,829,831,812)</f>
        <v>833.8</v>
      </c>
      <c r="E150">
        <v>1</v>
      </c>
      <c r="F150">
        <v>27.754709999999999</v>
      </c>
      <c r="G150">
        <v>187.6</v>
      </c>
      <c r="H150">
        <v>184.8939</v>
      </c>
      <c r="I150">
        <v>4.0999999999999996</v>
      </c>
      <c r="J150">
        <v>104</v>
      </c>
      <c r="L150">
        <v>0</v>
      </c>
    </row>
    <row r="151" spans="1:12" x14ac:dyDescent="0.35">
      <c r="A151" s="1">
        <v>44044</v>
      </c>
      <c r="B151" t="s">
        <v>25</v>
      </c>
      <c r="C151" t="s">
        <v>14</v>
      </c>
      <c r="D151">
        <f>AVERAGE(750,825,850,850,900)</f>
        <v>835</v>
      </c>
      <c r="E151">
        <v>1</v>
      </c>
      <c r="F151">
        <v>28.852675999999999</v>
      </c>
      <c r="G151">
        <v>270.60000000000002</v>
      </c>
      <c r="H151">
        <v>184.8939</v>
      </c>
      <c r="I151">
        <v>4.0999999999999996</v>
      </c>
      <c r="J151">
        <v>104</v>
      </c>
      <c r="L151">
        <v>0</v>
      </c>
    </row>
    <row r="152" spans="1:12" x14ac:dyDescent="0.35">
      <c r="A152" s="1">
        <v>44044</v>
      </c>
      <c r="B152" t="s">
        <v>25</v>
      </c>
      <c r="C152" t="s">
        <v>16</v>
      </c>
      <c r="D152">
        <f>AVERAGE(808,808,791,783,800)</f>
        <v>798</v>
      </c>
      <c r="E152">
        <v>1</v>
      </c>
      <c r="F152">
        <v>30.424741999999998</v>
      </c>
      <c r="G152">
        <v>67.7</v>
      </c>
      <c r="H152">
        <v>184.8939</v>
      </c>
      <c r="I152">
        <v>4.0999999999999996</v>
      </c>
      <c r="J152">
        <v>104</v>
      </c>
      <c r="L152">
        <v>0</v>
      </c>
    </row>
    <row r="153" spans="1:12" x14ac:dyDescent="0.35">
      <c r="A153" s="1">
        <v>44044</v>
      </c>
      <c r="B153" t="s">
        <v>25</v>
      </c>
      <c r="C153" t="s">
        <v>24</v>
      </c>
      <c r="D153">
        <f>AVERAGE(800,800,750,797,800)</f>
        <v>789.4</v>
      </c>
      <c r="E153">
        <v>1</v>
      </c>
      <c r="F153">
        <v>35.555999999999997</v>
      </c>
      <c r="G153">
        <v>28.300001000000002</v>
      </c>
      <c r="H153">
        <v>184.8939</v>
      </c>
      <c r="I153">
        <v>4.0999999999999996</v>
      </c>
      <c r="J153">
        <v>104</v>
      </c>
      <c r="L153">
        <v>0</v>
      </c>
    </row>
    <row r="154" spans="1:12" x14ac:dyDescent="0.35">
      <c r="A154" s="1">
        <v>44075</v>
      </c>
      <c r="B154" t="s">
        <v>10</v>
      </c>
      <c r="C154" t="s">
        <v>11</v>
      </c>
      <c r="D154">
        <f>AVERAGE(588,578,577,576)</f>
        <v>579.75</v>
      </c>
      <c r="E154">
        <v>0</v>
      </c>
      <c r="F154">
        <v>26.297999999999998</v>
      </c>
      <c r="G154">
        <v>189.40001000000001</v>
      </c>
      <c r="H154">
        <v>185.0317</v>
      </c>
      <c r="I154">
        <v>4</v>
      </c>
      <c r="J154">
        <v>104</v>
      </c>
      <c r="L154">
        <v>0</v>
      </c>
    </row>
    <row r="155" spans="1:12" x14ac:dyDescent="0.35">
      <c r="A155" s="1">
        <v>44075</v>
      </c>
      <c r="B155" t="s">
        <v>10</v>
      </c>
      <c r="C155" t="s">
        <v>12</v>
      </c>
      <c r="D155">
        <f>AVERAGE(545,584,591,580)</f>
        <v>575</v>
      </c>
      <c r="E155">
        <v>0</v>
      </c>
      <c r="F155">
        <v>26.609335000000002</v>
      </c>
      <c r="G155">
        <v>297.5</v>
      </c>
      <c r="H155">
        <v>185.0317</v>
      </c>
      <c r="I155">
        <v>4</v>
      </c>
      <c r="J155">
        <v>104</v>
      </c>
      <c r="L155">
        <v>0</v>
      </c>
    </row>
    <row r="156" spans="1:12" x14ac:dyDescent="0.35">
      <c r="A156" s="1">
        <v>44075</v>
      </c>
      <c r="B156" t="s">
        <v>10</v>
      </c>
      <c r="C156" t="s">
        <v>13</v>
      </c>
      <c r="D156">
        <f>AVERAGE(562,562,553,545)</f>
        <v>555.5</v>
      </c>
      <c r="E156">
        <v>0</v>
      </c>
      <c r="F156">
        <v>17.606833000000002</v>
      </c>
      <c r="G156">
        <v>318.60000000000002</v>
      </c>
      <c r="H156">
        <v>185.0317</v>
      </c>
      <c r="I156">
        <v>4</v>
      </c>
      <c r="J156">
        <v>104</v>
      </c>
      <c r="L156">
        <v>0</v>
      </c>
    </row>
    <row r="157" spans="1:12" x14ac:dyDescent="0.35">
      <c r="A157" s="1">
        <v>44075</v>
      </c>
      <c r="B157" t="s">
        <v>10</v>
      </c>
      <c r="C157" t="s">
        <v>14</v>
      </c>
      <c r="D157">
        <f>AVERAGE(590,593,586,593)</f>
        <v>590.5</v>
      </c>
      <c r="E157">
        <v>0</v>
      </c>
      <c r="F157">
        <v>27.472999999999999</v>
      </c>
      <c r="G157">
        <v>408.19997999999998</v>
      </c>
      <c r="H157">
        <v>185.0317</v>
      </c>
      <c r="I157">
        <v>4</v>
      </c>
      <c r="J157">
        <v>104</v>
      </c>
      <c r="L157">
        <v>0</v>
      </c>
    </row>
    <row r="158" spans="1:12" x14ac:dyDescent="0.35">
      <c r="A158" s="1">
        <v>44075</v>
      </c>
      <c r="B158" t="s">
        <v>10</v>
      </c>
      <c r="C158" t="s">
        <v>15</v>
      </c>
      <c r="D158">
        <f>AVERAGE(587,590,577,585)</f>
        <v>584.75</v>
      </c>
      <c r="E158">
        <v>0</v>
      </c>
      <c r="F158">
        <v>28.062999999999999</v>
      </c>
      <c r="G158">
        <v>492.19997999999998</v>
      </c>
      <c r="H158">
        <v>185.0317</v>
      </c>
      <c r="I158">
        <v>4</v>
      </c>
      <c r="J158">
        <v>104</v>
      </c>
      <c r="L158">
        <v>0</v>
      </c>
    </row>
    <row r="159" spans="1:12" x14ac:dyDescent="0.35">
      <c r="A159" s="1">
        <v>44075</v>
      </c>
      <c r="B159" t="s">
        <v>10</v>
      </c>
      <c r="C159" t="s">
        <v>16</v>
      </c>
      <c r="D159">
        <f>AVERAGE(553,570,577,565)</f>
        <v>566.25</v>
      </c>
      <c r="E159">
        <v>0</v>
      </c>
      <c r="F159">
        <v>28.428667000000001</v>
      </c>
      <c r="G159">
        <v>158.19999999999999</v>
      </c>
      <c r="H159">
        <v>185.0317</v>
      </c>
      <c r="I159">
        <v>4</v>
      </c>
      <c r="J159">
        <v>104</v>
      </c>
      <c r="L159">
        <v>0</v>
      </c>
    </row>
    <row r="160" spans="1:12" x14ac:dyDescent="0.35">
      <c r="A160" s="1">
        <v>44075</v>
      </c>
      <c r="B160" t="s">
        <v>10</v>
      </c>
      <c r="C160" t="s">
        <v>17</v>
      </c>
      <c r="D160">
        <f>AVERAGE(583)</f>
        <v>583</v>
      </c>
      <c r="E160">
        <v>0</v>
      </c>
      <c r="F160">
        <v>28.140999000000001</v>
      </c>
      <c r="G160">
        <v>314.3</v>
      </c>
      <c r="H160">
        <v>185.0317</v>
      </c>
      <c r="I160">
        <v>4</v>
      </c>
      <c r="J160">
        <v>104</v>
      </c>
      <c r="L160">
        <v>0</v>
      </c>
    </row>
    <row r="161" spans="1:12" x14ac:dyDescent="0.35">
      <c r="A161" s="1">
        <v>44075</v>
      </c>
      <c r="B161" t="s">
        <v>10</v>
      </c>
      <c r="C161" t="s">
        <v>18</v>
      </c>
      <c r="D161">
        <f>AVERAGE(519,538,569,574)</f>
        <v>550</v>
      </c>
      <c r="E161">
        <v>0</v>
      </c>
      <c r="F161">
        <v>27.980668999999999</v>
      </c>
      <c r="G161">
        <v>368.3</v>
      </c>
      <c r="H161">
        <v>185.0317</v>
      </c>
      <c r="I161">
        <v>4</v>
      </c>
      <c r="J161">
        <v>104</v>
      </c>
      <c r="L161">
        <v>0</v>
      </c>
    </row>
    <row r="162" spans="1:12" x14ac:dyDescent="0.35">
      <c r="A162" s="1">
        <v>44075</v>
      </c>
      <c r="B162" t="s">
        <v>10</v>
      </c>
      <c r="C162" t="s">
        <v>19</v>
      </c>
      <c r="D162">
        <f>AVERAGE(600,592,596,560)</f>
        <v>587</v>
      </c>
      <c r="E162">
        <v>0</v>
      </c>
      <c r="F162">
        <v>28.355</v>
      </c>
      <c r="G162">
        <v>419.7</v>
      </c>
      <c r="H162">
        <v>185.0317</v>
      </c>
      <c r="I162">
        <v>4</v>
      </c>
      <c r="J162">
        <v>104</v>
      </c>
      <c r="L162">
        <v>0</v>
      </c>
    </row>
    <row r="163" spans="1:12" x14ac:dyDescent="0.35">
      <c r="A163" s="1">
        <v>44075</v>
      </c>
      <c r="B163" t="s">
        <v>10</v>
      </c>
      <c r="C163" t="s">
        <v>20</v>
      </c>
      <c r="D163">
        <f>AVERAGE(533,567,567,575)</f>
        <v>560.5</v>
      </c>
      <c r="E163">
        <v>0</v>
      </c>
      <c r="F163">
        <v>28.077999999999999</v>
      </c>
      <c r="G163">
        <v>329.6</v>
      </c>
      <c r="H163">
        <v>185.0317</v>
      </c>
      <c r="I163">
        <v>4</v>
      </c>
      <c r="J163">
        <v>104</v>
      </c>
      <c r="L163">
        <v>0</v>
      </c>
    </row>
    <row r="164" spans="1:12" x14ac:dyDescent="0.35">
      <c r="A164" s="1">
        <v>44075</v>
      </c>
      <c r="B164" t="s">
        <v>10</v>
      </c>
      <c r="C164" t="s">
        <v>21</v>
      </c>
      <c r="D164">
        <f>AVERAGE(590,590,570,580)</f>
        <v>582.5</v>
      </c>
      <c r="E164">
        <v>0</v>
      </c>
      <c r="F164">
        <v>28.013331999999998</v>
      </c>
      <c r="G164">
        <v>333</v>
      </c>
      <c r="H164">
        <v>185.0317</v>
      </c>
      <c r="I164">
        <v>4</v>
      </c>
      <c r="J164">
        <v>104</v>
      </c>
      <c r="L164">
        <v>0</v>
      </c>
    </row>
    <row r="165" spans="1:12" x14ac:dyDescent="0.35">
      <c r="A165" s="1">
        <v>44075</v>
      </c>
      <c r="B165" t="s">
        <v>10</v>
      </c>
      <c r="C165" t="s">
        <v>22</v>
      </c>
      <c r="D165">
        <f>AVERAGE(600)</f>
        <v>600</v>
      </c>
      <c r="E165">
        <v>0</v>
      </c>
      <c r="F165">
        <v>27.446000999999999</v>
      </c>
      <c r="G165">
        <v>211.4</v>
      </c>
      <c r="H165">
        <v>185.0317</v>
      </c>
      <c r="I165">
        <v>4</v>
      </c>
      <c r="J165">
        <v>104</v>
      </c>
      <c r="L165">
        <v>0</v>
      </c>
    </row>
    <row r="166" spans="1:12" x14ac:dyDescent="0.35">
      <c r="A166" s="1">
        <v>44075</v>
      </c>
      <c r="B166" t="s">
        <v>10</v>
      </c>
      <c r="C166" t="s">
        <v>23</v>
      </c>
      <c r="D166">
        <f>AVERAGE(595,570,577,560)</f>
        <v>575.5</v>
      </c>
      <c r="E166">
        <v>0</v>
      </c>
      <c r="F166">
        <v>30.722334</v>
      </c>
      <c r="G166">
        <v>60</v>
      </c>
      <c r="H166">
        <v>185.0317</v>
      </c>
      <c r="I166">
        <v>4</v>
      </c>
      <c r="J166">
        <v>104</v>
      </c>
      <c r="L166">
        <v>0</v>
      </c>
    </row>
    <row r="167" spans="1:12" x14ac:dyDescent="0.35">
      <c r="A167" s="1">
        <v>44075</v>
      </c>
      <c r="B167" t="s">
        <v>10</v>
      </c>
      <c r="C167" t="s">
        <v>24</v>
      </c>
      <c r="D167">
        <f>AVERAGE(580,596,601,596)</f>
        <v>593.25</v>
      </c>
      <c r="E167">
        <v>0</v>
      </c>
      <c r="F167">
        <v>34.065998</v>
      </c>
      <c r="G167">
        <v>85.3</v>
      </c>
      <c r="H167">
        <v>185.0317</v>
      </c>
      <c r="I167">
        <v>4</v>
      </c>
      <c r="J167">
        <v>104</v>
      </c>
      <c r="L167">
        <v>0</v>
      </c>
    </row>
    <row r="168" spans="1:12" x14ac:dyDescent="0.35">
      <c r="A168" s="1">
        <v>44075</v>
      </c>
      <c r="B168" t="s">
        <v>25</v>
      </c>
      <c r="C168" t="s">
        <v>11</v>
      </c>
      <c r="D168">
        <f>AVERAGE(870,821,818,804)</f>
        <v>828.25</v>
      </c>
      <c r="E168">
        <v>0</v>
      </c>
      <c r="F168">
        <v>26.297999999999998</v>
      </c>
      <c r="G168">
        <v>189.40001000000001</v>
      </c>
      <c r="H168">
        <v>185.0317</v>
      </c>
      <c r="I168">
        <v>4</v>
      </c>
      <c r="J168">
        <v>104</v>
      </c>
      <c r="L168">
        <v>0</v>
      </c>
    </row>
    <row r="169" spans="1:12" x14ac:dyDescent="0.35">
      <c r="A169" s="1">
        <v>44075</v>
      </c>
      <c r="B169" t="s">
        <v>25</v>
      </c>
      <c r="C169" t="s">
        <v>12</v>
      </c>
      <c r="D169">
        <f>AVERAGE(900,853,866,869)</f>
        <v>872</v>
      </c>
      <c r="E169">
        <v>0</v>
      </c>
      <c r="F169">
        <v>26.609335000000002</v>
      </c>
      <c r="G169">
        <v>297.5</v>
      </c>
      <c r="H169">
        <v>185.0317</v>
      </c>
      <c r="I169">
        <v>4</v>
      </c>
      <c r="J169">
        <v>104</v>
      </c>
      <c r="L169">
        <v>0</v>
      </c>
    </row>
    <row r="170" spans="1:12" x14ac:dyDescent="0.35">
      <c r="A170" s="1">
        <v>44075</v>
      </c>
      <c r="B170" t="s">
        <v>25</v>
      </c>
      <c r="C170" t="s">
        <v>14</v>
      </c>
      <c r="D170">
        <f>AVERAGE(750,800,700,750)</f>
        <v>750</v>
      </c>
      <c r="E170">
        <v>0</v>
      </c>
      <c r="F170">
        <v>27.472999999999999</v>
      </c>
      <c r="G170">
        <v>408.19997999999998</v>
      </c>
      <c r="H170">
        <v>185.0317</v>
      </c>
      <c r="I170">
        <v>4</v>
      </c>
      <c r="J170">
        <v>104</v>
      </c>
      <c r="L170">
        <v>0</v>
      </c>
    </row>
    <row r="171" spans="1:12" x14ac:dyDescent="0.35">
      <c r="A171" s="1">
        <v>44075</v>
      </c>
      <c r="B171" t="s">
        <v>25</v>
      </c>
      <c r="C171" t="s">
        <v>16</v>
      </c>
      <c r="D171">
        <f>AVERAGE(808,808,783,775)</f>
        <v>793.5</v>
      </c>
      <c r="E171">
        <v>0</v>
      </c>
      <c r="F171">
        <v>28.428667000000001</v>
      </c>
      <c r="G171">
        <v>158.19999999999999</v>
      </c>
      <c r="H171">
        <v>185.0317</v>
      </c>
      <c r="I171">
        <v>4</v>
      </c>
      <c r="J171">
        <v>104</v>
      </c>
      <c r="L171">
        <v>0</v>
      </c>
    </row>
    <row r="172" spans="1:12" x14ac:dyDescent="0.35">
      <c r="A172" s="1">
        <v>44075</v>
      </c>
      <c r="B172" t="s">
        <v>25</v>
      </c>
      <c r="C172" t="s">
        <v>24</v>
      </c>
      <c r="D172">
        <f>AVERAGE(800,802,792,794)</f>
        <v>797</v>
      </c>
      <c r="E172">
        <v>0</v>
      </c>
      <c r="F172">
        <v>34.065998</v>
      </c>
      <c r="G172">
        <v>85.3</v>
      </c>
      <c r="H172">
        <v>185.0317</v>
      </c>
      <c r="I172">
        <v>4</v>
      </c>
      <c r="J172">
        <v>104</v>
      </c>
      <c r="L172">
        <v>0</v>
      </c>
    </row>
    <row r="173" spans="1:12" x14ac:dyDescent="0.35">
      <c r="A173" s="1">
        <v>44105</v>
      </c>
      <c r="B173" t="s">
        <v>10</v>
      </c>
      <c r="C173" t="s">
        <v>11</v>
      </c>
      <c r="D173">
        <f>AVERAGE(541,550,566,580)</f>
        <v>559.25</v>
      </c>
      <c r="E173">
        <v>0</v>
      </c>
      <c r="F173">
        <v>27.196873</v>
      </c>
      <c r="G173">
        <v>112.8</v>
      </c>
      <c r="H173">
        <v>184.43790000000001</v>
      </c>
      <c r="I173">
        <v>4</v>
      </c>
      <c r="J173">
        <v>104</v>
      </c>
      <c r="L173">
        <v>0</v>
      </c>
    </row>
    <row r="174" spans="1:12" x14ac:dyDescent="0.35">
      <c r="A174" s="1">
        <v>44105</v>
      </c>
      <c r="B174" t="s">
        <v>10</v>
      </c>
      <c r="C174" t="s">
        <v>12</v>
      </c>
      <c r="D174">
        <f>AVERAGE(566,557,554,548)</f>
        <v>556.25</v>
      </c>
      <c r="E174">
        <v>0</v>
      </c>
      <c r="F174">
        <v>27.398257999999998</v>
      </c>
      <c r="G174">
        <v>155.90001000000001</v>
      </c>
      <c r="H174">
        <v>184.43790000000001</v>
      </c>
      <c r="I174">
        <v>4</v>
      </c>
      <c r="J174">
        <v>104</v>
      </c>
      <c r="L174">
        <v>0</v>
      </c>
    </row>
    <row r="175" spans="1:12" x14ac:dyDescent="0.35">
      <c r="A175" s="1">
        <v>44105</v>
      </c>
      <c r="B175" t="s">
        <v>10</v>
      </c>
      <c r="C175" t="s">
        <v>13</v>
      </c>
      <c r="D175">
        <f>AVERAGE(527,530,555,552)</f>
        <v>541</v>
      </c>
      <c r="E175">
        <v>0</v>
      </c>
      <c r="F175">
        <v>18.700918000000001</v>
      </c>
      <c r="G175">
        <v>195</v>
      </c>
      <c r="H175">
        <v>184.43790000000001</v>
      </c>
      <c r="I175">
        <v>4</v>
      </c>
      <c r="J175">
        <v>104</v>
      </c>
      <c r="L175">
        <v>0</v>
      </c>
    </row>
    <row r="176" spans="1:12" x14ac:dyDescent="0.35">
      <c r="A176" s="1">
        <v>44105</v>
      </c>
      <c r="B176" t="s">
        <v>10</v>
      </c>
      <c r="C176" t="s">
        <v>14</v>
      </c>
      <c r="D176">
        <f>AVERAGE(575,583,575,550)</f>
        <v>570.75</v>
      </c>
      <c r="E176">
        <v>0</v>
      </c>
      <c r="F176">
        <v>28.480097000000001</v>
      </c>
      <c r="G176">
        <v>188.8</v>
      </c>
      <c r="H176">
        <v>184.43790000000001</v>
      </c>
      <c r="I176">
        <v>4</v>
      </c>
      <c r="J176">
        <v>104</v>
      </c>
      <c r="L176">
        <v>0</v>
      </c>
    </row>
    <row r="177" spans="1:12" x14ac:dyDescent="0.35">
      <c r="A177" s="1">
        <v>44105</v>
      </c>
      <c r="B177" t="s">
        <v>10</v>
      </c>
      <c r="C177" t="s">
        <v>15</v>
      </c>
      <c r="D177">
        <f>AVERAGE(530,527,535,560)</f>
        <v>538</v>
      </c>
      <c r="E177">
        <v>0</v>
      </c>
      <c r="F177">
        <v>28.953645999999999</v>
      </c>
      <c r="G177">
        <v>231.1</v>
      </c>
      <c r="H177">
        <v>184.43790000000001</v>
      </c>
      <c r="I177">
        <v>4</v>
      </c>
      <c r="J177">
        <v>104</v>
      </c>
      <c r="L177">
        <v>0</v>
      </c>
    </row>
    <row r="178" spans="1:12" x14ac:dyDescent="0.35">
      <c r="A178" s="1">
        <v>44105</v>
      </c>
      <c r="B178" t="s">
        <v>10</v>
      </c>
      <c r="C178" t="s">
        <v>16</v>
      </c>
      <c r="D178">
        <f>AVERAGE(555,564,553,544)</f>
        <v>554</v>
      </c>
      <c r="E178">
        <v>0</v>
      </c>
      <c r="F178">
        <v>30.308610000000002</v>
      </c>
      <c r="G178">
        <v>35.799999999999997</v>
      </c>
      <c r="H178">
        <v>184.43790000000001</v>
      </c>
      <c r="I178">
        <v>4</v>
      </c>
      <c r="J178">
        <v>104</v>
      </c>
      <c r="L178">
        <v>0</v>
      </c>
    </row>
    <row r="179" spans="1:12" x14ac:dyDescent="0.35">
      <c r="A179" s="1">
        <v>44105</v>
      </c>
      <c r="B179" t="s">
        <v>10</v>
      </c>
      <c r="C179" t="s">
        <v>17</v>
      </c>
      <c r="D179">
        <f>AVERAGE(583)</f>
        <v>583</v>
      </c>
      <c r="E179">
        <v>0</v>
      </c>
      <c r="F179">
        <v>29.186646</v>
      </c>
      <c r="G179">
        <v>125.10000599999999</v>
      </c>
      <c r="H179">
        <v>184.43790000000001</v>
      </c>
      <c r="I179">
        <v>4</v>
      </c>
      <c r="J179">
        <v>104</v>
      </c>
      <c r="L179">
        <v>0</v>
      </c>
    </row>
    <row r="180" spans="1:12" x14ac:dyDescent="0.35">
      <c r="A180" s="1">
        <v>44105</v>
      </c>
      <c r="B180" t="s">
        <v>10</v>
      </c>
      <c r="C180" t="s">
        <v>18</v>
      </c>
      <c r="D180">
        <f>AVERAGE(556,551,544,531)</f>
        <v>545.5</v>
      </c>
      <c r="E180">
        <v>0</v>
      </c>
      <c r="F180">
        <v>28.659485</v>
      </c>
      <c r="G180">
        <v>109</v>
      </c>
      <c r="H180">
        <v>184.43790000000001</v>
      </c>
      <c r="I180">
        <v>4</v>
      </c>
      <c r="J180">
        <v>104</v>
      </c>
      <c r="L180">
        <v>0</v>
      </c>
    </row>
    <row r="181" spans="1:12" x14ac:dyDescent="0.35">
      <c r="A181" s="1">
        <v>44105</v>
      </c>
      <c r="B181" t="s">
        <v>10</v>
      </c>
      <c r="C181" t="s">
        <v>19</v>
      </c>
      <c r="D181">
        <f>AVERAGE(625)</f>
        <v>625</v>
      </c>
      <c r="E181">
        <v>0</v>
      </c>
      <c r="F181">
        <v>29.275321999999999</v>
      </c>
      <c r="G181">
        <v>117.799995</v>
      </c>
      <c r="H181">
        <v>184.43790000000001</v>
      </c>
      <c r="I181">
        <v>4</v>
      </c>
      <c r="J181">
        <v>104</v>
      </c>
      <c r="L181">
        <v>0</v>
      </c>
    </row>
    <row r="182" spans="1:12" x14ac:dyDescent="0.35">
      <c r="A182" s="1">
        <v>44105</v>
      </c>
      <c r="B182" t="s">
        <v>10</v>
      </c>
      <c r="C182" t="s">
        <v>20</v>
      </c>
      <c r="D182">
        <f>AVERAGE(545,586,586,586)</f>
        <v>575.75</v>
      </c>
      <c r="E182">
        <v>0</v>
      </c>
      <c r="F182">
        <v>28.839936999999999</v>
      </c>
      <c r="G182">
        <v>113.1</v>
      </c>
      <c r="H182">
        <v>184.43790000000001</v>
      </c>
      <c r="I182">
        <v>4</v>
      </c>
      <c r="J182">
        <v>104</v>
      </c>
      <c r="L182">
        <v>0</v>
      </c>
    </row>
    <row r="183" spans="1:12" x14ac:dyDescent="0.35">
      <c r="A183" s="1">
        <v>44105</v>
      </c>
      <c r="B183" t="s">
        <v>10</v>
      </c>
      <c r="C183" t="s">
        <v>21</v>
      </c>
      <c r="D183">
        <f>AVERAGE(510,540,555,555)</f>
        <v>540</v>
      </c>
      <c r="E183">
        <v>0</v>
      </c>
      <c r="F183">
        <v>28.596128</v>
      </c>
      <c r="G183">
        <v>136.4</v>
      </c>
      <c r="H183">
        <v>184.43790000000001</v>
      </c>
      <c r="I183">
        <v>4</v>
      </c>
      <c r="J183">
        <v>104</v>
      </c>
      <c r="L183">
        <v>0</v>
      </c>
    </row>
    <row r="184" spans="1:12" x14ac:dyDescent="0.35">
      <c r="A184" s="1">
        <v>44105</v>
      </c>
      <c r="B184" t="s">
        <v>10</v>
      </c>
      <c r="C184" t="s">
        <v>22</v>
      </c>
      <c r="D184">
        <f>AVERAGE(600,570,570,550)</f>
        <v>572.5</v>
      </c>
      <c r="E184">
        <v>0</v>
      </c>
      <c r="F184">
        <v>27.959389000000002</v>
      </c>
      <c r="G184">
        <v>84.499989999999997</v>
      </c>
      <c r="H184">
        <v>184.43790000000001</v>
      </c>
      <c r="I184">
        <v>4</v>
      </c>
      <c r="J184">
        <v>104</v>
      </c>
      <c r="L184">
        <v>0</v>
      </c>
    </row>
    <row r="185" spans="1:12" x14ac:dyDescent="0.35">
      <c r="A185" s="1">
        <v>44105</v>
      </c>
      <c r="B185" t="s">
        <v>10</v>
      </c>
      <c r="C185" t="s">
        <v>23</v>
      </c>
      <c r="D185">
        <f>AVERAGE(510,550,560,580)</f>
        <v>550</v>
      </c>
      <c r="E185">
        <v>0</v>
      </c>
      <c r="F185">
        <v>32.340130000000002</v>
      </c>
      <c r="G185">
        <v>31.9</v>
      </c>
      <c r="H185">
        <v>184.43790000000001</v>
      </c>
      <c r="I185">
        <v>4</v>
      </c>
      <c r="J185">
        <v>104</v>
      </c>
      <c r="L185">
        <v>0</v>
      </c>
    </row>
    <row r="186" spans="1:12" x14ac:dyDescent="0.35">
      <c r="A186" s="1">
        <v>44105</v>
      </c>
      <c r="B186" t="s">
        <v>10</v>
      </c>
      <c r="C186" t="s">
        <v>24</v>
      </c>
      <c r="D186">
        <f>AVERAGE(582,568,569,564)</f>
        <v>570.75</v>
      </c>
      <c r="E186">
        <v>0</v>
      </c>
      <c r="F186">
        <v>36.13503</v>
      </c>
      <c r="G186">
        <v>139.1</v>
      </c>
      <c r="H186">
        <v>184.43790000000001</v>
      </c>
      <c r="I186">
        <v>4</v>
      </c>
      <c r="J186">
        <v>104</v>
      </c>
      <c r="L186">
        <v>0</v>
      </c>
    </row>
    <row r="187" spans="1:12" x14ac:dyDescent="0.35">
      <c r="A187" s="1">
        <v>44105</v>
      </c>
      <c r="B187" t="s">
        <v>25</v>
      </c>
      <c r="C187" t="s">
        <v>11</v>
      </c>
      <c r="D187">
        <f>AVERAGE(800,800,811,825)</f>
        <v>809</v>
      </c>
      <c r="E187">
        <v>0</v>
      </c>
      <c r="F187">
        <v>27.196873</v>
      </c>
      <c r="G187">
        <v>112.8</v>
      </c>
      <c r="H187">
        <v>184.43790000000001</v>
      </c>
      <c r="I187">
        <v>4</v>
      </c>
      <c r="J187">
        <v>104</v>
      </c>
      <c r="L187">
        <v>0</v>
      </c>
    </row>
    <row r="188" spans="1:12" x14ac:dyDescent="0.35">
      <c r="A188" s="1">
        <v>44105</v>
      </c>
      <c r="B188" t="s">
        <v>25</v>
      </c>
      <c r="C188" t="s">
        <v>12</v>
      </c>
      <c r="D188">
        <f>AVERAGE(850,838,759,813)</f>
        <v>815</v>
      </c>
      <c r="E188">
        <v>0</v>
      </c>
      <c r="F188">
        <v>27.398257999999998</v>
      </c>
      <c r="G188">
        <v>155.90001000000001</v>
      </c>
      <c r="H188">
        <v>184.43790000000001</v>
      </c>
      <c r="I188">
        <v>4</v>
      </c>
      <c r="J188">
        <v>104</v>
      </c>
      <c r="L188">
        <v>0</v>
      </c>
    </row>
    <row r="189" spans="1:12" x14ac:dyDescent="0.35">
      <c r="A189" s="1">
        <v>44105</v>
      </c>
      <c r="B189" t="s">
        <v>25</v>
      </c>
      <c r="C189" t="s">
        <v>14</v>
      </c>
      <c r="D189">
        <f>AVERAGE(800)</f>
        <v>800</v>
      </c>
      <c r="E189">
        <v>0</v>
      </c>
      <c r="F189">
        <v>28.480097000000001</v>
      </c>
      <c r="G189">
        <v>188.8</v>
      </c>
      <c r="H189">
        <v>184.43790000000001</v>
      </c>
      <c r="I189">
        <v>4</v>
      </c>
      <c r="J189">
        <v>104</v>
      </c>
      <c r="L189">
        <v>0</v>
      </c>
    </row>
    <row r="190" spans="1:12" x14ac:dyDescent="0.35">
      <c r="A190" s="1">
        <v>44105</v>
      </c>
      <c r="B190" t="s">
        <v>25</v>
      </c>
      <c r="C190" t="s">
        <v>16</v>
      </c>
      <c r="D190">
        <f>AVERAGE(800,771,775,748)</f>
        <v>773.5</v>
      </c>
      <c r="E190">
        <v>0</v>
      </c>
      <c r="F190">
        <v>30.308610000000002</v>
      </c>
      <c r="G190">
        <v>35.799999999999997</v>
      </c>
      <c r="H190">
        <v>184.43790000000001</v>
      </c>
      <c r="I190">
        <v>4</v>
      </c>
      <c r="J190">
        <v>104</v>
      </c>
      <c r="L190">
        <v>0</v>
      </c>
    </row>
    <row r="191" spans="1:12" x14ac:dyDescent="0.35">
      <c r="A191" s="1">
        <v>44105</v>
      </c>
      <c r="B191" t="s">
        <v>25</v>
      </c>
      <c r="C191" t="s">
        <v>24</v>
      </c>
      <c r="D191">
        <f>AVERAGE(740,782,788,780)</f>
        <v>772.5</v>
      </c>
      <c r="E191">
        <v>0</v>
      </c>
      <c r="F191">
        <v>36.13503</v>
      </c>
      <c r="G191">
        <v>139.1</v>
      </c>
      <c r="H191">
        <v>184.43790000000001</v>
      </c>
      <c r="I191">
        <v>4</v>
      </c>
      <c r="J191">
        <v>104</v>
      </c>
      <c r="L191">
        <v>0</v>
      </c>
    </row>
    <row r="192" spans="1:12" x14ac:dyDescent="0.35">
      <c r="A192" s="1">
        <v>44136</v>
      </c>
      <c r="B192" t="s">
        <v>10</v>
      </c>
      <c r="C192" t="s">
        <v>11</v>
      </c>
      <c r="D192">
        <f>AVERAGE(559,558,557,554)</f>
        <v>557</v>
      </c>
      <c r="E192">
        <v>1</v>
      </c>
      <c r="F192">
        <v>27.513000000000002</v>
      </c>
      <c r="G192">
        <v>210.1</v>
      </c>
      <c r="H192">
        <v>184.43790000000001</v>
      </c>
      <c r="I192">
        <v>4.0999999999999996</v>
      </c>
      <c r="J192">
        <v>104</v>
      </c>
      <c r="L192">
        <v>0</v>
      </c>
    </row>
    <row r="193" spans="1:12" x14ac:dyDescent="0.35">
      <c r="A193" s="1">
        <v>44136</v>
      </c>
      <c r="B193" t="s">
        <v>10</v>
      </c>
      <c r="C193" t="s">
        <v>12</v>
      </c>
      <c r="D193">
        <f>AVERAGE(542,553,564,551)</f>
        <v>552.5</v>
      </c>
      <c r="E193">
        <v>1</v>
      </c>
      <c r="F193">
        <v>28.137667</v>
      </c>
      <c r="G193">
        <v>281.7</v>
      </c>
      <c r="H193">
        <v>184.43790000000001</v>
      </c>
      <c r="I193">
        <v>4.0999999999999996</v>
      </c>
      <c r="J193">
        <v>104</v>
      </c>
      <c r="L193">
        <v>0</v>
      </c>
    </row>
    <row r="194" spans="1:12" x14ac:dyDescent="0.35">
      <c r="A194" s="1">
        <v>44136</v>
      </c>
      <c r="B194" t="s">
        <v>10</v>
      </c>
      <c r="C194" t="s">
        <v>13</v>
      </c>
      <c r="D194">
        <f>AVERAGE(537,525,537,525)</f>
        <v>531</v>
      </c>
      <c r="E194">
        <v>1</v>
      </c>
      <c r="F194">
        <v>19.451834000000002</v>
      </c>
      <c r="G194">
        <v>261.19997999999998</v>
      </c>
      <c r="H194">
        <v>184.43790000000001</v>
      </c>
      <c r="I194">
        <v>4.0999999999999996</v>
      </c>
      <c r="J194">
        <v>104</v>
      </c>
      <c r="L194">
        <v>0</v>
      </c>
    </row>
    <row r="195" spans="1:12" x14ac:dyDescent="0.35">
      <c r="A195" s="1">
        <v>44136</v>
      </c>
      <c r="B195" t="s">
        <v>10</v>
      </c>
      <c r="C195" t="s">
        <v>14</v>
      </c>
      <c r="D195">
        <f>AVERAGE(533,550,560,555)</f>
        <v>549.5</v>
      </c>
      <c r="E195">
        <v>1</v>
      </c>
      <c r="F195">
        <v>29.104668</v>
      </c>
      <c r="G195">
        <v>264.8</v>
      </c>
      <c r="H195">
        <v>184.43790000000001</v>
      </c>
      <c r="I195">
        <v>4.0999999999999996</v>
      </c>
      <c r="J195">
        <v>104</v>
      </c>
      <c r="L195">
        <v>0</v>
      </c>
    </row>
    <row r="196" spans="1:12" x14ac:dyDescent="0.35">
      <c r="A196" s="1">
        <v>44136</v>
      </c>
      <c r="B196" t="s">
        <v>10</v>
      </c>
      <c r="C196" t="s">
        <v>15</v>
      </c>
      <c r="D196">
        <f>AVERAGE(570,547,610,512)</f>
        <v>559.75</v>
      </c>
      <c r="E196">
        <v>1</v>
      </c>
      <c r="F196">
        <v>29.486333999999999</v>
      </c>
      <c r="G196">
        <v>403.89996000000002</v>
      </c>
      <c r="H196">
        <v>184.43790000000001</v>
      </c>
      <c r="I196">
        <v>4.0999999999999996</v>
      </c>
      <c r="J196">
        <v>104</v>
      </c>
      <c r="L196">
        <v>0</v>
      </c>
    </row>
    <row r="197" spans="1:12" x14ac:dyDescent="0.35">
      <c r="A197" s="1">
        <v>44136</v>
      </c>
      <c r="B197" t="s">
        <v>10</v>
      </c>
      <c r="C197" t="s">
        <v>16</v>
      </c>
      <c r="D197">
        <f>AVERAGE(541,540,567,570)</f>
        <v>554.5</v>
      </c>
      <c r="E197">
        <v>1</v>
      </c>
      <c r="F197">
        <v>26.043666999999999</v>
      </c>
      <c r="G197">
        <v>298.3</v>
      </c>
      <c r="H197">
        <v>184.43790000000001</v>
      </c>
      <c r="I197">
        <v>4.0999999999999996</v>
      </c>
      <c r="J197">
        <v>104</v>
      </c>
      <c r="L197">
        <v>0</v>
      </c>
    </row>
    <row r="198" spans="1:12" x14ac:dyDescent="0.35">
      <c r="A198" s="1">
        <v>44136</v>
      </c>
      <c r="B198" t="s">
        <v>10</v>
      </c>
      <c r="C198" t="s">
        <v>17</v>
      </c>
      <c r="D198">
        <f>AVERAGE(563,567,573)</f>
        <v>567.66666666666663</v>
      </c>
      <c r="E198">
        <v>1</v>
      </c>
      <c r="F198">
        <v>29.794333999999999</v>
      </c>
      <c r="G198">
        <v>205.5</v>
      </c>
      <c r="H198">
        <v>184.43790000000001</v>
      </c>
      <c r="I198">
        <v>4.0999999999999996</v>
      </c>
      <c r="J198">
        <v>104</v>
      </c>
      <c r="L198">
        <v>0</v>
      </c>
    </row>
    <row r="199" spans="1:12" x14ac:dyDescent="0.35">
      <c r="A199" s="1">
        <v>44136</v>
      </c>
      <c r="B199" t="s">
        <v>10</v>
      </c>
      <c r="C199" t="s">
        <v>18</v>
      </c>
      <c r="D199" t="s">
        <v>26</v>
      </c>
      <c r="E199">
        <v>1</v>
      </c>
      <c r="F199">
        <v>29.279001000000001</v>
      </c>
      <c r="G199">
        <v>373.1</v>
      </c>
      <c r="H199">
        <v>184.43790000000001</v>
      </c>
      <c r="I199">
        <v>4.0999999999999996</v>
      </c>
      <c r="J199">
        <v>104</v>
      </c>
      <c r="L199">
        <v>0</v>
      </c>
    </row>
    <row r="200" spans="1:12" x14ac:dyDescent="0.35">
      <c r="A200" s="1">
        <v>44136</v>
      </c>
      <c r="B200" t="s">
        <v>10</v>
      </c>
      <c r="C200" t="s">
        <v>19</v>
      </c>
      <c r="D200" t="s">
        <v>26</v>
      </c>
      <c r="E200">
        <v>1</v>
      </c>
      <c r="F200">
        <v>30.074999999999999</v>
      </c>
      <c r="G200">
        <v>398.40001999999998</v>
      </c>
      <c r="H200">
        <v>184.43790000000001</v>
      </c>
      <c r="I200">
        <v>4.0999999999999996</v>
      </c>
      <c r="J200">
        <v>104</v>
      </c>
      <c r="L200">
        <v>0</v>
      </c>
    </row>
    <row r="201" spans="1:12" x14ac:dyDescent="0.35">
      <c r="A201" s="1">
        <v>44136</v>
      </c>
      <c r="B201" t="s">
        <v>10</v>
      </c>
      <c r="C201" t="s">
        <v>20</v>
      </c>
      <c r="D201">
        <f>AVERAGE(550,550,565)</f>
        <v>555</v>
      </c>
      <c r="E201">
        <v>1</v>
      </c>
      <c r="F201">
        <v>29.491333000000001</v>
      </c>
      <c r="G201">
        <v>256.80002000000002</v>
      </c>
      <c r="H201">
        <v>184.43790000000001</v>
      </c>
      <c r="I201">
        <v>4.0999999999999996</v>
      </c>
      <c r="J201">
        <v>104</v>
      </c>
      <c r="L201">
        <v>0</v>
      </c>
    </row>
    <row r="202" spans="1:12" x14ac:dyDescent="0.35">
      <c r="A202" s="1">
        <v>44136</v>
      </c>
      <c r="B202" t="s">
        <v>10</v>
      </c>
      <c r="C202" t="s">
        <v>21</v>
      </c>
      <c r="D202">
        <f>AVERAGE(530,520,510,510)</f>
        <v>517.5</v>
      </c>
      <c r="E202">
        <v>1</v>
      </c>
      <c r="F202">
        <v>28.953333000000001</v>
      </c>
      <c r="G202">
        <v>533.20000000000005</v>
      </c>
      <c r="H202">
        <v>184.43790000000001</v>
      </c>
      <c r="I202">
        <v>4.0999999999999996</v>
      </c>
      <c r="J202">
        <v>104</v>
      </c>
      <c r="L202">
        <v>0</v>
      </c>
    </row>
    <row r="203" spans="1:12" x14ac:dyDescent="0.35">
      <c r="A203" s="1">
        <v>44136</v>
      </c>
      <c r="B203" t="s">
        <v>10</v>
      </c>
      <c r="C203" t="s">
        <v>22</v>
      </c>
      <c r="D203">
        <f>AVERAGE(550,550,530,560)</f>
        <v>547.5</v>
      </c>
      <c r="E203">
        <v>1</v>
      </c>
      <c r="F203">
        <v>28.237666999999998</v>
      </c>
      <c r="G203">
        <v>202.3</v>
      </c>
      <c r="H203">
        <v>184.43790000000001</v>
      </c>
      <c r="I203">
        <v>4.0999999999999996</v>
      </c>
      <c r="J203">
        <v>104</v>
      </c>
      <c r="L203">
        <v>0</v>
      </c>
    </row>
    <row r="204" spans="1:12" x14ac:dyDescent="0.35">
      <c r="A204" s="1">
        <v>44136</v>
      </c>
      <c r="B204" t="s">
        <v>10</v>
      </c>
      <c r="C204" t="s">
        <v>23</v>
      </c>
      <c r="D204">
        <f>AVERAGE(550,550,550,555)</f>
        <v>551.25</v>
      </c>
      <c r="E204">
        <v>1</v>
      </c>
      <c r="F204">
        <v>30.070667</v>
      </c>
      <c r="G204">
        <v>196.50002000000001</v>
      </c>
      <c r="H204">
        <v>184.43790000000001</v>
      </c>
      <c r="I204">
        <v>4.0999999999999996</v>
      </c>
      <c r="J204">
        <v>104</v>
      </c>
      <c r="L204">
        <v>0</v>
      </c>
    </row>
    <row r="205" spans="1:12" x14ac:dyDescent="0.35">
      <c r="A205" s="1">
        <v>44136</v>
      </c>
      <c r="B205" t="s">
        <v>10</v>
      </c>
      <c r="C205" t="s">
        <v>24</v>
      </c>
      <c r="D205">
        <f>AVERAGE(591,580,560,566)</f>
        <v>574.25</v>
      </c>
      <c r="E205">
        <v>1</v>
      </c>
      <c r="F205">
        <v>29.767668</v>
      </c>
      <c r="G205">
        <v>370.1</v>
      </c>
      <c r="H205">
        <v>184.43790000000001</v>
      </c>
      <c r="I205">
        <v>4.0999999999999996</v>
      </c>
      <c r="J205">
        <v>104</v>
      </c>
      <c r="L205">
        <v>0</v>
      </c>
    </row>
    <row r="206" spans="1:12" x14ac:dyDescent="0.35">
      <c r="A206" s="1">
        <v>44136</v>
      </c>
      <c r="B206" t="s">
        <v>25</v>
      </c>
      <c r="C206" t="s">
        <v>11</v>
      </c>
      <c r="D206">
        <f>AVERAGE(800,800,797,789)</f>
        <v>796.5</v>
      </c>
      <c r="E206">
        <v>1</v>
      </c>
      <c r="F206">
        <v>27.513000000000002</v>
      </c>
      <c r="G206">
        <v>210.1</v>
      </c>
      <c r="H206">
        <v>184.43790000000001</v>
      </c>
      <c r="I206">
        <v>4.0999999999999996</v>
      </c>
      <c r="J206">
        <v>104</v>
      </c>
      <c r="L206">
        <v>0</v>
      </c>
    </row>
    <row r="207" spans="1:12" x14ac:dyDescent="0.35">
      <c r="A207" s="1">
        <v>44136</v>
      </c>
      <c r="B207" t="s">
        <v>25</v>
      </c>
      <c r="C207" t="s">
        <v>12</v>
      </c>
      <c r="D207">
        <f>AVERAGE(744,766,717,819)</f>
        <v>761.5</v>
      </c>
      <c r="E207">
        <v>1</v>
      </c>
      <c r="F207">
        <v>28.137667</v>
      </c>
      <c r="G207">
        <v>281.7</v>
      </c>
      <c r="H207">
        <v>184.43790000000001</v>
      </c>
      <c r="I207">
        <v>4.0999999999999996</v>
      </c>
      <c r="J207">
        <v>104</v>
      </c>
      <c r="L207">
        <v>0</v>
      </c>
    </row>
    <row r="208" spans="1:12" x14ac:dyDescent="0.35">
      <c r="A208" s="1">
        <v>44136</v>
      </c>
      <c r="B208" t="s">
        <v>25</v>
      </c>
      <c r="C208" t="s">
        <v>14</v>
      </c>
      <c r="D208">
        <f>AVERAGE(800,700,800,850)</f>
        <v>787.5</v>
      </c>
      <c r="E208">
        <v>1</v>
      </c>
      <c r="F208">
        <v>29.104668</v>
      </c>
      <c r="G208">
        <v>264.8</v>
      </c>
      <c r="H208">
        <v>184.43790000000001</v>
      </c>
      <c r="I208">
        <v>4.0999999999999996</v>
      </c>
      <c r="J208">
        <v>104</v>
      </c>
      <c r="L208">
        <v>0</v>
      </c>
    </row>
    <row r="209" spans="1:12" x14ac:dyDescent="0.35">
      <c r="A209" s="1">
        <v>44136</v>
      </c>
      <c r="B209" t="s">
        <v>25</v>
      </c>
      <c r="C209" t="s">
        <v>16</v>
      </c>
      <c r="D209">
        <f>AVERAGE(762,762,750,735)</f>
        <v>752.25</v>
      </c>
      <c r="E209">
        <v>1</v>
      </c>
      <c r="F209">
        <v>26.043666999999999</v>
      </c>
      <c r="G209">
        <v>298.3</v>
      </c>
      <c r="H209">
        <v>184.43790000000001</v>
      </c>
      <c r="I209">
        <v>4.0999999999999996</v>
      </c>
      <c r="J209">
        <v>104</v>
      </c>
      <c r="L209">
        <v>0</v>
      </c>
    </row>
    <row r="210" spans="1:12" x14ac:dyDescent="0.35">
      <c r="A210" s="1">
        <v>44136</v>
      </c>
      <c r="B210" t="s">
        <v>25</v>
      </c>
      <c r="C210" t="s">
        <v>24</v>
      </c>
      <c r="D210">
        <f>AVERAGE(760,765,790,790)</f>
        <v>776.25</v>
      </c>
      <c r="E210">
        <v>1</v>
      </c>
      <c r="F210">
        <v>29.767668</v>
      </c>
      <c r="G210">
        <v>370.1</v>
      </c>
      <c r="H210">
        <v>184.43790000000001</v>
      </c>
      <c r="I210">
        <v>4.0999999999999996</v>
      </c>
      <c r="J210">
        <v>104</v>
      </c>
      <c r="L210">
        <v>0</v>
      </c>
    </row>
    <row r="211" spans="1:12" x14ac:dyDescent="0.35">
      <c r="A211" s="1">
        <v>44166</v>
      </c>
      <c r="B211" t="s">
        <v>10</v>
      </c>
      <c r="C211" t="s">
        <v>11</v>
      </c>
      <c r="D211">
        <f>AVERAGE(571,571,571,565,580)</f>
        <v>571.6</v>
      </c>
      <c r="E211">
        <v>1</v>
      </c>
      <c r="F211">
        <v>26.587194</v>
      </c>
      <c r="G211">
        <v>251.90001000000001</v>
      </c>
      <c r="H211">
        <v>187.18219999999999</v>
      </c>
      <c r="I211">
        <v>4.2</v>
      </c>
      <c r="J211">
        <v>104</v>
      </c>
      <c r="L211">
        <v>0</v>
      </c>
    </row>
    <row r="212" spans="1:12" x14ac:dyDescent="0.35">
      <c r="A212" s="1">
        <v>44166</v>
      </c>
      <c r="B212" t="s">
        <v>10</v>
      </c>
      <c r="C212" t="s">
        <v>12</v>
      </c>
      <c r="D212">
        <f>AVERAGE(572,587,577,563,513)</f>
        <v>562.4</v>
      </c>
      <c r="E212">
        <v>1</v>
      </c>
      <c r="F212">
        <v>27.216002</v>
      </c>
      <c r="G212">
        <v>383.2</v>
      </c>
      <c r="H212">
        <v>187.18219999999999</v>
      </c>
      <c r="I212">
        <v>4.2</v>
      </c>
      <c r="J212">
        <v>104</v>
      </c>
      <c r="L212">
        <v>0</v>
      </c>
    </row>
    <row r="213" spans="1:12" x14ac:dyDescent="0.35">
      <c r="A213" s="1">
        <v>44166</v>
      </c>
      <c r="B213" t="s">
        <v>10</v>
      </c>
      <c r="C213" t="s">
        <v>13</v>
      </c>
      <c r="D213">
        <f>AVERAGE(530,552,537,546)</f>
        <v>541.25</v>
      </c>
      <c r="E213">
        <v>1</v>
      </c>
      <c r="F213">
        <v>18.970274</v>
      </c>
      <c r="G213">
        <v>224.8</v>
      </c>
      <c r="H213">
        <v>187.18219999999999</v>
      </c>
      <c r="I213">
        <v>4.2</v>
      </c>
      <c r="J213">
        <v>104</v>
      </c>
      <c r="L213">
        <v>0</v>
      </c>
    </row>
    <row r="214" spans="1:12" x14ac:dyDescent="0.35">
      <c r="A214" s="1">
        <v>44166</v>
      </c>
      <c r="B214" t="s">
        <v>10</v>
      </c>
      <c r="C214" t="s">
        <v>14</v>
      </c>
      <c r="D214">
        <f>AVERAGE(578,570,575,570,500)</f>
        <v>558.6</v>
      </c>
      <c r="E214">
        <v>1</v>
      </c>
      <c r="F214">
        <v>28.426870000000001</v>
      </c>
      <c r="G214">
        <v>210.70000999999999</v>
      </c>
      <c r="H214">
        <v>187.18219999999999</v>
      </c>
      <c r="I214">
        <v>4.2</v>
      </c>
      <c r="J214">
        <v>104</v>
      </c>
      <c r="L214">
        <v>0</v>
      </c>
    </row>
    <row r="215" spans="1:12" x14ac:dyDescent="0.35">
      <c r="A215" s="1">
        <v>44166</v>
      </c>
      <c r="B215" t="s">
        <v>10</v>
      </c>
      <c r="C215" t="s">
        <v>15</v>
      </c>
      <c r="D215">
        <f>AVERAGE(545,500,538,546,570)</f>
        <v>539.79999999999995</v>
      </c>
      <c r="E215">
        <v>1</v>
      </c>
      <c r="F215">
        <v>28.903645000000001</v>
      </c>
      <c r="G215">
        <v>188.7</v>
      </c>
      <c r="H215">
        <v>187.18219999999999</v>
      </c>
      <c r="I215">
        <v>4.2</v>
      </c>
      <c r="J215">
        <v>104</v>
      </c>
      <c r="L215">
        <v>0</v>
      </c>
    </row>
    <row r="216" spans="1:12" x14ac:dyDescent="0.35">
      <c r="A216" s="1">
        <v>44166</v>
      </c>
      <c r="B216" t="s">
        <v>10</v>
      </c>
      <c r="C216" t="s">
        <v>16</v>
      </c>
      <c r="D216">
        <f>AVERAGE(565,551,552,552,570)</f>
        <v>558</v>
      </c>
      <c r="E216">
        <v>1</v>
      </c>
      <c r="F216">
        <v>25.019902999999999</v>
      </c>
      <c r="G216">
        <v>584.6</v>
      </c>
      <c r="H216">
        <v>187.18219999999999</v>
      </c>
      <c r="I216">
        <v>4.2</v>
      </c>
      <c r="J216">
        <v>104</v>
      </c>
      <c r="L216">
        <v>0</v>
      </c>
    </row>
    <row r="217" spans="1:12" x14ac:dyDescent="0.35">
      <c r="A217" s="1">
        <v>44166</v>
      </c>
      <c r="B217" t="s">
        <v>10</v>
      </c>
      <c r="C217" t="s">
        <v>17</v>
      </c>
      <c r="D217">
        <f>AVERAGE(558,560,560,563,573)</f>
        <v>562.79999999999995</v>
      </c>
      <c r="E217">
        <v>1</v>
      </c>
      <c r="F217">
        <v>28.651160999999998</v>
      </c>
      <c r="G217">
        <v>337.4</v>
      </c>
      <c r="H217">
        <v>187.18219999999999</v>
      </c>
      <c r="I217">
        <v>4.2</v>
      </c>
      <c r="J217">
        <v>104</v>
      </c>
      <c r="L217">
        <v>0</v>
      </c>
    </row>
    <row r="218" spans="1:12" x14ac:dyDescent="0.35">
      <c r="A218" s="1">
        <v>44166</v>
      </c>
      <c r="B218" t="s">
        <v>10</v>
      </c>
      <c r="C218" t="s">
        <v>18</v>
      </c>
      <c r="D218">
        <f>AVERAGE(525,512,516,513)</f>
        <v>516.5</v>
      </c>
      <c r="E218">
        <v>1</v>
      </c>
      <c r="F218">
        <v>28.728840000000002</v>
      </c>
      <c r="G218">
        <v>155.80000000000001</v>
      </c>
      <c r="H218">
        <v>187.18219999999999</v>
      </c>
      <c r="I218">
        <v>4.2</v>
      </c>
      <c r="J218">
        <v>104</v>
      </c>
      <c r="L218">
        <v>0</v>
      </c>
    </row>
    <row r="219" spans="1:12" x14ac:dyDescent="0.35">
      <c r="A219" s="1">
        <v>44166</v>
      </c>
      <c r="B219" t="s">
        <v>10</v>
      </c>
      <c r="C219" t="s">
        <v>19</v>
      </c>
      <c r="D219">
        <f>AVERAGE(520,505,557,552)</f>
        <v>533.5</v>
      </c>
      <c r="E219">
        <v>1</v>
      </c>
      <c r="F219">
        <v>29.39629</v>
      </c>
      <c r="G219">
        <v>182.7</v>
      </c>
      <c r="H219">
        <v>187.18219999999999</v>
      </c>
      <c r="I219">
        <v>4.2</v>
      </c>
      <c r="J219">
        <v>104</v>
      </c>
      <c r="L219">
        <v>0</v>
      </c>
    </row>
    <row r="220" spans="1:12" x14ac:dyDescent="0.35">
      <c r="A220" s="1">
        <v>44166</v>
      </c>
      <c r="B220" t="s">
        <v>10</v>
      </c>
      <c r="C220" t="s">
        <v>20</v>
      </c>
      <c r="D220">
        <f>AVERAGE(545,550,550,500,500)</f>
        <v>529</v>
      </c>
      <c r="E220">
        <v>1</v>
      </c>
      <c r="F220">
        <v>29.018968999999998</v>
      </c>
      <c r="G220">
        <v>208.20000999999999</v>
      </c>
      <c r="H220">
        <v>187.18219999999999</v>
      </c>
      <c r="I220">
        <v>4.2</v>
      </c>
      <c r="J220">
        <v>104</v>
      </c>
      <c r="L220">
        <v>0</v>
      </c>
    </row>
    <row r="221" spans="1:12" x14ac:dyDescent="0.35">
      <c r="A221" s="1">
        <v>44166</v>
      </c>
      <c r="B221" t="s">
        <v>10</v>
      </c>
      <c r="C221" t="s">
        <v>21</v>
      </c>
      <c r="D221">
        <f>AVERAGE(490,500,495,540,530)</f>
        <v>511</v>
      </c>
      <c r="E221">
        <v>1</v>
      </c>
      <c r="F221">
        <v>28.763870000000001</v>
      </c>
      <c r="G221">
        <v>221.1</v>
      </c>
      <c r="H221">
        <v>187.18219999999999</v>
      </c>
      <c r="I221">
        <v>4.2</v>
      </c>
      <c r="J221">
        <v>104</v>
      </c>
      <c r="L221">
        <v>0</v>
      </c>
    </row>
    <row r="222" spans="1:12" x14ac:dyDescent="0.35">
      <c r="A222" s="1">
        <v>44166</v>
      </c>
      <c r="B222" t="s">
        <v>10</v>
      </c>
      <c r="C222" t="s">
        <v>22</v>
      </c>
      <c r="D222">
        <f>AVERAGE(575,550,500,500,550)</f>
        <v>535</v>
      </c>
      <c r="E222">
        <v>1</v>
      </c>
      <c r="F222">
        <v>27.893260000000001</v>
      </c>
      <c r="G222">
        <v>110.9</v>
      </c>
      <c r="H222">
        <v>187.18219999999999</v>
      </c>
      <c r="I222">
        <v>4.2</v>
      </c>
      <c r="J222">
        <v>104</v>
      </c>
      <c r="L222">
        <v>0</v>
      </c>
    </row>
    <row r="223" spans="1:12" x14ac:dyDescent="0.35">
      <c r="A223" s="1">
        <v>44166</v>
      </c>
      <c r="B223" t="s">
        <v>10</v>
      </c>
      <c r="C223" t="s">
        <v>23</v>
      </c>
      <c r="D223">
        <f>AVERAGE(500,500,500,550,550)</f>
        <v>520</v>
      </c>
      <c r="E223">
        <v>1</v>
      </c>
      <c r="F223">
        <v>29.843357000000001</v>
      </c>
      <c r="G223">
        <v>110.2</v>
      </c>
      <c r="H223">
        <v>187.18219999999999</v>
      </c>
      <c r="I223">
        <v>4.2</v>
      </c>
      <c r="J223">
        <v>104</v>
      </c>
      <c r="L223">
        <v>0</v>
      </c>
    </row>
    <row r="224" spans="1:12" x14ac:dyDescent="0.35">
      <c r="A224" s="1">
        <v>44166</v>
      </c>
      <c r="B224" t="s">
        <v>10</v>
      </c>
      <c r="C224" t="s">
        <v>24</v>
      </c>
      <c r="D224">
        <f>AVERAGE(586,573,570,575,550)</f>
        <v>570.79999999999995</v>
      </c>
      <c r="E224">
        <v>1</v>
      </c>
      <c r="F224">
        <v>28.935034000000002</v>
      </c>
      <c r="G224">
        <v>310.2</v>
      </c>
      <c r="H224">
        <v>187.18219999999999</v>
      </c>
      <c r="I224">
        <v>4.2</v>
      </c>
      <c r="J224">
        <v>104</v>
      </c>
      <c r="L224">
        <v>0</v>
      </c>
    </row>
    <row r="225" spans="1:12" x14ac:dyDescent="0.35">
      <c r="A225" s="1">
        <v>44166</v>
      </c>
      <c r="B225" t="s">
        <v>25</v>
      </c>
      <c r="C225" t="s">
        <v>11</v>
      </c>
      <c r="D225">
        <f>AVERAGE(800,811,817,850,811)</f>
        <v>817.8</v>
      </c>
      <c r="E225">
        <v>1</v>
      </c>
      <c r="F225">
        <v>26.587194</v>
      </c>
      <c r="G225">
        <v>251.90001000000001</v>
      </c>
      <c r="H225">
        <v>187.18219999999999</v>
      </c>
      <c r="I225">
        <v>4.2</v>
      </c>
      <c r="J225">
        <v>104</v>
      </c>
      <c r="L225">
        <v>0</v>
      </c>
    </row>
    <row r="226" spans="1:12" x14ac:dyDescent="0.35">
      <c r="A226" s="1">
        <v>44166</v>
      </c>
      <c r="B226" t="s">
        <v>25</v>
      </c>
      <c r="C226" t="s">
        <v>12</v>
      </c>
      <c r="D226">
        <f>AVERAGE(790,785,800,813,813)</f>
        <v>800.2</v>
      </c>
      <c r="E226">
        <v>1</v>
      </c>
      <c r="F226">
        <v>27.216002</v>
      </c>
      <c r="G226">
        <v>383.2</v>
      </c>
      <c r="H226">
        <v>187.18219999999999</v>
      </c>
      <c r="I226">
        <v>4.2</v>
      </c>
      <c r="J226">
        <v>104</v>
      </c>
      <c r="L226">
        <v>0</v>
      </c>
    </row>
    <row r="227" spans="1:12" x14ac:dyDescent="0.35">
      <c r="A227" s="1">
        <v>44166</v>
      </c>
      <c r="B227" t="s">
        <v>25</v>
      </c>
      <c r="C227" t="s">
        <v>14</v>
      </c>
      <c r="D227">
        <f>AVERAGE(800,800,875,833)</f>
        <v>827</v>
      </c>
      <c r="E227">
        <v>1</v>
      </c>
      <c r="F227">
        <v>28.426870000000001</v>
      </c>
      <c r="G227">
        <v>210.70000999999999</v>
      </c>
      <c r="H227">
        <v>187.18219999999999</v>
      </c>
      <c r="I227">
        <v>4.2</v>
      </c>
      <c r="J227">
        <v>104</v>
      </c>
      <c r="L227">
        <v>0</v>
      </c>
    </row>
    <row r="228" spans="1:12" x14ac:dyDescent="0.35">
      <c r="A228" s="1">
        <v>44166</v>
      </c>
      <c r="B228" t="s">
        <v>25</v>
      </c>
      <c r="C228" t="s">
        <v>16</v>
      </c>
      <c r="D228">
        <f>AVERAGE(771,775,758,775,800)</f>
        <v>775.8</v>
      </c>
      <c r="E228">
        <v>1</v>
      </c>
      <c r="F228">
        <v>25.019902999999999</v>
      </c>
      <c r="G228">
        <v>584.6</v>
      </c>
      <c r="H228">
        <v>187.18219999999999</v>
      </c>
      <c r="I228">
        <v>4.2</v>
      </c>
      <c r="J228">
        <v>104</v>
      </c>
      <c r="L228">
        <v>0</v>
      </c>
    </row>
    <row r="229" spans="1:12" x14ac:dyDescent="0.35">
      <c r="A229" s="1">
        <v>44166</v>
      </c>
      <c r="B229" t="s">
        <v>25</v>
      </c>
      <c r="C229" t="s">
        <v>24</v>
      </c>
      <c r="D229">
        <f>AVERAGE(794,775,780,805,776)</f>
        <v>786</v>
      </c>
      <c r="E229">
        <v>1</v>
      </c>
      <c r="F229">
        <v>28.935034000000002</v>
      </c>
      <c r="G229">
        <v>310.2</v>
      </c>
      <c r="H229">
        <v>187.18219999999999</v>
      </c>
      <c r="I229">
        <v>4.2</v>
      </c>
      <c r="J229">
        <v>104</v>
      </c>
      <c r="L229">
        <v>0</v>
      </c>
    </row>
    <row r="230" spans="1:12" x14ac:dyDescent="0.35">
      <c r="A230" s="1">
        <v>44197</v>
      </c>
      <c r="B230" t="s">
        <v>10</v>
      </c>
      <c r="C230" t="s">
        <v>11</v>
      </c>
      <c r="D230">
        <f>AVERAGE(540,547,564,574)</f>
        <v>556.25</v>
      </c>
      <c r="E230">
        <v>1</v>
      </c>
      <c r="F230">
        <v>26.575904999999999</v>
      </c>
      <c r="G230">
        <v>145.70000999999999</v>
      </c>
      <c r="H230">
        <v>190.49180000000001</v>
      </c>
      <c r="I230">
        <v>3</v>
      </c>
      <c r="J230">
        <v>104</v>
      </c>
      <c r="L230">
        <v>0</v>
      </c>
    </row>
    <row r="231" spans="1:12" x14ac:dyDescent="0.35">
      <c r="A231" s="1">
        <v>44197</v>
      </c>
      <c r="B231" t="s">
        <v>10</v>
      </c>
      <c r="C231" t="s">
        <v>12</v>
      </c>
      <c r="D231">
        <f>AVERAGE(562,578,555,557)</f>
        <v>563</v>
      </c>
      <c r="E231">
        <v>1</v>
      </c>
      <c r="F231">
        <v>27.528904000000001</v>
      </c>
      <c r="G231">
        <v>209.2</v>
      </c>
      <c r="H231">
        <v>190.49180000000001</v>
      </c>
      <c r="I231">
        <v>3</v>
      </c>
      <c r="J231">
        <v>104</v>
      </c>
      <c r="L231">
        <v>0</v>
      </c>
    </row>
    <row r="232" spans="1:12" x14ac:dyDescent="0.35">
      <c r="A232" s="1">
        <v>44197</v>
      </c>
      <c r="B232" t="s">
        <v>10</v>
      </c>
      <c r="C232" t="s">
        <v>13</v>
      </c>
      <c r="D232">
        <f>AVERAGE(505,517,530,540)</f>
        <v>523</v>
      </c>
      <c r="E232">
        <v>1</v>
      </c>
      <c r="F232">
        <v>19.115435000000002</v>
      </c>
      <c r="G232">
        <v>320.19997999999998</v>
      </c>
      <c r="H232">
        <v>190.49180000000001</v>
      </c>
      <c r="I232">
        <v>3</v>
      </c>
      <c r="J232">
        <v>104</v>
      </c>
      <c r="L232">
        <v>0</v>
      </c>
    </row>
    <row r="233" spans="1:12" x14ac:dyDescent="0.35">
      <c r="A233" s="1">
        <v>44197</v>
      </c>
      <c r="B233" t="s">
        <v>10</v>
      </c>
      <c r="C233" t="s">
        <v>14</v>
      </c>
      <c r="D233">
        <f>AVERAGE(555,533,550,500)</f>
        <v>534.5</v>
      </c>
      <c r="E233">
        <v>1</v>
      </c>
      <c r="F233">
        <v>28.744613999999999</v>
      </c>
      <c r="G233">
        <v>288.60000000000002</v>
      </c>
      <c r="H233">
        <v>190.49180000000001</v>
      </c>
      <c r="I233">
        <v>3</v>
      </c>
      <c r="J233">
        <v>104</v>
      </c>
      <c r="L233">
        <v>0</v>
      </c>
    </row>
    <row r="234" spans="1:12" x14ac:dyDescent="0.35">
      <c r="A234" s="1">
        <v>44197</v>
      </c>
      <c r="B234" t="s">
        <v>10</v>
      </c>
      <c r="C234" t="s">
        <v>15</v>
      </c>
      <c r="D234">
        <f>AVERAGE(505,525,522,542)</f>
        <v>523.5</v>
      </c>
      <c r="E234">
        <v>1</v>
      </c>
      <c r="F234">
        <v>28.911708999999998</v>
      </c>
      <c r="G234">
        <v>270.40001999999998</v>
      </c>
      <c r="H234">
        <v>190.49180000000001</v>
      </c>
      <c r="I234">
        <v>3</v>
      </c>
      <c r="J234">
        <v>104</v>
      </c>
      <c r="L234">
        <v>0</v>
      </c>
    </row>
    <row r="235" spans="1:12" x14ac:dyDescent="0.35">
      <c r="A235" s="1">
        <v>44197</v>
      </c>
      <c r="B235" t="s">
        <v>10</v>
      </c>
      <c r="C235" t="s">
        <v>16</v>
      </c>
      <c r="D235">
        <f>AVERAGE(545,562,550,548)</f>
        <v>551.25</v>
      </c>
      <c r="E235">
        <v>1</v>
      </c>
      <c r="F235">
        <v>24.389257000000001</v>
      </c>
      <c r="G235">
        <v>467.5</v>
      </c>
      <c r="H235">
        <v>190.49180000000001</v>
      </c>
      <c r="I235">
        <v>3</v>
      </c>
      <c r="J235">
        <v>104</v>
      </c>
      <c r="L235">
        <v>0</v>
      </c>
    </row>
    <row r="236" spans="1:12" x14ac:dyDescent="0.35">
      <c r="A236" s="1">
        <v>44197</v>
      </c>
      <c r="B236" t="s">
        <v>10</v>
      </c>
      <c r="C236" t="s">
        <v>17</v>
      </c>
      <c r="D236">
        <f>AVERAGE(517,517,537,543)</f>
        <v>528.5</v>
      </c>
      <c r="E236">
        <v>1</v>
      </c>
      <c r="F236">
        <v>29.04955</v>
      </c>
      <c r="G236">
        <v>169.7</v>
      </c>
      <c r="H236">
        <v>190.49180000000001</v>
      </c>
      <c r="I236">
        <v>3</v>
      </c>
      <c r="J236">
        <v>104</v>
      </c>
      <c r="L236">
        <v>0</v>
      </c>
    </row>
    <row r="237" spans="1:12" x14ac:dyDescent="0.35">
      <c r="A237" s="1">
        <v>44197</v>
      </c>
      <c r="B237" t="s">
        <v>10</v>
      </c>
      <c r="C237" t="s">
        <v>18</v>
      </c>
      <c r="D237">
        <f>AVERAGE(463,475,480,481)</f>
        <v>474.75</v>
      </c>
      <c r="E237">
        <v>1</v>
      </c>
      <c r="F237">
        <v>28.888515000000002</v>
      </c>
      <c r="G237">
        <v>280.10000000000002</v>
      </c>
      <c r="H237">
        <v>190.49180000000001</v>
      </c>
      <c r="I237">
        <v>3</v>
      </c>
      <c r="J237">
        <v>104</v>
      </c>
      <c r="L237">
        <v>0</v>
      </c>
    </row>
    <row r="238" spans="1:12" x14ac:dyDescent="0.35">
      <c r="A238" s="1">
        <v>44197</v>
      </c>
      <c r="B238" t="s">
        <v>10</v>
      </c>
      <c r="C238" t="s">
        <v>19</v>
      </c>
      <c r="D238">
        <f>AVERAGE(500,495,510,525)</f>
        <v>507.5</v>
      </c>
      <c r="E238">
        <v>1</v>
      </c>
      <c r="F238">
        <v>29.788225000000001</v>
      </c>
      <c r="G238">
        <v>211.8</v>
      </c>
      <c r="H238">
        <v>190.49180000000001</v>
      </c>
      <c r="I238">
        <v>3</v>
      </c>
      <c r="J238">
        <v>104</v>
      </c>
      <c r="L238">
        <v>0</v>
      </c>
    </row>
    <row r="239" spans="1:12" x14ac:dyDescent="0.35">
      <c r="A239" s="1">
        <v>44197</v>
      </c>
      <c r="B239" t="s">
        <v>10</v>
      </c>
      <c r="C239" t="s">
        <v>20</v>
      </c>
      <c r="D239">
        <f>AVERAGE(500,500,500,477)</f>
        <v>494.25</v>
      </c>
      <c r="E239">
        <v>1</v>
      </c>
      <c r="F239">
        <v>28.873805999999998</v>
      </c>
      <c r="G239">
        <v>239.5</v>
      </c>
      <c r="H239">
        <v>190.49180000000001</v>
      </c>
      <c r="I239">
        <v>3</v>
      </c>
      <c r="J239">
        <v>104</v>
      </c>
      <c r="L239">
        <v>0</v>
      </c>
    </row>
    <row r="240" spans="1:12" x14ac:dyDescent="0.35">
      <c r="A240" s="1">
        <v>44197</v>
      </c>
      <c r="B240" t="s">
        <v>10</v>
      </c>
      <c r="C240" t="s">
        <v>21</v>
      </c>
      <c r="D240">
        <f>AVERAGE(480,450,465,455)</f>
        <v>462.5</v>
      </c>
      <c r="E240">
        <v>1</v>
      </c>
      <c r="F240">
        <v>28.394515999999999</v>
      </c>
      <c r="G240">
        <v>278.8</v>
      </c>
      <c r="H240">
        <v>190.49180000000001</v>
      </c>
      <c r="I240">
        <v>3</v>
      </c>
      <c r="J240">
        <v>104</v>
      </c>
      <c r="L240">
        <v>0</v>
      </c>
    </row>
    <row r="241" spans="1:12" x14ac:dyDescent="0.35">
      <c r="A241" s="1">
        <v>44197</v>
      </c>
      <c r="B241" t="s">
        <v>10</v>
      </c>
      <c r="C241" t="s">
        <v>22</v>
      </c>
      <c r="D241">
        <f>AVERAGE(502.5)</f>
        <v>502.5</v>
      </c>
      <c r="E241">
        <v>1</v>
      </c>
      <c r="F241">
        <v>27.493259999999999</v>
      </c>
      <c r="G241">
        <v>176.3</v>
      </c>
      <c r="H241">
        <v>190.49180000000001</v>
      </c>
      <c r="I241">
        <v>3</v>
      </c>
      <c r="J241">
        <v>104</v>
      </c>
      <c r="L241">
        <v>0</v>
      </c>
    </row>
    <row r="242" spans="1:12" x14ac:dyDescent="0.35">
      <c r="A242" s="1">
        <v>44197</v>
      </c>
      <c r="B242" t="s">
        <v>10</v>
      </c>
      <c r="C242" t="s">
        <v>23</v>
      </c>
      <c r="D242">
        <f>AVERAGE(515,525,530,525)</f>
        <v>523.75</v>
      </c>
      <c r="E242">
        <v>1</v>
      </c>
      <c r="F242">
        <v>28.936903000000001</v>
      </c>
      <c r="G242">
        <v>177.3</v>
      </c>
      <c r="H242">
        <v>190.49180000000001</v>
      </c>
      <c r="I242">
        <v>3</v>
      </c>
      <c r="J242">
        <v>104</v>
      </c>
      <c r="L242">
        <v>0</v>
      </c>
    </row>
    <row r="243" spans="1:12" x14ac:dyDescent="0.35">
      <c r="A243" s="1">
        <v>44197</v>
      </c>
      <c r="B243" t="s">
        <v>10</v>
      </c>
      <c r="C243" t="s">
        <v>24</v>
      </c>
      <c r="D243">
        <f>AVERAGE(560,560,568,565)</f>
        <v>563.25</v>
      </c>
      <c r="E243">
        <v>1</v>
      </c>
      <c r="F243">
        <v>27.875354999999999</v>
      </c>
      <c r="G243">
        <v>367.5</v>
      </c>
      <c r="H243">
        <v>190.49180000000001</v>
      </c>
      <c r="I243">
        <v>3</v>
      </c>
      <c r="J243">
        <v>104</v>
      </c>
      <c r="L243">
        <v>0</v>
      </c>
    </row>
    <row r="244" spans="1:12" x14ac:dyDescent="0.35">
      <c r="A244" s="1">
        <v>44197</v>
      </c>
      <c r="B244" t="s">
        <v>25</v>
      </c>
      <c r="C244" t="s">
        <v>11</v>
      </c>
      <c r="D244">
        <f>AVERAGE(792,778,797,825)</f>
        <v>798</v>
      </c>
      <c r="E244">
        <v>1</v>
      </c>
      <c r="F244">
        <v>26.575904999999999</v>
      </c>
      <c r="G244">
        <v>145.70000999999999</v>
      </c>
      <c r="H244">
        <v>190.49180000000001</v>
      </c>
      <c r="I244">
        <v>3</v>
      </c>
      <c r="J244">
        <v>104</v>
      </c>
      <c r="L244">
        <v>0</v>
      </c>
    </row>
    <row r="245" spans="1:12" x14ac:dyDescent="0.35">
      <c r="A245" s="1">
        <v>44197</v>
      </c>
      <c r="B245" t="s">
        <v>25</v>
      </c>
      <c r="C245" t="s">
        <v>12</v>
      </c>
      <c r="D245">
        <f>AVERAGE(767,812,738,784)</f>
        <v>775.25</v>
      </c>
      <c r="E245">
        <v>1</v>
      </c>
      <c r="F245">
        <v>27.528904000000001</v>
      </c>
      <c r="G245">
        <v>209.2</v>
      </c>
      <c r="H245">
        <v>190.49180000000001</v>
      </c>
      <c r="I245">
        <v>3</v>
      </c>
      <c r="J245">
        <v>104</v>
      </c>
      <c r="L245">
        <v>0</v>
      </c>
    </row>
    <row r="246" spans="1:12" x14ac:dyDescent="0.35">
      <c r="A246" s="1">
        <v>44197</v>
      </c>
      <c r="B246" t="s">
        <v>25</v>
      </c>
      <c r="C246" t="s">
        <v>14</v>
      </c>
      <c r="D246">
        <f>AVERAGE(775,850,900,750)</f>
        <v>818.75</v>
      </c>
      <c r="E246">
        <v>1</v>
      </c>
      <c r="F246">
        <v>28.744613999999999</v>
      </c>
      <c r="G246">
        <v>288.60000000000002</v>
      </c>
      <c r="H246">
        <v>190.49180000000001</v>
      </c>
      <c r="I246">
        <v>3</v>
      </c>
      <c r="J246">
        <v>104</v>
      </c>
      <c r="L246">
        <v>0</v>
      </c>
    </row>
    <row r="247" spans="1:12" x14ac:dyDescent="0.35">
      <c r="A247" s="1">
        <v>44197</v>
      </c>
      <c r="B247" t="s">
        <v>25</v>
      </c>
      <c r="C247" t="s">
        <v>16</v>
      </c>
      <c r="D247">
        <f>AVERAGE(768,762,700,781)</f>
        <v>752.75</v>
      </c>
      <c r="E247">
        <v>1</v>
      </c>
      <c r="F247">
        <v>24.389257000000001</v>
      </c>
      <c r="G247">
        <v>467.5</v>
      </c>
      <c r="H247">
        <v>190.49180000000001</v>
      </c>
      <c r="I247">
        <v>3</v>
      </c>
      <c r="J247">
        <v>104</v>
      </c>
      <c r="L247">
        <v>0</v>
      </c>
    </row>
    <row r="248" spans="1:12" x14ac:dyDescent="0.35">
      <c r="A248" s="1">
        <v>44197</v>
      </c>
      <c r="B248" t="s">
        <v>25</v>
      </c>
      <c r="C248" t="s">
        <v>24</v>
      </c>
      <c r="D248">
        <f>AVERAGE(798,785,725,775)</f>
        <v>770.75</v>
      </c>
      <c r="E248">
        <v>1</v>
      </c>
      <c r="F248">
        <v>27.875354999999999</v>
      </c>
      <c r="G248">
        <v>367.5</v>
      </c>
      <c r="H248">
        <v>190.49180000000001</v>
      </c>
      <c r="I248">
        <v>3</v>
      </c>
      <c r="J248">
        <v>104</v>
      </c>
      <c r="L248">
        <v>0</v>
      </c>
    </row>
    <row r="249" spans="1:12" x14ac:dyDescent="0.35">
      <c r="A249" s="1">
        <v>44228</v>
      </c>
      <c r="B249" t="s">
        <v>10</v>
      </c>
      <c r="C249" t="s">
        <v>11</v>
      </c>
      <c r="D249">
        <f>AVERAGE(531,527,531,540)</f>
        <v>532.25</v>
      </c>
      <c r="E249">
        <v>1</v>
      </c>
      <c r="F249">
        <v>28.632643000000002</v>
      </c>
      <c r="G249">
        <v>15.2</v>
      </c>
      <c r="H249">
        <v>194.06649999999999</v>
      </c>
      <c r="I249">
        <v>3.3</v>
      </c>
      <c r="J249">
        <v>104</v>
      </c>
      <c r="L249">
        <v>1</v>
      </c>
    </row>
    <row r="250" spans="1:12" x14ac:dyDescent="0.35">
      <c r="A250" s="1">
        <v>44228</v>
      </c>
      <c r="B250" t="s">
        <v>10</v>
      </c>
      <c r="C250" t="s">
        <v>12</v>
      </c>
      <c r="D250">
        <f>AVERAGE(555,541,529,547)</f>
        <v>543</v>
      </c>
      <c r="E250">
        <v>1</v>
      </c>
      <c r="F250">
        <v>29.557072000000002</v>
      </c>
      <c r="G250">
        <v>17.600000000000001</v>
      </c>
      <c r="H250">
        <v>194.06649999999999</v>
      </c>
      <c r="I250">
        <v>3.3</v>
      </c>
      <c r="J250">
        <v>104</v>
      </c>
      <c r="L250">
        <v>1</v>
      </c>
    </row>
    <row r="251" spans="1:12" x14ac:dyDescent="0.35">
      <c r="A251" s="1">
        <v>44228</v>
      </c>
      <c r="B251" t="s">
        <v>10</v>
      </c>
      <c r="C251" t="s">
        <v>13</v>
      </c>
      <c r="D251">
        <f>AVERAGE(497,507,504,517)</f>
        <v>506.25</v>
      </c>
      <c r="E251">
        <v>1</v>
      </c>
      <c r="F251">
        <v>20.173497999999999</v>
      </c>
      <c r="G251">
        <v>39.300002999999997</v>
      </c>
      <c r="H251">
        <v>194.06649999999999</v>
      </c>
      <c r="I251">
        <v>3.3</v>
      </c>
      <c r="J251">
        <v>104</v>
      </c>
      <c r="L251">
        <v>1</v>
      </c>
    </row>
    <row r="252" spans="1:12" x14ac:dyDescent="0.35">
      <c r="A252" s="1">
        <v>44228</v>
      </c>
      <c r="B252" t="s">
        <v>10</v>
      </c>
      <c r="C252" t="s">
        <v>14</v>
      </c>
      <c r="D252">
        <f>AVERAGE(562,510,510,500)</f>
        <v>520.5</v>
      </c>
      <c r="E252">
        <v>1</v>
      </c>
      <c r="F252">
        <v>32.362644000000003</v>
      </c>
      <c r="G252">
        <v>17.399999999999999</v>
      </c>
      <c r="H252">
        <v>194.06649999999999</v>
      </c>
      <c r="I252">
        <v>3.3</v>
      </c>
      <c r="J252">
        <v>104</v>
      </c>
      <c r="L252">
        <v>1</v>
      </c>
    </row>
    <row r="253" spans="1:12" x14ac:dyDescent="0.35">
      <c r="A253" s="1">
        <v>44228</v>
      </c>
      <c r="B253" t="s">
        <v>10</v>
      </c>
      <c r="C253" t="s">
        <v>15</v>
      </c>
      <c r="D253">
        <f>AVERAGE(500,487,515,525)</f>
        <v>506.75</v>
      </c>
      <c r="E253">
        <v>1</v>
      </c>
      <c r="F253">
        <v>30.448</v>
      </c>
      <c r="G253">
        <v>62.5</v>
      </c>
      <c r="H253">
        <v>194.06649999999999</v>
      </c>
      <c r="I253">
        <v>3.3</v>
      </c>
      <c r="J253">
        <v>104</v>
      </c>
      <c r="L253">
        <v>1</v>
      </c>
    </row>
    <row r="254" spans="1:12" x14ac:dyDescent="0.35">
      <c r="A254" s="1">
        <v>44228</v>
      </c>
      <c r="B254" t="s">
        <v>10</v>
      </c>
      <c r="C254" t="s">
        <v>16</v>
      </c>
      <c r="D254">
        <f>AVERAGE(548,550,556,544)</f>
        <v>549.5</v>
      </c>
      <c r="E254">
        <v>1</v>
      </c>
      <c r="F254">
        <v>25.121286000000001</v>
      </c>
      <c r="G254">
        <v>121.299995</v>
      </c>
      <c r="H254">
        <v>194.06649999999999</v>
      </c>
      <c r="I254">
        <v>3.3</v>
      </c>
      <c r="J254">
        <v>104</v>
      </c>
      <c r="L254">
        <v>1</v>
      </c>
    </row>
    <row r="255" spans="1:12" x14ac:dyDescent="0.35">
      <c r="A255" s="1">
        <v>44228</v>
      </c>
      <c r="B255" t="s">
        <v>10</v>
      </c>
      <c r="C255" t="s">
        <v>17</v>
      </c>
      <c r="D255">
        <f>AVERAGE(487,487,493,507)</f>
        <v>493.5</v>
      </c>
      <c r="E255">
        <v>1</v>
      </c>
      <c r="F255">
        <v>31.420283999999999</v>
      </c>
      <c r="G255">
        <v>11.1</v>
      </c>
      <c r="H255">
        <v>194.06649999999999</v>
      </c>
      <c r="I255">
        <v>3.3</v>
      </c>
      <c r="J255">
        <v>104</v>
      </c>
      <c r="L255">
        <v>1</v>
      </c>
    </row>
    <row r="256" spans="1:12" x14ac:dyDescent="0.35">
      <c r="A256" s="1">
        <v>44228</v>
      </c>
      <c r="B256" t="s">
        <v>10</v>
      </c>
      <c r="C256" t="s">
        <v>18</v>
      </c>
      <c r="D256">
        <f>AVERAGE(475,475,469,475)</f>
        <v>473.5</v>
      </c>
      <c r="E256">
        <v>1</v>
      </c>
      <c r="F256">
        <v>30.48293</v>
      </c>
      <c r="G256">
        <v>20.5</v>
      </c>
      <c r="H256">
        <v>194.06649999999999</v>
      </c>
      <c r="I256">
        <v>3.3</v>
      </c>
      <c r="J256">
        <v>104</v>
      </c>
      <c r="L256">
        <v>1</v>
      </c>
    </row>
    <row r="257" spans="1:12" x14ac:dyDescent="0.35">
      <c r="A257" s="1">
        <v>44228</v>
      </c>
      <c r="B257" t="s">
        <v>10</v>
      </c>
      <c r="C257" t="s">
        <v>19</v>
      </c>
      <c r="D257">
        <f>AVERAGE(515,500,500,496)</f>
        <v>502.75</v>
      </c>
      <c r="E257">
        <v>1</v>
      </c>
      <c r="F257">
        <v>32.124287000000002</v>
      </c>
      <c r="G257">
        <v>15.3</v>
      </c>
      <c r="H257">
        <v>194.06649999999999</v>
      </c>
      <c r="I257">
        <v>3.3</v>
      </c>
      <c r="J257">
        <v>104</v>
      </c>
      <c r="L257">
        <v>1</v>
      </c>
    </row>
    <row r="258" spans="1:12" x14ac:dyDescent="0.35">
      <c r="A258" s="1">
        <v>44228</v>
      </c>
      <c r="B258" t="s">
        <v>10</v>
      </c>
      <c r="C258" t="s">
        <v>20</v>
      </c>
      <c r="D258">
        <f>AVERAGE(477,480,476,476)</f>
        <v>477.25</v>
      </c>
      <c r="E258">
        <v>1</v>
      </c>
      <c r="F258">
        <v>30.521214000000001</v>
      </c>
      <c r="G258">
        <v>32.799999999999997</v>
      </c>
      <c r="H258">
        <v>194.06649999999999</v>
      </c>
      <c r="I258">
        <v>3.3</v>
      </c>
      <c r="J258">
        <v>104</v>
      </c>
      <c r="L258">
        <v>1</v>
      </c>
    </row>
    <row r="259" spans="1:12" x14ac:dyDescent="0.35">
      <c r="A259" s="1">
        <v>44228</v>
      </c>
      <c r="B259" t="s">
        <v>10</v>
      </c>
      <c r="C259" t="s">
        <v>21</v>
      </c>
      <c r="D259">
        <f>AVERAGE(510,500,490,500)</f>
        <v>500</v>
      </c>
      <c r="E259">
        <v>1</v>
      </c>
      <c r="F259">
        <v>29.051428000000001</v>
      </c>
      <c r="G259">
        <v>83.799994999999996</v>
      </c>
      <c r="H259">
        <v>194.06649999999999</v>
      </c>
      <c r="I259">
        <v>3.3</v>
      </c>
      <c r="J259">
        <v>104</v>
      </c>
      <c r="L259">
        <v>1</v>
      </c>
    </row>
    <row r="260" spans="1:12" x14ac:dyDescent="0.35">
      <c r="A260" s="1">
        <v>44228</v>
      </c>
      <c r="B260" t="s">
        <v>10</v>
      </c>
      <c r="C260" t="s">
        <v>22</v>
      </c>
      <c r="D260">
        <f>AVERAGE(510,500,520,510)</f>
        <v>510</v>
      </c>
      <c r="E260">
        <v>1</v>
      </c>
      <c r="F260">
        <v>28.234213</v>
      </c>
      <c r="G260">
        <v>28</v>
      </c>
      <c r="H260">
        <v>194.06649999999999</v>
      </c>
      <c r="I260">
        <v>3.3</v>
      </c>
      <c r="J260">
        <v>104</v>
      </c>
      <c r="L260">
        <v>1</v>
      </c>
    </row>
    <row r="261" spans="1:12" x14ac:dyDescent="0.35">
      <c r="A261" s="1">
        <v>44228</v>
      </c>
      <c r="B261" t="s">
        <v>10</v>
      </c>
      <c r="C261" t="s">
        <v>23</v>
      </c>
      <c r="D261">
        <f>AVERAGE(500,500,510,517)</f>
        <v>506.75</v>
      </c>
      <c r="E261">
        <v>1</v>
      </c>
      <c r="F261">
        <v>30.954360000000001</v>
      </c>
      <c r="G261">
        <v>22.5</v>
      </c>
      <c r="H261">
        <v>194.06649999999999</v>
      </c>
      <c r="I261">
        <v>3.3</v>
      </c>
      <c r="J261">
        <v>104</v>
      </c>
      <c r="L261">
        <v>1</v>
      </c>
    </row>
    <row r="262" spans="1:12" x14ac:dyDescent="0.35">
      <c r="A262" s="1">
        <v>44228</v>
      </c>
      <c r="B262" t="s">
        <v>10</v>
      </c>
      <c r="C262" t="s">
        <v>24</v>
      </c>
      <c r="D262">
        <f>AVERAGE(535,528,545,550)</f>
        <v>539.5</v>
      </c>
      <c r="E262">
        <v>1</v>
      </c>
      <c r="F262">
        <v>29.380998999999999</v>
      </c>
      <c r="G262">
        <v>52</v>
      </c>
      <c r="H262">
        <v>194.06649999999999</v>
      </c>
      <c r="I262">
        <v>3.3</v>
      </c>
      <c r="J262">
        <v>104</v>
      </c>
      <c r="L262">
        <v>1</v>
      </c>
    </row>
    <row r="263" spans="1:12" x14ac:dyDescent="0.35">
      <c r="A263" s="1">
        <v>44228</v>
      </c>
      <c r="B263" t="s">
        <v>25</v>
      </c>
      <c r="C263" t="s">
        <v>11</v>
      </c>
      <c r="D263">
        <f>AVERAGE(820,785,804,800)</f>
        <v>802.25</v>
      </c>
      <c r="E263">
        <v>1</v>
      </c>
      <c r="F263">
        <v>28.632643000000002</v>
      </c>
      <c r="G263">
        <v>15.2</v>
      </c>
      <c r="H263">
        <v>194.06649999999999</v>
      </c>
      <c r="I263">
        <v>3.3</v>
      </c>
      <c r="J263">
        <v>104</v>
      </c>
      <c r="L263">
        <v>1</v>
      </c>
    </row>
    <row r="264" spans="1:12" x14ac:dyDescent="0.35">
      <c r="A264" s="1">
        <v>44228</v>
      </c>
      <c r="B264" t="s">
        <v>25</v>
      </c>
      <c r="C264" t="s">
        <v>12</v>
      </c>
      <c r="D264">
        <f>AVERAGE(850,829,802,800)</f>
        <v>820.25</v>
      </c>
      <c r="E264">
        <v>1</v>
      </c>
      <c r="F264">
        <v>29.557072000000002</v>
      </c>
      <c r="G264">
        <v>17.600000000000001</v>
      </c>
      <c r="H264">
        <v>194.06649999999999</v>
      </c>
      <c r="I264">
        <v>3.3</v>
      </c>
      <c r="J264">
        <v>104</v>
      </c>
      <c r="L264">
        <v>1</v>
      </c>
    </row>
    <row r="265" spans="1:12" x14ac:dyDescent="0.35">
      <c r="A265" s="1">
        <v>44228</v>
      </c>
      <c r="B265" t="s">
        <v>25</v>
      </c>
      <c r="C265" t="s">
        <v>14</v>
      </c>
      <c r="D265">
        <f>AVERAGE(750,800,725,825)</f>
        <v>775</v>
      </c>
      <c r="E265">
        <v>1</v>
      </c>
      <c r="F265">
        <v>32.362644000000003</v>
      </c>
      <c r="G265">
        <v>17.399999999999999</v>
      </c>
      <c r="H265">
        <v>194.06649999999999</v>
      </c>
      <c r="I265">
        <v>3.3</v>
      </c>
      <c r="J265">
        <v>104</v>
      </c>
      <c r="L265">
        <v>1</v>
      </c>
    </row>
    <row r="266" spans="1:12" x14ac:dyDescent="0.35">
      <c r="A266" s="1">
        <v>44228</v>
      </c>
      <c r="B266" t="s">
        <v>25</v>
      </c>
      <c r="C266" t="s">
        <v>16</v>
      </c>
      <c r="D266">
        <f>AVERAGE(795,791,770,768)</f>
        <v>781</v>
      </c>
      <c r="E266">
        <v>1</v>
      </c>
      <c r="F266">
        <v>25.121286000000001</v>
      </c>
      <c r="G266">
        <v>121.299995</v>
      </c>
      <c r="H266">
        <v>194.06649999999999</v>
      </c>
      <c r="I266">
        <v>3.3</v>
      </c>
      <c r="J266">
        <v>104</v>
      </c>
      <c r="L266">
        <v>1</v>
      </c>
    </row>
    <row r="267" spans="1:12" x14ac:dyDescent="0.35">
      <c r="A267" s="1">
        <v>44228</v>
      </c>
      <c r="B267" t="s">
        <v>25</v>
      </c>
      <c r="C267" t="s">
        <v>24</v>
      </c>
      <c r="D267">
        <f>AVERAGE(775,788,795,773)</f>
        <v>782.75</v>
      </c>
      <c r="E267">
        <v>1</v>
      </c>
      <c r="F267">
        <v>29.380998999999999</v>
      </c>
      <c r="G267">
        <v>52</v>
      </c>
      <c r="H267">
        <v>194.06649999999999</v>
      </c>
      <c r="I267">
        <v>3.3</v>
      </c>
      <c r="J267">
        <v>104</v>
      </c>
      <c r="L267">
        <v>1</v>
      </c>
    </row>
    <row r="268" spans="1:12" x14ac:dyDescent="0.35">
      <c r="A268" s="1">
        <v>44256</v>
      </c>
      <c r="B268" t="s">
        <v>10</v>
      </c>
      <c r="C268" t="s">
        <v>11</v>
      </c>
      <c r="D268">
        <f>AVERAGE(673,686,617,594,544)</f>
        <v>622.79999999999995</v>
      </c>
      <c r="E268">
        <v>1</v>
      </c>
      <c r="F268">
        <v>29.661386</v>
      </c>
      <c r="G268">
        <v>87.8</v>
      </c>
      <c r="H268">
        <v>196.98249999999999</v>
      </c>
      <c r="I268">
        <v>4.0999999999999996</v>
      </c>
      <c r="J268">
        <v>104</v>
      </c>
      <c r="L268">
        <v>1</v>
      </c>
    </row>
    <row r="269" spans="1:12" x14ac:dyDescent="0.35">
      <c r="A269" s="1">
        <v>44256</v>
      </c>
      <c r="B269" t="s">
        <v>10</v>
      </c>
      <c r="C269" t="s">
        <v>12</v>
      </c>
      <c r="D269">
        <f>AVERAGE(560,600,644,700,669)</f>
        <v>634.6</v>
      </c>
      <c r="E269">
        <v>1</v>
      </c>
      <c r="F269">
        <v>31.461162999999999</v>
      </c>
      <c r="G269">
        <v>80.5</v>
      </c>
      <c r="H269">
        <v>196.98249999999999</v>
      </c>
      <c r="I269">
        <v>4.0999999999999996</v>
      </c>
      <c r="J269">
        <v>104</v>
      </c>
      <c r="L269">
        <v>1</v>
      </c>
    </row>
    <row r="270" spans="1:12" x14ac:dyDescent="0.35">
      <c r="A270" s="1">
        <v>44256</v>
      </c>
      <c r="B270" t="s">
        <v>10</v>
      </c>
      <c r="C270" t="s">
        <v>13</v>
      </c>
      <c r="D270">
        <f>AVERAGE(632,653,575,567,537)</f>
        <v>592.79999999999995</v>
      </c>
      <c r="E270">
        <v>1</v>
      </c>
      <c r="F270">
        <v>20.323499999999999</v>
      </c>
      <c r="G270">
        <v>92.4</v>
      </c>
      <c r="H270">
        <v>196.98249999999999</v>
      </c>
      <c r="I270">
        <v>4.0999999999999996</v>
      </c>
      <c r="J270">
        <v>104</v>
      </c>
      <c r="L270">
        <v>1</v>
      </c>
    </row>
    <row r="271" spans="1:12" x14ac:dyDescent="0.35">
      <c r="A271" s="1">
        <v>44256</v>
      </c>
      <c r="B271" t="s">
        <v>10</v>
      </c>
      <c r="C271" t="s">
        <v>14</v>
      </c>
      <c r="D271">
        <f>AVERAGE(533,600,620,706,660)</f>
        <v>623.79999999999995</v>
      </c>
      <c r="E271">
        <v>1</v>
      </c>
      <c r="F271">
        <v>32.678485999999999</v>
      </c>
      <c r="G271">
        <v>176.6</v>
      </c>
      <c r="H271">
        <v>196.98249999999999</v>
      </c>
      <c r="I271">
        <v>4.0999999999999996</v>
      </c>
      <c r="J271">
        <v>104</v>
      </c>
      <c r="L271">
        <v>1</v>
      </c>
    </row>
    <row r="272" spans="1:12" x14ac:dyDescent="0.35">
      <c r="A272" s="1">
        <v>44256</v>
      </c>
      <c r="B272" t="s">
        <v>10</v>
      </c>
      <c r="C272" t="s">
        <v>15</v>
      </c>
      <c r="D272">
        <f>AVERAGE(655,680,630,570,545)</f>
        <v>616</v>
      </c>
      <c r="E272">
        <v>1</v>
      </c>
      <c r="F272">
        <v>30.129452000000001</v>
      </c>
      <c r="G272">
        <v>267.10000000000002</v>
      </c>
      <c r="H272">
        <v>196.98249999999999</v>
      </c>
      <c r="I272">
        <v>4.0999999999999996</v>
      </c>
      <c r="J272">
        <v>104</v>
      </c>
      <c r="L272">
        <v>1</v>
      </c>
    </row>
    <row r="273" spans="1:12" x14ac:dyDescent="0.35">
      <c r="A273" s="1">
        <v>44256</v>
      </c>
      <c r="B273" t="s">
        <v>10</v>
      </c>
      <c r="C273" t="s">
        <v>16</v>
      </c>
      <c r="D273">
        <f>AVERAGE(550,588,602,702,701)</f>
        <v>628.6</v>
      </c>
      <c r="E273">
        <v>1</v>
      </c>
      <c r="F273">
        <v>26.466677000000001</v>
      </c>
      <c r="G273">
        <v>169.50002000000001</v>
      </c>
      <c r="H273">
        <v>196.98249999999999</v>
      </c>
      <c r="I273">
        <v>4.0999999999999996</v>
      </c>
      <c r="J273">
        <v>104</v>
      </c>
      <c r="L273">
        <v>1</v>
      </c>
    </row>
    <row r="274" spans="1:12" x14ac:dyDescent="0.35">
      <c r="A274" s="1">
        <v>44256</v>
      </c>
      <c r="B274" t="s">
        <v>10</v>
      </c>
      <c r="C274" t="s">
        <v>17</v>
      </c>
      <c r="D274">
        <f>AVERAGE(667,640,623,600,533)</f>
        <v>612.6</v>
      </c>
      <c r="E274">
        <v>1</v>
      </c>
      <c r="F274">
        <v>33.291485000000002</v>
      </c>
      <c r="G274">
        <v>87.5</v>
      </c>
      <c r="H274">
        <v>196.98249999999999</v>
      </c>
      <c r="I274">
        <v>4.0999999999999996</v>
      </c>
      <c r="J274">
        <v>104</v>
      </c>
      <c r="L274">
        <v>1</v>
      </c>
    </row>
    <row r="275" spans="1:12" x14ac:dyDescent="0.35">
      <c r="A275" s="1">
        <v>44256</v>
      </c>
      <c r="B275" t="s">
        <v>10</v>
      </c>
      <c r="C275" t="s">
        <v>18</v>
      </c>
      <c r="D275">
        <f>AVERAGE(513,525,575,638)</f>
        <v>562.75</v>
      </c>
      <c r="E275">
        <v>1</v>
      </c>
      <c r="F275">
        <v>30.01755</v>
      </c>
      <c r="G275">
        <v>202.2</v>
      </c>
      <c r="H275">
        <v>196.98249999999999</v>
      </c>
      <c r="I275">
        <v>4.0999999999999996</v>
      </c>
      <c r="J275">
        <v>104</v>
      </c>
      <c r="L275">
        <v>1</v>
      </c>
    </row>
    <row r="276" spans="1:12" x14ac:dyDescent="0.35">
      <c r="A276" s="1">
        <v>44256</v>
      </c>
      <c r="B276" t="s">
        <v>10</v>
      </c>
      <c r="C276" t="s">
        <v>19</v>
      </c>
      <c r="D276">
        <f>AVERAGE(650,660,600,680,556)</f>
        <v>629.20000000000005</v>
      </c>
      <c r="E276">
        <v>1</v>
      </c>
      <c r="F276">
        <v>31.686613000000001</v>
      </c>
      <c r="G276">
        <v>225.90001000000001</v>
      </c>
      <c r="H276">
        <v>196.98249999999999</v>
      </c>
      <c r="I276">
        <v>4.0999999999999996</v>
      </c>
      <c r="J276">
        <v>104</v>
      </c>
      <c r="L276">
        <v>1</v>
      </c>
    </row>
    <row r="277" spans="1:12" x14ac:dyDescent="0.35">
      <c r="A277" s="1">
        <v>44256</v>
      </c>
      <c r="B277" t="s">
        <v>10</v>
      </c>
      <c r="C277" t="s">
        <v>20</v>
      </c>
      <c r="D277">
        <f>AVERAGE(475,500,500,623,650)</f>
        <v>549.6</v>
      </c>
      <c r="E277">
        <v>1</v>
      </c>
      <c r="F277">
        <v>30.115742000000001</v>
      </c>
      <c r="G277">
        <v>224.5</v>
      </c>
      <c r="H277">
        <v>196.98249999999999</v>
      </c>
      <c r="I277">
        <v>4.0999999999999996</v>
      </c>
      <c r="J277">
        <v>104</v>
      </c>
      <c r="L277">
        <v>1</v>
      </c>
    </row>
    <row r="278" spans="1:12" x14ac:dyDescent="0.35">
      <c r="A278" s="1">
        <v>44256</v>
      </c>
      <c r="B278" t="s">
        <v>10</v>
      </c>
      <c r="C278" t="s">
        <v>21</v>
      </c>
      <c r="D278">
        <f>AVERAGE(620,650,620,580,510)</f>
        <v>596</v>
      </c>
      <c r="E278">
        <v>1</v>
      </c>
      <c r="F278">
        <v>30.089676000000001</v>
      </c>
      <c r="G278">
        <v>170.6</v>
      </c>
      <c r="H278">
        <v>196.98249999999999</v>
      </c>
      <c r="I278">
        <v>4.0999999999999996</v>
      </c>
      <c r="J278">
        <v>104</v>
      </c>
      <c r="L278">
        <v>1</v>
      </c>
    </row>
    <row r="279" spans="1:12" x14ac:dyDescent="0.35">
      <c r="A279" s="1">
        <v>44256</v>
      </c>
      <c r="B279" t="s">
        <v>10</v>
      </c>
      <c r="C279" t="s">
        <v>22</v>
      </c>
      <c r="D279">
        <f>AVERAGE(540,600,620,660,660)</f>
        <v>616</v>
      </c>
      <c r="E279">
        <v>1</v>
      </c>
      <c r="F279">
        <v>28.675518</v>
      </c>
      <c r="G279">
        <v>94.4</v>
      </c>
      <c r="H279">
        <v>196.98249999999999</v>
      </c>
      <c r="I279">
        <v>4.0999999999999996</v>
      </c>
      <c r="J279">
        <v>104</v>
      </c>
      <c r="L279">
        <v>1</v>
      </c>
    </row>
    <row r="280" spans="1:12" x14ac:dyDescent="0.35">
      <c r="A280" s="1">
        <v>44256</v>
      </c>
      <c r="B280" t="s">
        <v>10</v>
      </c>
      <c r="C280" t="s">
        <v>23</v>
      </c>
      <c r="D280">
        <f>AVERAGE(630,635,625,550,550)</f>
        <v>598</v>
      </c>
      <c r="E280">
        <v>1</v>
      </c>
      <c r="F280">
        <v>30.82884</v>
      </c>
      <c r="G280">
        <v>116.3</v>
      </c>
      <c r="H280">
        <v>196.98249999999999</v>
      </c>
      <c r="I280">
        <v>4.0999999999999996</v>
      </c>
      <c r="J280">
        <v>104</v>
      </c>
      <c r="L280">
        <v>1</v>
      </c>
    </row>
    <row r="281" spans="1:12" x14ac:dyDescent="0.35">
      <c r="A281" s="1">
        <v>44256</v>
      </c>
      <c r="B281" t="s">
        <v>10</v>
      </c>
      <c r="C281" t="s">
        <v>24</v>
      </c>
      <c r="D281">
        <f>AVERAGE(555,588,647,705,687)</f>
        <v>636.4</v>
      </c>
      <c r="E281">
        <v>1</v>
      </c>
      <c r="F281">
        <v>30.180192999999999</v>
      </c>
      <c r="G281">
        <v>140.5</v>
      </c>
      <c r="H281">
        <v>196.98249999999999</v>
      </c>
      <c r="I281">
        <v>4.0999999999999996</v>
      </c>
      <c r="J281">
        <v>104</v>
      </c>
      <c r="L281">
        <v>1</v>
      </c>
    </row>
    <row r="282" spans="1:12" x14ac:dyDescent="0.35">
      <c r="A282" s="1">
        <v>44256</v>
      </c>
      <c r="B282" t="s">
        <v>25</v>
      </c>
      <c r="C282" t="s">
        <v>11</v>
      </c>
      <c r="D282">
        <f>AVERAGE(781,825,883,916,894)</f>
        <v>859.8</v>
      </c>
      <c r="E282">
        <v>1</v>
      </c>
      <c r="F282">
        <v>29.661386</v>
      </c>
      <c r="G282">
        <v>87.8</v>
      </c>
      <c r="H282">
        <v>196.98249999999999</v>
      </c>
      <c r="I282">
        <v>4.0999999999999996</v>
      </c>
      <c r="J282">
        <v>104</v>
      </c>
      <c r="L282">
        <v>1</v>
      </c>
    </row>
    <row r="283" spans="1:12" x14ac:dyDescent="0.35">
      <c r="A283" s="1">
        <v>44256</v>
      </c>
      <c r="B283" t="s">
        <v>25</v>
      </c>
      <c r="C283" t="s">
        <v>12</v>
      </c>
      <c r="D283">
        <f>AVERAGE(929,1017,904,866,825)</f>
        <v>908.2</v>
      </c>
      <c r="E283">
        <v>1</v>
      </c>
      <c r="F283">
        <v>31.461162999999999</v>
      </c>
      <c r="G283">
        <v>80.5</v>
      </c>
      <c r="H283">
        <v>196.98249999999999</v>
      </c>
      <c r="I283">
        <v>4.0999999999999996</v>
      </c>
      <c r="J283">
        <v>104</v>
      </c>
      <c r="L283">
        <v>1</v>
      </c>
    </row>
    <row r="284" spans="1:12" x14ac:dyDescent="0.35">
      <c r="A284" s="1">
        <v>44256</v>
      </c>
      <c r="B284" t="s">
        <v>25</v>
      </c>
      <c r="C284" t="s">
        <v>14</v>
      </c>
      <c r="D284">
        <f>AVERAGE(760,800,750,850,900)</f>
        <v>812</v>
      </c>
      <c r="E284">
        <v>1</v>
      </c>
      <c r="F284">
        <v>32.678485999999999</v>
      </c>
      <c r="G284">
        <v>176.6</v>
      </c>
      <c r="H284">
        <v>196.98249999999999</v>
      </c>
      <c r="I284">
        <v>4.0999999999999996</v>
      </c>
      <c r="J284">
        <v>104</v>
      </c>
      <c r="L284">
        <v>1</v>
      </c>
    </row>
    <row r="285" spans="1:12" x14ac:dyDescent="0.35">
      <c r="A285" s="1">
        <v>44256</v>
      </c>
      <c r="B285" t="s">
        <v>25</v>
      </c>
      <c r="C285" t="s">
        <v>16</v>
      </c>
      <c r="D285">
        <f>AVERAGE(850,838,775,788,783)</f>
        <v>806.8</v>
      </c>
      <c r="E285">
        <v>1</v>
      </c>
      <c r="F285">
        <v>26.466677000000001</v>
      </c>
      <c r="G285">
        <v>169.50002000000001</v>
      </c>
      <c r="H285">
        <v>196.98249999999999</v>
      </c>
      <c r="I285">
        <v>4.0999999999999996</v>
      </c>
      <c r="J285">
        <v>104</v>
      </c>
      <c r="L285">
        <v>1</v>
      </c>
    </row>
    <row r="286" spans="1:12" x14ac:dyDescent="0.35">
      <c r="A286" s="1">
        <v>44256</v>
      </c>
      <c r="B286" t="s">
        <v>25</v>
      </c>
      <c r="C286" t="s">
        <v>24</v>
      </c>
      <c r="D286">
        <f>AVERAGE(875,891,860,812,775)</f>
        <v>842.6</v>
      </c>
      <c r="E286">
        <v>1</v>
      </c>
      <c r="F286">
        <v>30.180192999999999</v>
      </c>
      <c r="G286">
        <v>140.5</v>
      </c>
      <c r="H286">
        <v>196.98249999999999</v>
      </c>
      <c r="I286">
        <v>4.0999999999999996</v>
      </c>
      <c r="J286">
        <v>104</v>
      </c>
      <c r="L286">
        <v>1</v>
      </c>
    </row>
    <row r="287" spans="1:12" x14ac:dyDescent="0.35">
      <c r="A287" s="1">
        <v>44287</v>
      </c>
      <c r="B287" t="s">
        <v>10</v>
      </c>
      <c r="C287" t="s">
        <v>11</v>
      </c>
      <c r="D287">
        <f>AVERAGE(697,708,696)</f>
        <v>700.33333333333337</v>
      </c>
      <c r="E287">
        <v>0</v>
      </c>
      <c r="F287">
        <v>29.809667999999999</v>
      </c>
      <c r="G287">
        <v>227.90001000000001</v>
      </c>
      <c r="H287">
        <v>197.423</v>
      </c>
      <c r="I287">
        <v>3.9</v>
      </c>
      <c r="J287">
        <v>104</v>
      </c>
      <c r="L287">
        <v>1</v>
      </c>
    </row>
    <row r="288" spans="1:12" x14ac:dyDescent="0.35">
      <c r="A288" s="1">
        <v>44287</v>
      </c>
      <c r="B288" t="s">
        <v>10</v>
      </c>
      <c r="C288" t="s">
        <v>12</v>
      </c>
      <c r="D288">
        <f>AVERAGE(685,720,717)</f>
        <v>707.33333333333337</v>
      </c>
      <c r="E288">
        <v>0</v>
      </c>
      <c r="F288">
        <v>30.026001000000001</v>
      </c>
      <c r="G288">
        <v>448.8</v>
      </c>
      <c r="H288">
        <v>197.423</v>
      </c>
      <c r="I288">
        <v>3.9</v>
      </c>
      <c r="J288">
        <v>104</v>
      </c>
      <c r="L288">
        <v>1</v>
      </c>
    </row>
    <row r="289" spans="1:12" x14ac:dyDescent="0.35">
      <c r="A289" s="1">
        <v>44287</v>
      </c>
      <c r="B289" t="s">
        <v>10</v>
      </c>
      <c r="C289" t="s">
        <v>13</v>
      </c>
      <c r="D289">
        <f>AVERAGE(667,667,635)</f>
        <v>656.33333333333337</v>
      </c>
      <c r="E289">
        <v>0</v>
      </c>
      <c r="F289">
        <v>20.685167</v>
      </c>
      <c r="G289">
        <v>260.39999999999998</v>
      </c>
      <c r="H289">
        <v>197.423</v>
      </c>
      <c r="I289">
        <v>3.9</v>
      </c>
      <c r="J289">
        <v>104</v>
      </c>
      <c r="L289">
        <v>1</v>
      </c>
    </row>
    <row r="290" spans="1:12" x14ac:dyDescent="0.35">
      <c r="A290" s="1">
        <v>44287</v>
      </c>
      <c r="B290" t="s">
        <v>10</v>
      </c>
      <c r="C290" t="s">
        <v>14</v>
      </c>
      <c r="D290">
        <f>AVERAGE(683)</f>
        <v>683</v>
      </c>
      <c r="E290">
        <v>0</v>
      </c>
      <c r="F290">
        <v>31.059666</v>
      </c>
      <c r="G290">
        <v>192.3</v>
      </c>
      <c r="H290">
        <v>197.423</v>
      </c>
      <c r="I290">
        <v>3.9</v>
      </c>
      <c r="J290">
        <v>104</v>
      </c>
      <c r="L290">
        <v>1</v>
      </c>
    </row>
    <row r="291" spans="1:12" x14ac:dyDescent="0.35">
      <c r="A291" s="1">
        <v>44287</v>
      </c>
      <c r="B291" t="s">
        <v>10</v>
      </c>
      <c r="C291" t="s">
        <v>15</v>
      </c>
      <c r="D291">
        <f>AVERAGE(695,715)</f>
        <v>705</v>
      </c>
      <c r="E291">
        <v>0</v>
      </c>
      <c r="F291">
        <v>30.303000999999998</v>
      </c>
      <c r="G291">
        <v>177.2</v>
      </c>
      <c r="H291">
        <v>197.423</v>
      </c>
      <c r="I291">
        <v>3.9</v>
      </c>
      <c r="J291">
        <v>104</v>
      </c>
      <c r="L291">
        <v>1</v>
      </c>
    </row>
    <row r="292" spans="1:12" x14ac:dyDescent="0.35">
      <c r="A292" s="1">
        <v>44287</v>
      </c>
      <c r="B292" t="s">
        <v>10</v>
      </c>
      <c r="C292" t="s">
        <v>16</v>
      </c>
      <c r="D292">
        <f>AVERAGE(710,710,715)</f>
        <v>711.66666666666663</v>
      </c>
      <c r="E292">
        <v>0</v>
      </c>
      <c r="F292">
        <v>27.782</v>
      </c>
      <c r="G292">
        <v>231.40001000000001</v>
      </c>
      <c r="H292">
        <v>197.423</v>
      </c>
      <c r="I292">
        <v>3.9</v>
      </c>
      <c r="J292">
        <v>104</v>
      </c>
      <c r="L292">
        <v>1</v>
      </c>
    </row>
    <row r="293" spans="1:12" x14ac:dyDescent="0.35">
      <c r="A293" s="1">
        <v>44287</v>
      </c>
      <c r="B293" t="s">
        <v>10</v>
      </c>
      <c r="C293" t="s">
        <v>17</v>
      </c>
      <c r="D293">
        <f>AVERAGE(680,683,667)</f>
        <v>676.66666666666663</v>
      </c>
      <c r="E293">
        <v>0</v>
      </c>
      <c r="F293">
        <v>31.967665</v>
      </c>
      <c r="G293">
        <v>300.5</v>
      </c>
      <c r="H293">
        <v>197.423</v>
      </c>
      <c r="I293">
        <v>3.9</v>
      </c>
      <c r="J293">
        <v>104</v>
      </c>
      <c r="L293">
        <v>1</v>
      </c>
    </row>
    <row r="294" spans="1:12" x14ac:dyDescent="0.35">
      <c r="A294" s="1">
        <v>44287</v>
      </c>
      <c r="B294" t="s">
        <v>10</v>
      </c>
      <c r="C294" t="s">
        <v>18</v>
      </c>
      <c r="D294">
        <f>AVERAGE(613,638,688)</f>
        <v>646.33333333333337</v>
      </c>
      <c r="E294">
        <v>0</v>
      </c>
      <c r="F294">
        <v>30.049002000000002</v>
      </c>
      <c r="G294">
        <v>105</v>
      </c>
      <c r="H294">
        <v>197.423</v>
      </c>
      <c r="I294">
        <v>3.9</v>
      </c>
      <c r="J294">
        <v>104</v>
      </c>
      <c r="L294">
        <v>1</v>
      </c>
    </row>
    <row r="295" spans="1:12" x14ac:dyDescent="0.35">
      <c r="A295" s="1">
        <v>44287</v>
      </c>
      <c r="B295" t="s">
        <v>10</v>
      </c>
      <c r="C295" t="s">
        <v>19</v>
      </c>
      <c r="D295">
        <f>AVERAGE(668,681,670)</f>
        <v>673</v>
      </c>
      <c r="E295">
        <v>0</v>
      </c>
      <c r="F295">
        <v>31.024999999999999</v>
      </c>
      <c r="G295">
        <v>93.299994999999996</v>
      </c>
      <c r="H295">
        <v>197.423</v>
      </c>
      <c r="I295">
        <v>3.9</v>
      </c>
      <c r="J295">
        <v>104</v>
      </c>
      <c r="L295">
        <v>1</v>
      </c>
    </row>
    <row r="296" spans="1:12" x14ac:dyDescent="0.35">
      <c r="A296" s="1">
        <v>44287</v>
      </c>
      <c r="B296" t="s">
        <v>10</v>
      </c>
      <c r="C296" t="s">
        <v>20</v>
      </c>
      <c r="D296">
        <f>AVERAGE(665,660,650)</f>
        <v>658.33333333333337</v>
      </c>
      <c r="E296">
        <v>0</v>
      </c>
      <c r="F296">
        <v>29.972999999999999</v>
      </c>
      <c r="G296">
        <v>97.9</v>
      </c>
      <c r="H296">
        <v>197.423</v>
      </c>
      <c r="I296">
        <v>3.9</v>
      </c>
      <c r="J296">
        <v>104</v>
      </c>
      <c r="L296">
        <v>1</v>
      </c>
    </row>
    <row r="297" spans="1:12" x14ac:dyDescent="0.35">
      <c r="A297" s="1">
        <v>44287</v>
      </c>
      <c r="B297" t="s">
        <v>10</v>
      </c>
      <c r="C297" t="s">
        <v>21</v>
      </c>
      <c r="D297">
        <f>AVERAGE(665,660,650)</f>
        <v>658.33333333333337</v>
      </c>
      <c r="E297">
        <v>0</v>
      </c>
      <c r="F297">
        <v>29.638331999999998</v>
      </c>
      <c r="G297">
        <v>78.299994999999996</v>
      </c>
      <c r="H297">
        <v>197.423</v>
      </c>
      <c r="I297">
        <v>3.9</v>
      </c>
      <c r="J297">
        <v>104</v>
      </c>
      <c r="L297">
        <v>1</v>
      </c>
    </row>
    <row r="298" spans="1:12" x14ac:dyDescent="0.35">
      <c r="A298" s="1">
        <v>44287</v>
      </c>
      <c r="B298" t="s">
        <v>10</v>
      </c>
      <c r="C298" t="s">
        <v>22</v>
      </c>
      <c r="D298">
        <f>AVERAGE(750,700,680)</f>
        <v>710</v>
      </c>
      <c r="E298">
        <v>0</v>
      </c>
      <c r="F298">
        <v>28.849335</v>
      </c>
      <c r="G298">
        <v>96</v>
      </c>
      <c r="H298">
        <v>197.423</v>
      </c>
      <c r="I298">
        <v>3.9</v>
      </c>
      <c r="J298">
        <v>104</v>
      </c>
      <c r="L298">
        <v>1</v>
      </c>
    </row>
    <row r="299" spans="1:12" x14ac:dyDescent="0.35">
      <c r="A299" s="1">
        <v>44287</v>
      </c>
      <c r="B299" t="s">
        <v>10</v>
      </c>
      <c r="C299" t="s">
        <v>23</v>
      </c>
      <c r="D299">
        <f>AVERAGE(670,670,703)</f>
        <v>681</v>
      </c>
      <c r="E299">
        <v>0</v>
      </c>
      <c r="F299">
        <v>31.787333</v>
      </c>
      <c r="G299">
        <v>48</v>
      </c>
      <c r="H299">
        <v>197.423</v>
      </c>
      <c r="I299">
        <v>3.9</v>
      </c>
      <c r="J299">
        <v>104</v>
      </c>
      <c r="L299">
        <v>1</v>
      </c>
    </row>
    <row r="300" spans="1:12" x14ac:dyDescent="0.35">
      <c r="A300" s="1">
        <v>44287</v>
      </c>
      <c r="B300" t="s">
        <v>10</v>
      </c>
      <c r="C300" t="s">
        <v>24</v>
      </c>
      <c r="D300">
        <f>AVERAGE(708,708,728)</f>
        <v>714.66666666666663</v>
      </c>
      <c r="E300">
        <v>0</v>
      </c>
      <c r="F300">
        <v>32.095999999999997</v>
      </c>
      <c r="G300">
        <v>147.6</v>
      </c>
      <c r="H300">
        <v>197.423</v>
      </c>
      <c r="I300">
        <v>3.9</v>
      </c>
      <c r="J300">
        <v>104</v>
      </c>
      <c r="L300">
        <v>1</v>
      </c>
    </row>
    <row r="301" spans="1:12" x14ac:dyDescent="0.35">
      <c r="A301" s="1">
        <v>44287</v>
      </c>
      <c r="B301" t="s">
        <v>25</v>
      </c>
      <c r="C301" t="s">
        <v>11</v>
      </c>
      <c r="D301">
        <f>AVERAGE(950,946,917)</f>
        <v>937.66666666666663</v>
      </c>
      <c r="E301">
        <v>0</v>
      </c>
      <c r="F301">
        <v>29.809667999999999</v>
      </c>
      <c r="G301">
        <v>227.90001000000001</v>
      </c>
      <c r="H301">
        <v>197.423</v>
      </c>
      <c r="I301">
        <v>3.9</v>
      </c>
      <c r="J301">
        <v>104</v>
      </c>
      <c r="L301">
        <v>1</v>
      </c>
    </row>
    <row r="302" spans="1:12" x14ac:dyDescent="0.35">
      <c r="A302" s="1">
        <v>44287</v>
      </c>
      <c r="B302" t="s">
        <v>25</v>
      </c>
      <c r="C302" t="s">
        <v>12</v>
      </c>
      <c r="D302">
        <f>AVERAGE(975,975,1008)</f>
        <v>986</v>
      </c>
      <c r="E302">
        <v>0</v>
      </c>
      <c r="F302">
        <v>30.026001000000001</v>
      </c>
      <c r="G302">
        <v>448.8</v>
      </c>
      <c r="H302">
        <v>197.423</v>
      </c>
      <c r="I302">
        <v>3.9</v>
      </c>
      <c r="J302">
        <v>104</v>
      </c>
      <c r="L302">
        <v>1</v>
      </c>
    </row>
    <row r="303" spans="1:12" x14ac:dyDescent="0.35">
      <c r="A303" s="1">
        <v>44287</v>
      </c>
      <c r="B303" t="s">
        <v>25</v>
      </c>
      <c r="C303" t="s">
        <v>14</v>
      </c>
      <c r="D303">
        <f>AVERAGE(833,825,866)</f>
        <v>841.33333333333337</v>
      </c>
      <c r="E303">
        <v>0</v>
      </c>
      <c r="F303">
        <v>31.059666</v>
      </c>
      <c r="G303">
        <v>192.3</v>
      </c>
      <c r="H303">
        <v>197.423</v>
      </c>
      <c r="I303">
        <v>3.9</v>
      </c>
      <c r="J303">
        <v>104</v>
      </c>
      <c r="L303">
        <v>1</v>
      </c>
    </row>
    <row r="304" spans="1:12" x14ac:dyDescent="0.35">
      <c r="A304" s="1">
        <v>44287</v>
      </c>
      <c r="B304" t="s">
        <v>25</v>
      </c>
      <c r="C304" t="s">
        <v>16</v>
      </c>
      <c r="D304">
        <f>AVERAGE(875,950,927)</f>
        <v>917.33333333333337</v>
      </c>
      <c r="E304">
        <v>0</v>
      </c>
      <c r="F304">
        <v>27.782</v>
      </c>
      <c r="G304">
        <v>231.40001000000001</v>
      </c>
      <c r="H304">
        <v>197.423</v>
      </c>
      <c r="I304">
        <v>3.9</v>
      </c>
      <c r="J304">
        <v>104</v>
      </c>
      <c r="L304">
        <v>1</v>
      </c>
    </row>
    <row r="305" spans="1:12" x14ac:dyDescent="0.35">
      <c r="A305" s="1">
        <v>44287</v>
      </c>
      <c r="B305" t="s">
        <v>25</v>
      </c>
      <c r="C305" t="s">
        <v>24</v>
      </c>
      <c r="D305">
        <f>AVERAGE(920,924,936)</f>
        <v>926.66666666666663</v>
      </c>
      <c r="E305">
        <v>0</v>
      </c>
      <c r="F305">
        <v>32.095999999999997</v>
      </c>
      <c r="G305">
        <v>147.6</v>
      </c>
      <c r="H305">
        <v>197.423</v>
      </c>
      <c r="I305">
        <v>3.9</v>
      </c>
      <c r="J305">
        <v>104</v>
      </c>
      <c r="L305">
        <v>1</v>
      </c>
    </row>
    <row r="306" spans="1:12" x14ac:dyDescent="0.35">
      <c r="A306" s="1">
        <v>44317</v>
      </c>
      <c r="B306" t="s">
        <v>10</v>
      </c>
      <c r="C306" t="s">
        <v>11</v>
      </c>
      <c r="D306">
        <f>AVERAGE(686)</f>
        <v>686</v>
      </c>
      <c r="E306">
        <v>0</v>
      </c>
      <c r="F306">
        <v>27.716227</v>
      </c>
      <c r="G306">
        <v>299.39999999999998</v>
      </c>
      <c r="H306">
        <v>199.5847</v>
      </c>
      <c r="I306">
        <v>4.5</v>
      </c>
      <c r="J306">
        <v>111</v>
      </c>
      <c r="L306">
        <v>0</v>
      </c>
    </row>
    <row r="307" spans="1:12" x14ac:dyDescent="0.35">
      <c r="A307" s="1">
        <v>44317</v>
      </c>
      <c r="B307" t="s">
        <v>10</v>
      </c>
      <c r="C307" t="s">
        <v>12</v>
      </c>
      <c r="D307" t="s">
        <v>26</v>
      </c>
      <c r="E307">
        <v>0</v>
      </c>
      <c r="F307">
        <v>27.962774</v>
      </c>
      <c r="G307">
        <v>544.9</v>
      </c>
      <c r="H307">
        <v>199.5847</v>
      </c>
      <c r="I307">
        <v>4.5</v>
      </c>
      <c r="J307">
        <v>111</v>
      </c>
      <c r="L307">
        <v>0</v>
      </c>
    </row>
    <row r="308" spans="1:12" x14ac:dyDescent="0.35">
      <c r="A308" s="1">
        <v>44317</v>
      </c>
      <c r="B308" t="s">
        <v>10</v>
      </c>
      <c r="C308" t="s">
        <v>13</v>
      </c>
      <c r="D308">
        <f>AVERAGE(653,645,655)</f>
        <v>651</v>
      </c>
      <c r="E308">
        <v>0</v>
      </c>
      <c r="F308">
        <v>19.481563999999999</v>
      </c>
      <c r="G308">
        <v>527.5</v>
      </c>
      <c r="H308">
        <v>199.5847</v>
      </c>
      <c r="I308">
        <v>4.5</v>
      </c>
      <c r="J308">
        <v>111</v>
      </c>
      <c r="L308">
        <v>0</v>
      </c>
    </row>
    <row r="309" spans="1:12" x14ac:dyDescent="0.35">
      <c r="A309" s="1">
        <v>44317</v>
      </c>
      <c r="B309" t="s">
        <v>10</v>
      </c>
      <c r="C309" t="s">
        <v>14</v>
      </c>
      <c r="D309">
        <f>AVERAGE(700,650,690)</f>
        <v>680</v>
      </c>
      <c r="E309">
        <v>0</v>
      </c>
      <c r="F309">
        <v>29.141386000000001</v>
      </c>
      <c r="G309">
        <v>457.4</v>
      </c>
      <c r="H309">
        <v>199.5847</v>
      </c>
      <c r="I309">
        <v>4.5</v>
      </c>
      <c r="J309">
        <v>111</v>
      </c>
      <c r="L309">
        <v>0</v>
      </c>
    </row>
    <row r="310" spans="1:12" x14ac:dyDescent="0.35">
      <c r="A310" s="1">
        <v>44317</v>
      </c>
      <c r="B310" t="s">
        <v>10</v>
      </c>
      <c r="C310" t="s">
        <v>15</v>
      </c>
      <c r="D310">
        <f>AVERAGE(627,685,687)</f>
        <v>666.33333333333337</v>
      </c>
      <c r="E310">
        <v>0</v>
      </c>
      <c r="F310">
        <v>29.724613000000002</v>
      </c>
      <c r="G310">
        <v>602.79999999999995</v>
      </c>
      <c r="H310">
        <v>199.5847</v>
      </c>
      <c r="I310">
        <v>4.5</v>
      </c>
      <c r="J310">
        <v>111</v>
      </c>
      <c r="L310">
        <v>0</v>
      </c>
    </row>
    <row r="311" spans="1:12" x14ac:dyDescent="0.35">
      <c r="A311" s="1">
        <v>44317</v>
      </c>
      <c r="B311" t="s">
        <v>10</v>
      </c>
      <c r="C311" t="s">
        <v>16</v>
      </c>
      <c r="D311">
        <f>AVERAGE(706,680,677)</f>
        <v>687.66666666666663</v>
      </c>
      <c r="E311">
        <v>0</v>
      </c>
      <c r="F311">
        <v>28.068290000000001</v>
      </c>
      <c r="G311">
        <v>188.9</v>
      </c>
      <c r="H311">
        <v>199.5847</v>
      </c>
      <c r="I311">
        <v>4.5</v>
      </c>
      <c r="J311">
        <v>111</v>
      </c>
      <c r="L311">
        <v>0</v>
      </c>
    </row>
    <row r="312" spans="1:12" x14ac:dyDescent="0.35">
      <c r="A312" s="1">
        <v>44317</v>
      </c>
      <c r="B312" t="s">
        <v>10</v>
      </c>
      <c r="C312" t="s">
        <v>17</v>
      </c>
      <c r="D312">
        <f>AVERAGE(642,667,683)</f>
        <v>664</v>
      </c>
      <c r="E312">
        <v>0</v>
      </c>
      <c r="F312">
        <v>29.726969</v>
      </c>
      <c r="G312">
        <v>469</v>
      </c>
      <c r="H312">
        <v>199.5847</v>
      </c>
      <c r="I312">
        <v>4.5</v>
      </c>
      <c r="J312">
        <v>111</v>
      </c>
      <c r="L312">
        <v>0</v>
      </c>
    </row>
    <row r="313" spans="1:12" x14ac:dyDescent="0.35">
      <c r="A313" s="1">
        <v>44317</v>
      </c>
      <c r="B313" t="s">
        <v>10</v>
      </c>
      <c r="C313" t="s">
        <v>18</v>
      </c>
      <c r="D313">
        <f>AVERAGE(600,640,613)</f>
        <v>617.66666666666663</v>
      </c>
      <c r="E313">
        <v>0</v>
      </c>
      <c r="F313">
        <v>29.403032</v>
      </c>
      <c r="G313">
        <v>423</v>
      </c>
      <c r="H313">
        <v>199.5847</v>
      </c>
      <c r="I313">
        <v>4.5</v>
      </c>
      <c r="J313">
        <v>111</v>
      </c>
      <c r="L313">
        <v>0</v>
      </c>
    </row>
    <row r="314" spans="1:12" x14ac:dyDescent="0.35">
      <c r="A314" s="1">
        <v>44317</v>
      </c>
      <c r="B314" t="s">
        <v>10</v>
      </c>
      <c r="C314" t="s">
        <v>19</v>
      </c>
      <c r="D314">
        <f>AVERAGE(658,675,675)</f>
        <v>669.33333333333337</v>
      </c>
      <c r="E314">
        <v>0</v>
      </c>
      <c r="F314">
        <v>29.946290000000001</v>
      </c>
      <c r="G314">
        <v>445.5</v>
      </c>
      <c r="H314">
        <v>199.5847</v>
      </c>
      <c r="I314">
        <v>4.5</v>
      </c>
      <c r="J314">
        <v>111</v>
      </c>
      <c r="L314">
        <v>0</v>
      </c>
    </row>
    <row r="315" spans="1:12" x14ac:dyDescent="0.35">
      <c r="A315" s="1">
        <v>44317</v>
      </c>
      <c r="B315" t="s">
        <v>10</v>
      </c>
      <c r="C315" t="s">
        <v>20</v>
      </c>
      <c r="D315">
        <f>AVERAGE(665)</f>
        <v>665</v>
      </c>
      <c r="E315">
        <v>0</v>
      </c>
      <c r="F315">
        <v>29.612514000000001</v>
      </c>
      <c r="G315">
        <v>393.5</v>
      </c>
      <c r="H315">
        <v>199.5847</v>
      </c>
      <c r="I315">
        <v>4.5</v>
      </c>
      <c r="J315">
        <v>111</v>
      </c>
      <c r="L315">
        <v>0</v>
      </c>
    </row>
    <row r="316" spans="1:12" x14ac:dyDescent="0.35">
      <c r="A316" s="1">
        <v>44317</v>
      </c>
      <c r="B316" t="s">
        <v>10</v>
      </c>
      <c r="C316" t="s">
        <v>21</v>
      </c>
      <c r="D316">
        <f>AVERAGE(620,625,655)</f>
        <v>633.33333333333337</v>
      </c>
      <c r="E316">
        <v>0</v>
      </c>
      <c r="F316">
        <v>29.426773000000001</v>
      </c>
      <c r="G316">
        <v>326.89999999999998</v>
      </c>
      <c r="H316">
        <v>199.5847</v>
      </c>
      <c r="I316">
        <v>4.5</v>
      </c>
      <c r="J316">
        <v>111</v>
      </c>
      <c r="L316">
        <v>0</v>
      </c>
    </row>
    <row r="317" spans="1:12" x14ac:dyDescent="0.35">
      <c r="A317" s="1">
        <v>44317</v>
      </c>
      <c r="B317" t="s">
        <v>10</v>
      </c>
      <c r="C317" t="s">
        <v>22</v>
      </c>
      <c r="D317">
        <f>AVERAGE(700,670,630)</f>
        <v>666.66666666666663</v>
      </c>
      <c r="E317">
        <v>0</v>
      </c>
      <c r="F317">
        <v>28.752935000000001</v>
      </c>
      <c r="G317">
        <v>223.00002000000001</v>
      </c>
      <c r="H317">
        <v>199.5847</v>
      </c>
      <c r="I317">
        <v>4.5</v>
      </c>
      <c r="J317">
        <v>111</v>
      </c>
      <c r="L317">
        <v>0</v>
      </c>
    </row>
    <row r="318" spans="1:12" x14ac:dyDescent="0.35">
      <c r="A318" s="1">
        <v>44317</v>
      </c>
      <c r="B318" t="s">
        <v>10</v>
      </c>
      <c r="C318" t="s">
        <v>23</v>
      </c>
      <c r="D318">
        <f>AVERAGE(670,670,680)</f>
        <v>673.33333333333337</v>
      </c>
      <c r="E318">
        <v>0</v>
      </c>
      <c r="F318">
        <v>31.661097000000002</v>
      </c>
      <c r="G318">
        <v>89.299994999999996</v>
      </c>
      <c r="H318">
        <v>199.5847</v>
      </c>
      <c r="I318">
        <v>4.5</v>
      </c>
      <c r="J318">
        <v>111</v>
      </c>
      <c r="L318">
        <v>0</v>
      </c>
    </row>
    <row r="319" spans="1:12" x14ac:dyDescent="0.35">
      <c r="A319" s="1">
        <v>44317</v>
      </c>
      <c r="B319" t="s">
        <v>10</v>
      </c>
      <c r="C319" t="s">
        <v>24</v>
      </c>
      <c r="D319">
        <f>AVERAGE(700,710,687)</f>
        <v>699</v>
      </c>
      <c r="E319">
        <v>0</v>
      </c>
      <c r="F319">
        <v>31.676966</v>
      </c>
      <c r="G319">
        <v>179.5</v>
      </c>
      <c r="H319">
        <v>199.5847</v>
      </c>
      <c r="I319">
        <v>4.5</v>
      </c>
      <c r="J319">
        <v>111</v>
      </c>
      <c r="L319">
        <v>0</v>
      </c>
    </row>
    <row r="320" spans="1:12" x14ac:dyDescent="0.35">
      <c r="A320" s="1">
        <v>44317</v>
      </c>
      <c r="B320" t="s">
        <v>25</v>
      </c>
      <c r="C320" t="s">
        <v>11</v>
      </c>
      <c r="D320">
        <f>AVERAGE(975,975,947)</f>
        <v>965.66666666666663</v>
      </c>
      <c r="E320">
        <v>0</v>
      </c>
      <c r="F320">
        <v>27.716227</v>
      </c>
      <c r="G320">
        <v>299.39999999999998</v>
      </c>
      <c r="H320">
        <v>199.5847</v>
      </c>
      <c r="I320">
        <v>4.5</v>
      </c>
      <c r="J320">
        <v>111</v>
      </c>
      <c r="L320">
        <v>0</v>
      </c>
    </row>
    <row r="321" spans="1:12" x14ac:dyDescent="0.35">
      <c r="A321" s="1">
        <v>44317</v>
      </c>
      <c r="B321" t="s">
        <v>25</v>
      </c>
      <c r="C321" t="s">
        <v>12</v>
      </c>
      <c r="D321" t="s">
        <v>26</v>
      </c>
      <c r="E321">
        <v>0</v>
      </c>
      <c r="F321">
        <v>27.962774</v>
      </c>
      <c r="G321">
        <v>544.9</v>
      </c>
      <c r="H321">
        <v>199.5847</v>
      </c>
      <c r="I321">
        <v>4.5</v>
      </c>
      <c r="J321">
        <v>111</v>
      </c>
      <c r="L321">
        <v>0</v>
      </c>
    </row>
    <row r="322" spans="1:12" x14ac:dyDescent="0.35">
      <c r="A322" s="1">
        <v>44317</v>
      </c>
      <c r="B322" t="s">
        <v>25</v>
      </c>
      <c r="C322" t="s">
        <v>14</v>
      </c>
      <c r="D322">
        <f>AVERAGE(800,900)</f>
        <v>850</v>
      </c>
      <c r="E322">
        <v>0</v>
      </c>
      <c r="F322">
        <v>29.141386000000001</v>
      </c>
      <c r="G322">
        <v>457.4</v>
      </c>
      <c r="H322">
        <v>199.5847</v>
      </c>
      <c r="I322">
        <v>4.5</v>
      </c>
      <c r="J322">
        <v>111</v>
      </c>
      <c r="L322">
        <v>0</v>
      </c>
    </row>
    <row r="323" spans="1:12" x14ac:dyDescent="0.35">
      <c r="A323" s="1">
        <v>44317</v>
      </c>
      <c r="B323" t="s">
        <v>25</v>
      </c>
      <c r="C323" t="s">
        <v>16</v>
      </c>
      <c r="D323">
        <f>AVERAGE(975,875,875)</f>
        <v>908.33333333333337</v>
      </c>
      <c r="E323">
        <v>0</v>
      </c>
      <c r="F323">
        <v>28.068290000000001</v>
      </c>
      <c r="G323">
        <v>188.9</v>
      </c>
      <c r="H323">
        <v>199.5847</v>
      </c>
      <c r="I323">
        <v>4.5</v>
      </c>
      <c r="J323">
        <v>111</v>
      </c>
      <c r="L323">
        <v>0</v>
      </c>
    </row>
    <row r="324" spans="1:12" x14ac:dyDescent="0.35">
      <c r="A324" s="1">
        <v>44317</v>
      </c>
      <c r="B324" t="s">
        <v>25</v>
      </c>
      <c r="C324" t="s">
        <v>24</v>
      </c>
      <c r="D324">
        <f>AVERAGE(940,975,965)</f>
        <v>960</v>
      </c>
      <c r="E324">
        <v>0</v>
      </c>
      <c r="F324">
        <v>31.676966</v>
      </c>
      <c r="G324">
        <v>179.5</v>
      </c>
      <c r="H324">
        <v>199.5847</v>
      </c>
      <c r="I324">
        <v>4.5</v>
      </c>
      <c r="J324">
        <v>111</v>
      </c>
      <c r="L324">
        <v>0</v>
      </c>
    </row>
    <row r="325" spans="1:12" x14ac:dyDescent="0.35">
      <c r="A325" s="1">
        <v>44348</v>
      </c>
      <c r="B325" t="s">
        <v>10</v>
      </c>
      <c r="C325" t="s">
        <v>11</v>
      </c>
      <c r="D325">
        <f>AVERAGE(783,786)</f>
        <v>784.5</v>
      </c>
      <c r="E325">
        <v>1</v>
      </c>
      <c r="F325">
        <v>27.011333</v>
      </c>
      <c r="G325">
        <v>140.5</v>
      </c>
      <c r="H325">
        <v>199.81610000000001</v>
      </c>
      <c r="I325">
        <v>5.2</v>
      </c>
      <c r="J325">
        <v>111</v>
      </c>
      <c r="L325">
        <v>0</v>
      </c>
    </row>
    <row r="326" spans="1:12" x14ac:dyDescent="0.35">
      <c r="A326" s="1">
        <v>44348</v>
      </c>
      <c r="B326" t="s">
        <v>10</v>
      </c>
      <c r="C326" t="s">
        <v>12</v>
      </c>
      <c r="D326">
        <f>AVERAGE(791,781)</f>
        <v>786</v>
      </c>
      <c r="E326">
        <v>1</v>
      </c>
      <c r="F326">
        <v>27.291001999999999</v>
      </c>
      <c r="G326">
        <v>176.90001000000001</v>
      </c>
      <c r="H326">
        <v>199.81610000000001</v>
      </c>
      <c r="I326">
        <v>5.2</v>
      </c>
      <c r="J326">
        <v>111</v>
      </c>
      <c r="L326">
        <v>0</v>
      </c>
    </row>
    <row r="327" spans="1:12" x14ac:dyDescent="0.35">
      <c r="A327" s="1">
        <v>44348</v>
      </c>
      <c r="B327" t="s">
        <v>10</v>
      </c>
      <c r="C327" t="s">
        <v>13</v>
      </c>
      <c r="D327">
        <f>AVERAGE(725,735)</f>
        <v>730</v>
      </c>
      <c r="E327">
        <v>1</v>
      </c>
      <c r="F327">
        <v>18.755165000000002</v>
      </c>
      <c r="G327">
        <v>245.79999000000001</v>
      </c>
      <c r="H327">
        <v>199.81610000000001</v>
      </c>
      <c r="I327">
        <v>5.2</v>
      </c>
      <c r="J327">
        <v>111</v>
      </c>
      <c r="L327">
        <v>0</v>
      </c>
    </row>
    <row r="328" spans="1:12" x14ac:dyDescent="0.35">
      <c r="A328" s="1">
        <v>44348</v>
      </c>
      <c r="B328" t="s">
        <v>10</v>
      </c>
      <c r="C328" t="s">
        <v>14</v>
      </c>
      <c r="D328">
        <f>AVERAGE(750,800)</f>
        <v>775</v>
      </c>
      <c r="E328">
        <v>1</v>
      </c>
      <c r="F328">
        <v>28.106332999999999</v>
      </c>
      <c r="G328">
        <v>232.5</v>
      </c>
      <c r="H328">
        <v>199.81610000000001</v>
      </c>
      <c r="I328">
        <v>5.2</v>
      </c>
      <c r="J328">
        <v>111</v>
      </c>
      <c r="L328">
        <v>0</v>
      </c>
    </row>
    <row r="329" spans="1:12" x14ac:dyDescent="0.35">
      <c r="A329" s="1">
        <v>44348</v>
      </c>
      <c r="B329" t="s">
        <v>10</v>
      </c>
      <c r="C329" t="s">
        <v>15</v>
      </c>
      <c r="D329">
        <f>AVERAGE(765,771)</f>
        <v>768</v>
      </c>
      <c r="E329">
        <v>1</v>
      </c>
      <c r="F329">
        <v>28.783000000000001</v>
      </c>
      <c r="G329">
        <v>378.5</v>
      </c>
      <c r="H329">
        <v>199.81610000000001</v>
      </c>
      <c r="I329">
        <v>5.2</v>
      </c>
      <c r="J329">
        <v>111</v>
      </c>
      <c r="L329">
        <v>0</v>
      </c>
    </row>
    <row r="330" spans="1:12" x14ac:dyDescent="0.35">
      <c r="A330" s="1">
        <v>44348</v>
      </c>
      <c r="B330" t="s">
        <v>10</v>
      </c>
      <c r="C330" t="s">
        <v>16</v>
      </c>
      <c r="D330">
        <f>AVERAGE(762,760)</f>
        <v>761</v>
      </c>
      <c r="E330">
        <v>1</v>
      </c>
      <c r="F330">
        <v>28.493666000000001</v>
      </c>
      <c r="G330">
        <v>163</v>
      </c>
      <c r="H330">
        <v>199.81610000000001</v>
      </c>
      <c r="I330">
        <v>5.2</v>
      </c>
      <c r="J330">
        <v>111</v>
      </c>
      <c r="L330">
        <v>0</v>
      </c>
    </row>
    <row r="331" spans="1:12" x14ac:dyDescent="0.35">
      <c r="A331" s="1">
        <v>44348</v>
      </c>
      <c r="B331" t="s">
        <v>10</v>
      </c>
      <c r="C331" t="s">
        <v>17</v>
      </c>
      <c r="D331" t="s">
        <v>26</v>
      </c>
      <c r="E331">
        <v>1</v>
      </c>
      <c r="F331">
        <v>28.882666</v>
      </c>
      <c r="G331">
        <v>169.9</v>
      </c>
      <c r="H331">
        <v>199.81610000000001</v>
      </c>
      <c r="I331">
        <v>5.2</v>
      </c>
      <c r="J331">
        <v>111</v>
      </c>
      <c r="L331">
        <v>0</v>
      </c>
    </row>
    <row r="332" spans="1:12" x14ac:dyDescent="0.35">
      <c r="A332" s="1">
        <v>44348</v>
      </c>
      <c r="B332" t="s">
        <v>10</v>
      </c>
      <c r="C332" t="s">
        <v>18</v>
      </c>
      <c r="D332">
        <f>AVERAGE(675,715)</f>
        <v>695</v>
      </c>
      <c r="E332">
        <v>1</v>
      </c>
      <c r="F332">
        <v>28.617334</v>
      </c>
      <c r="G332">
        <v>263.7</v>
      </c>
      <c r="H332">
        <v>199.81610000000001</v>
      </c>
      <c r="I332">
        <v>5.2</v>
      </c>
      <c r="J332">
        <v>111</v>
      </c>
      <c r="L332">
        <v>0</v>
      </c>
    </row>
    <row r="333" spans="1:12" x14ac:dyDescent="0.35">
      <c r="A333" s="1">
        <v>44348</v>
      </c>
      <c r="B333" t="s">
        <v>10</v>
      </c>
      <c r="C333" t="s">
        <v>19</v>
      </c>
      <c r="D333">
        <f>AVERAGE(750,725)</f>
        <v>737.5</v>
      </c>
      <c r="E333">
        <v>1</v>
      </c>
      <c r="F333">
        <v>29.06</v>
      </c>
      <c r="G333">
        <v>258</v>
      </c>
      <c r="H333">
        <v>199.81610000000001</v>
      </c>
      <c r="I333">
        <v>5.2</v>
      </c>
      <c r="J333">
        <v>111</v>
      </c>
      <c r="L333">
        <v>0</v>
      </c>
    </row>
    <row r="334" spans="1:12" x14ac:dyDescent="0.35">
      <c r="A334" s="1">
        <v>44348</v>
      </c>
      <c r="B334" t="s">
        <v>10</v>
      </c>
      <c r="C334" t="s">
        <v>20</v>
      </c>
      <c r="D334">
        <f>AVERAGE(660,785)</f>
        <v>722.5</v>
      </c>
      <c r="E334">
        <v>1</v>
      </c>
      <c r="F334">
        <v>28.686335</v>
      </c>
      <c r="G334">
        <v>255.7</v>
      </c>
      <c r="H334">
        <v>199.81610000000001</v>
      </c>
      <c r="I334">
        <v>5.2</v>
      </c>
      <c r="J334">
        <v>111</v>
      </c>
      <c r="L334">
        <v>0</v>
      </c>
    </row>
    <row r="335" spans="1:12" x14ac:dyDescent="0.35">
      <c r="A335" s="1">
        <v>44348</v>
      </c>
      <c r="B335" t="s">
        <v>10</v>
      </c>
      <c r="C335" t="s">
        <v>21</v>
      </c>
      <c r="D335">
        <f>AVERAGE(730,740)</f>
        <v>735</v>
      </c>
      <c r="E335">
        <v>1</v>
      </c>
      <c r="F335">
        <v>28.56</v>
      </c>
      <c r="G335">
        <v>256.10000000000002</v>
      </c>
      <c r="H335">
        <v>199.81610000000001</v>
      </c>
      <c r="I335">
        <v>5.2</v>
      </c>
      <c r="J335">
        <v>111</v>
      </c>
      <c r="L335">
        <v>0</v>
      </c>
    </row>
    <row r="336" spans="1:12" x14ac:dyDescent="0.35">
      <c r="A336" s="1">
        <v>44348</v>
      </c>
      <c r="B336" t="s">
        <v>10</v>
      </c>
      <c r="C336" t="s">
        <v>22</v>
      </c>
      <c r="D336">
        <f>AVERAGE(760,750)</f>
        <v>755</v>
      </c>
      <c r="E336">
        <v>1</v>
      </c>
      <c r="F336">
        <v>28.111000000000001</v>
      </c>
      <c r="G336">
        <v>161.40001000000001</v>
      </c>
      <c r="H336">
        <v>199.81610000000001</v>
      </c>
      <c r="I336">
        <v>5.2</v>
      </c>
      <c r="J336">
        <v>111</v>
      </c>
      <c r="L336">
        <v>0</v>
      </c>
    </row>
    <row r="337" spans="1:12" x14ac:dyDescent="0.35">
      <c r="A337" s="1">
        <v>44348</v>
      </c>
      <c r="B337" t="s">
        <v>10</v>
      </c>
      <c r="C337" t="s">
        <v>23</v>
      </c>
      <c r="D337">
        <f>AVERAGE(787)</f>
        <v>787</v>
      </c>
      <c r="E337">
        <v>1</v>
      </c>
      <c r="F337">
        <v>32.110669999999999</v>
      </c>
      <c r="G337">
        <v>35.6</v>
      </c>
      <c r="H337">
        <v>199.81610000000001</v>
      </c>
      <c r="I337">
        <v>5.2</v>
      </c>
      <c r="J337">
        <v>111</v>
      </c>
      <c r="L337">
        <v>0</v>
      </c>
    </row>
    <row r="338" spans="1:12" x14ac:dyDescent="0.35">
      <c r="A338" s="1">
        <v>44348</v>
      </c>
      <c r="B338" t="s">
        <v>10</v>
      </c>
      <c r="C338" t="s">
        <v>24</v>
      </c>
      <c r="D338">
        <f>AVERAGE(786,780)</f>
        <v>783</v>
      </c>
      <c r="E338">
        <v>1</v>
      </c>
      <c r="F338">
        <v>34.499332000000003</v>
      </c>
      <c r="G338">
        <v>45.6</v>
      </c>
      <c r="H338">
        <v>199.81610000000001</v>
      </c>
      <c r="I338">
        <v>5.2</v>
      </c>
      <c r="J338">
        <v>111</v>
      </c>
      <c r="L338">
        <v>0</v>
      </c>
    </row>
    <row r="339" spans="1:12" x14ac:dyDescent="0.35">
      <c r="A339" s="1">
        <v>44348</v>
      </c>
      <c r="B339" t="s">
        <v>25</v>
      </c>
      <c r="C339" t="s">
        <v>11</v>
      </c>
      <c r="D339">
        <f>AVERAGE(1008,1050)</f>
        <v>1029</v>
      </c>
      <c r="E339">
        <v>1</v>
      </c>
      <c r="F339">
        <v>27.011333</v>
      </c>
      <c r="G339">
        <v>140.5</v>
      </c>
      <c r="H339">
        <v>199.81610000000001</v>
      </c>
      <c r="I339">
        <v>5.2</v>
      </c>
      <c r="J339">
        <v>111</v>
      </c>
      <c r="L339">
        <v>0</v>
      </c>
    </row>
    <row r="340" spans="1:12" x14ac:dyDescent="0.35">
      <c r="A340" s="1">
        <v>44348</v>
      </c>
      <c r="B340" t="s">
        <v>25</v>
      </c>
      <c r="C340" t="s">
        <v>12</v>
      </c>
      <c r="D340">
        <f>AVERAGE(1100,1080)</f>
        <v>1090</v>
      </c>
      <c r="E340">
        <v>1</v>
      </c>
      <c r="F340">
        <v>27.291001999999999</v>
      </c>
      <c r="G340">
        <v>176.90001000000001</v>
      </c>
      <c r="H340">
        <v>199.81610000000001</v>
      </c>
      <c r="I340">
        <v>5.2</v>
      </c>
      <c r="J340">
        <v>111</v>
      </c>
      <c r="L340">
        <v>0</v>
      </c>
    </row>
    <row r="341" spans="1:12" x14ac:dyDescent="0.35">
      <c r="A341" s="1">
        <v>44348</v>
      </c>
      <c r="B341" t="s">
        <v>25</v>
      </c>
      <c r="C341" t="s">
        <v>14</v>
      </c>
      <c r="D341">
        <v>1000</v>
      </c>
      <c r="E341">
        <v>1</v>
      </c>
      <c r="F341">
        <v>28.106332999999999</v>
      </c>
      <c r="G341">
        <v>232.5</v>
      </c>
      <c r="H341">
        <v>199.81610000000001</v>
      </c>
      <c r="I341">
        <v>5.2</v>
      </c>
      <c r="J341">
        <v>111</v>
      </c>
      <c r="L341">
        <v>0</v>
      </c>
    </row>
    <row r="342" spans="1:12" x14ac:dyDescent="0.35">
      <c r="A342" s="1">
        <v>44348</v>
      </c>
      <c r="B342" t="s">
        <v>25</v>
      </c>
      <c r="C342" t="s">
        <v>16</v>
      </c>
      <c r="D342">
        <f>AVERAGE(975,1000)</f>
        <v>987.5</v>
      </c>
      <c r="E342">
        <v>1</v>
      </c>
      <c r="F342">
        <v>28.493666000000001</v>
      </c>
      <c r="G342">
        <v>163</v>
      </c>
      <c r="H342">
        <v>199.81610000000001</v>
      </c>
      <c r="I342">
        <v>5.2</v>
      </c>
      <c r="J342">
        <v>111</v>
      </c>
      <c r="L342">
        <v>0</v>
      </c>
    </row>
    <row r="343" spans="1:12" x14ac:dyDescent="0.35">
      <c r="A343" s="1">
        <v>44348</v>
      </c>
      <c r="B343" t="s">
        <v>25</v>
      </c>
      <c r="C343" t="s">
        <v>24</v>
      </c>
      <c r="D343">
        <f>AVERAGE(1066,1000)</f>
        <v>1033</v>
      </c>
      <c r="E343">
        <v>1</v>
      </c>
      <c r="F343">
        <v>34.499332000000003</v>
      </c>
      <c r="G343">
        <v>45.6</v>
      </c>
      <c r="H343">
        <v>199.81610000000001</v>
      </c>
      <c r="I343">
        <v>5.2</v>
      </c>
      <c r="J343">
        <v>111</v>
      </c>
      <c r="L343">
        <v>0</v>
      </c>
    </row>
    <row r="344" spans="1:12" x14ac:dyDescent="0.35">
      <c r="A344" s="1">
        <v>44378</v>
      </c>
      <c r="B344" t="s">
        <v>10</v>
      </c>
      <c r="C344" t="s">
        <v>11</v>
      </c>
      <c r="D344">
        <f>AVERAGE(755,762,776,787)</f>
        <v>770</v>
      </c>
      <c r="E344">
        <v>1</v>
      </c>
      <c r="F344">
        <v>27.050097999999998</v>
      </c>
      <c r="G344">
        <v>135.6</v>
      </c>
      <c r="H344">
        <v>199.9778</v>
      </c>
      <c r="I344">
        <v>5.7</v>
      </c>
      <c r="J344">
        <v>111</v>
      </c>
      <c r="L344">
        <v>0</v>
      </c>
    </row>
    <row r="345" spans="1:12" x14ac:dyDescent="0.35">
      <c r="A345" s="1">
        <v>44378</v>
      </c>
      <c r="B345" t="s">
        <v>10</v>
      </c>
      <c r="C345" t="s">
        <v>12</v>
      </c>
      <c r="D345">
        <f>AVERAGE(772,767)</f>
        <v>769.5</v>
      </c>
      <c r="E345">
        <v>1</v>
      </c>
      <c r="F345">
        <v>27.403096999999999</v>
      </c>
      <c r="G345">
        <v>200.59998999999999</v>
      </c>
      <c r="H345">
        <v>199.9778</v>
      </c>
      <c r="I345">
        <v>5.7</v>
      </c>
      <c r="J345">
        <v>111</v>
      </c>
      <c r="L345">
        <v>0</v>
      </c>
    </row>
    <row r="346" spans="1:12" x14ac:dyDescent="0.35">
      <c r="A346" s="1">
        <v>44378</v>
      </c>
      <c r="B346" t="s">
        <v>10</v>
      </c>
      <c r="C346" t="s">
        <v>13</v>
      </c>
      <c r="D346">
        <f>AVERAGE(735,735,730)</f>
        <v>733.33333333333337</v>
      </c>
      <c r="E346">
        <v>1</v>
      </c>
      <c r="F346">
        <v>18.260597000000001</v>
      </c>
      <c r="G346">
        <v>286</v>
      </c>
      <c r="H346">
        <v>199.9778</v>
      </c>
      <c r="I346">
        <v>5.7</v>
      </c>
      <c r="J346">
        <v>111</v>
      </c>
      <c r="L346">
        <v>0</v>
      </c>
    </row>
    <row r="347" spans="1:12" x14ac:dyDescent="0.35">
      <c r="A347" s="1">
        <v>44378</v>
      </c>
      <c r="B347" t="s">
        <v>10</v>
      </c>
      <c r="C347" t="s">
        <v>14</v>
      </c>
      <c r="D347">
        <f>AVERAGE(760,750,760,750)</f>
        <v>755</v>
      </c>
      <c r="E347">
        <v>1</v>
      </c>
      <c r="F347">
        <v>28.457515999999998</v>
      </c>
      <c r="G347">
        <v>265.39999999999998</v>
      </c>
      <c r="H347">
        <v>199.9778</v>
      </c>
      <c r="I347">
        <v>5.7</v>
      </c>
      <c r="J347">
        <v>111</v>
      </c>
      <c r="L347">
        <v>0</v>
      </c>
    </row>
    <row r="348" spans="1:12" x14ac:dyDescent="0.35">
      <c r="A348" s="1">
        <v>44378</v>
      </c>
      <c r="B348" t="s">
        <v>10</v>
      </c>
      <c r="C348" t="s">
        <v>15</v>
      </c>
      <c r="D348">
        <f>AVERAGE(735,732,720,725)</f>
        <v>728</v>
      </c>
      <c r="E348">
        <v>1</v>
      </c>
      <c r="F348">
        <v>28.921389000000001</v>
      </c>
      <c r="G348">
        <v>400.30002000000002</v>
      </c>
      <c r="H348">
        <v>199.9778</v>
      </c>
      <c r="I348">
        <v>5.7</v>
      </c>
      <c r="J348">
        <v>111</v>
      </c>
      <c r="L348">
        <v>0</v>
      </c>
    </row>
    <row r="349" spans="1:12" x14ac:dyDescent="0.35">
      <c r="A349" s="1">
        <v>44378</v>
      </c>
      <c r="B349" t="s">
        <v>10</v>
      </c>
      <c r="C349" t="s">
        <v>16</v>
      </c>
      <c r="D349">
        <f>AVERAGE(751,753,745,758)</f>
        <v>751.75</v>
      </c>
      <c r="E349">
        <v>1</v>
      </c>
      <c r="F349">
        <v>28.653772</v>
      </c>
      <c r="G349">
        <v>106.2</v>
      </c>
      <c r="H349">
        <v>199.9778</v>
      </c>
      <c r="I349">
        <v>5.7</v>
      </c>
      <c r="J349">
        <v>111</v>
      </c>
      <c r="L349">
        <v>0</v>
      </c>
    </row>
    <row r="350" spans="1:12" x14ac:dyDescent="0.35">
      <c r="A350" s="1">
        <v>44378</v>
      </c>
      <c r="B350" t="s">
        <v>10</v>
      </c>
      <c r="C350" t="s">
        <v>17</v>
      </c>
      <c r="D350">
        <f>AVERAGE(763,737,743)</f>
        <v>747.66666666666663</v>
      </c>
      <c r="E350">
        <v>1</v>
      </c>
      <c r="F350">
        <v>29.186646</v>
      </c>
      <c r="G350">
        <v>201</v>
      </c>
      <c r="H350">
        <v>199.9778</v>
      </c>
      <c r="I350">
        <v>5.7</v>
      </c>
      <c r="J350">
        <v>111</v>
      </c>
      <c r="L350">
        <v>0</v>
      </c>
    </row>
    <row r="351" spans="1:12" x14ac:dyDescent="0.35">
      <c r="A351" s="1">
        <v>44378</v>
      </c>
      <c r="B351" t="s">
        <v>10</v>
      </c>
      <c r="C351" t="s">
        <v>18</v>
      </c>
      <c r="D351">
        <f>AVERAGE(738,725,727,763)</f>
        <v>738.25</v>
      </c>
      <c r="E351">
        <v>1</v>
      </c>
      <c r="F351">
        <v>28.549807000000001</v>
      </c>
      <c r="G351">
        <v>264</v>
      </c>
      <c r="H351">
        <v>199.9778</v>
      </c>
      <c r="I351">
        <v>5.7</v>
      </c>
      <c r="J351">
        <v>111</v>
      </c>
      <c r="L351">
        <v>0</v>
      </c>
    </row>
    <row r="352" spans="1:12" x14ac:dyDescent="0.35">
      <c r="A352" s="1">
        <v>44378</v>
      </c>
      <c r="B352" t="s">
        <v>10</v>
      </c>
      <c r="C352" t="s">
        <v>19</v>
      </c>
      <c r="D352">
        <f>AVERAGE(750,750,750,742)</f>
        <v>748</v>
      </c>
      <c r="E352">
        <v>1</v>
      </c>
      <c r="F352">
        <v>29.044678000000001</v>
      </c>
      <c r="G352">
        <v>269.10000000000002</v>
      </c>
      <c r="H352">
        <v>199.9778</v>
      </c>
      <c r="I352">
        <v>5.7</v>
      </c>
      <c r="J352">
        <v>111</v>
      </c>
      <c r="L352">
        <v>0</v>
      </c>
    </row>
    <row r="353" spans="1:12" x14ac:dyDescent="0.35">
      <c r="A353" s="1">
        <v>44378</v>
      </c>
      <c r="B353" t="s">
        <v>10</v>
      </c>
      <c r="C353" t="s">
        <v>20</v>
      </c>
      <c r="D353">
        <f>AVERAGE(780,710)</f>
        <v>745</v>
      </c>
      <c r="E353">
        <v>1</v>
      </c>
      <c r="F353">
        <v>28.670582</v>
      </c>
      <c r="G353">
        <v>268.7</v>
      </c>
      <c r="H353">
        <v>199.9778</v>
      </c>
      <c r="I353">
        <v>5.7</v>
      </c>
      <c r="J353">
        <v>111</v>
      </c>
      <c r="L353">
        <v>0</v>
      </c>
    </row>
    <row r="354" spans="1:12" x14ac:dyDescent="0.35">
      <c r="A354" s="1">
        <v>44378</v>
      </c>
      <c r="B354" t="s">
        <v>10</v>
      </c>
      <c r="C354" t="s">
        <v>21</v>
      </c>
      <c r="D354">
        <f>AVERAGE(720,720,740,715)</f>
        <v>723.75</v>
      </c>
      <c r="E354">
        <v>1</v>
      </c>
      <c r="F354">
        <v>28.454191000000002</v>
      </c>
      <c r="G354">
        <v>343.4</v>
      </c>
      <c r="H354">
        <v>199.9778</v>
      </c>
      <c r="I354">
        <v>5.7</v>
      </c>
      <c r="J354">
        <v>111</v>
      </c>
      <c r="L354">
        <v>0</v>
      </c>
    </row>
    <row r="355" spans="1:12" x14ac:dyDescent="0.35">
      <c r="A355" s="1">
        <v>44378</v>
      </c>
      <c r="B355" t="s">
        <v>10</v>
      </c>
      <c r="C355" t="s">
        <v>22</v>
      </c>
      <c r="D355">
        <f>AVERAGE(750,750,750,760)</f>
        <v>752.5</v>
      </c>
      <c r="E355">
        <v>1</v>
      </c>
      <c r="F355">
        <v>27.830356999999999</v>
      </c>
      <c r="G355">
        <v>172.7</v>
      </c>
      <c r="H355">
        <v>199.9778</v>
      </c>
      <c r="I355">
        <v>5.7</v>
      </c>
      <c r="J355">
        <v>111</v>
      </c>
      <c r="L355">
        <v>0</v>
      </c>
    </row>
    <row r="356" spans="1:12" x14ac:dyDescent="0.35">
      <c r="A356" s="1">
        <v>44378</v>
      </c>
      <c r="B356" t="s">
        <v>10</v>
      </c>
      <c r="C356" t="s">
        <v>23</v>
      </c>
      <c r="D356">
        <f>AVERAGE(760,755,755,790)</f>
        <v>765</v>
      </c>
      <c r="E356">
        <v>1</v>
      </c>
      <c r="F356">
        <v>31.991743</v>
      </c>
      <c r="G356">
        <v>35.800002999999997</v>
      </c>
      <c r="H356">
        <v>199.9778</v>
      </c>
      <c r="I356">
        <v>5.7</v>
      </c>
      <c r="J356">
        <v>111</v>
      </c>
      <c r="L356">
        <v>0</v>
      </c>
    </row>
    <row r="357" spans="1:12" x14ac:dyDescent="0.35">
      <c r="A357" s="1">
        <v>44378</v>
      </c>
      <c r="B357" t="s">
        <v>10</v>
      </c>
      <c r="C357" t="s">
        <v>24</v>
      </c>
      <c r="D357">
        <f>AVERAGE(773,775,771,745)</f>
        <v>766</v>
      </c>
      <c r="E357">
        <v>1</v>
      </c>
      <c r="F357">
        <v>35.368899999999996</v>
      </c>
      <c r="G357">
        <v>67.5</v>
      </c>
      <c r="H357">
        <v>199.9778</v>
      </c>
      <c r="I357">
        <v>5.7</v>
      </c>
      <c r="J357">
        <v>111</v>
      </c>
      <c r="L357">
        <v>0</v>
      </c>
    </row>
    <row r="358" spans="1:12" x14ac:dyDescent="0.35">
      <c r="A358" s="1">
        <v>44378</v>
      </c>
      <c r="B358" t="s">
        <v>25</v>
      </c>
      <c r="C358" t="s">
        <v>11</v>
      </c>
      <c r="D358">
        <f>AVERAGE(1050,1050,1017,1095)</f>
        <v>1053</v>
      </c>
      <c r="E358">
        <v>1</v>
      </c>
      <c r="F358">
        <v>27.050097999999998</v>
      </c>
      <c r="G358">
        <v>135.6</v>
      </c>
      <c r="H358">
        <v>199.9778</v>
      </c>
      <c r="I358">
        <v>5.7</v>
      </c>
      <c r="J358">
        <v>111</v>
      </c>
      <c r="L358">
        <v>0</v>
      </c>
    </row>
    <row r="359" spans="1:12" x14ac:dyDescent="0.35">
      <c r="A359" s="1">
        <v>44378</v>
      </c>
      <c r="B359" t="s">
        <v>25</v>
      </c>
      <c r="C359" t="s">
        <v>12</v>
      </c>
      <c r="D359">
        <f>AVERAGE(1096,1125,1125,1136)</f>
        <v>1120.5</v>
      </c>
      <c r="E359">
        <v>1</v>
      </c>
      <c r="F359">
        <v>27.403096999999999</v>
      </c>
      <c r="G359">
        <v>200.59998999999999</v>
      </c>
      <c r="H359">
        <v>199.9778</v>
      </c>
      <c r="I359">
        <v>5.7</v>
      </c>
      <c r="J359">
        <v>111</v>
      </c>
      <c r="L359">
        <v>0</v>
      </c>
    </row>
    <row r="360" spans="1:12" x14ac:dyDescent="0.35">
      <c r="A360" s="1">
        <v>44378</v>
      </c>
      <c r="B360" t="s">
        <v>25</v>
      </c>
      <c r="C360" t="s">
        <v>14</v>
      </c>
      <c r="D360">
        <f>AVERAGE(900,1100,1000,850)</f>
        <v>962.5</v>
      </c>
      <c r="E360">
        <v>1</v>
      </c>
      <c r="F360">
        <v>28.457515999999998</v>
      </c>
      <c r="G360">
        <v>265.39999999999998</v>
      </c>
      <c r="H360">
        <v>199.9778</v>
      </c>
      <c r="I360">
        <v>5.7</v>
      </c>
      <c r="J360">
        <v>111</v>
      </c>
      <c r="L360">
        <v>0</v>
      </c>
    </row>
    <row r="361" spans="1:12" x14ac:dyDescent="0.35">
      <c r="A361" s="1">
        <v>44378</v>
      </c>
      <c r="B361" t="s">
        <v>25</v>
      </c>
      <c r="C361" t="s">
        <v>16</v>
      </c>
      <c r="D361">
        <f>AVERAGE(1000,1025,950,950)</f>
        <v>981.25</v>
      </c>
      <c r="E361">
        <v>1</v>
      </c>
      <c r="F361">
        <v>28.653772</v>
      </c>
      <c r="G361">
        <v>106.2</v>
      </c>
      <c r="H361">
        <v>199.9778</v>
      </c>
      <c r="I361">
        <v>5.7</v>
      </c>
      <c r="J361">
        <v>111</v>
      </c>
      <c r="L361">
        <v>0</v>
      </c>
    </row>
    <row r="362" spans="1:12" x14ac:dyDescent="0.35">
      <c r="A362" s="1">
        <v>44378</v>
      </c>
      <c r="B362" t="s">
        <v>25</v>
      </c>
      <c r="C362" t="s">
        <v>24</v>
      </c>
      <c r="D362">
        <f>AVERAGE(1083,1083,1000,1100)</f>
        <v>1066.5</v>
      </c>
      <c r="E362">
        <v>1</v>
      </c>
      <c r="F362">
        <v>35.368899999999996</v>
      </c>
      <c r="G362">
        <v>67.5</v>
      </c>
      <c r="H362">
        <v>199.9778</v>
      </c>
      <c r="I362">
        <v>5.7</v>
      </c>
      <c r="J362">
        <v>111</v>
      </c>
      <c r="L362">
        <v>0</v>
      </c>
    </row>
    <row r="363" spans="1:12" x14ac:dyDescent="0.35">
      <c r="A363" s="1">
        <v>44409</v>
      </c>
      <c r="B363" t="s">
        <v>10</v>
      </c>
      <c r="C363" t="s">
        <v>11</v>
      </c>
      <c r="D363">
        <f>AVERAGE(755,723,734)</f>
        <v>737.33333333333337</v>
      </c>
      <c r="E363">
        <v>1</v>
      </c>
      <c r="F363">
        <v>26.595258999999999</v>
      </c>
      <c r="G363">
        <v>138.4</v>
      </c>
      <c r="H363">
        <v>200.4965</v>
      </c>
      <c r="I363">
        <v>6</v>
      </c>
      <c r="J363">
        <v>111</v>
      </c>
      <c r="L363">
        <v>0</v>
      </c>
    </row>
    <row r="364" spans="1:12" x14ac:dyDescent="0.35">
      <c r="A364" s="1">
        <v>44409</v>
      </c>
      <c r="B364" t="s">
        <v>10</v>
      </c>
      <c r="C364" t="s">
        <v>12</v>
      </c>
      <c r="D364">
        <f>AVERAGE(758,756,762)</f>
        <v>758.66666666666663</v>
      </c>
      <c r="E364">
        <v>1</v>
      </c>
      <c r="F364">
        <v>26.864388000000002</v>
      </c>
      <c r="G364">
        <v>189</v>
      </c>
      <c r="H364">
        <v>200.4965</v>
      </c>
      <c r="I364">
        <v>6</v>
      </c>
      <c r="J364">
        <v>111</v>
      </c>
      <c r="L364">
        <v>0</v>
      </c>
    </row>
    <row r="365" spans="1:12" x14ac:dyDescent="0.35">
      <c r="A365" s="1">
        <v>44409</v>
      </c>
      <c r="B365" t="s">
        <v>10</v>
      </c>
      <c r="C365" t="s">
        <v>13</v>
      </c>
      <c r="D365">
        <f>AVERAGE(735,715)</f>
        <v>725</v>
      </c>
      <c r="E365">
        <v>1</v>
      </c>
      <c r="F365">
        <v>18.055758000000001</v>
      </c>
      <c r="G365">
        <v>199.79999000000001</v>
      </c>
      <c r="H365">
        <v>200.4965</v>
      </c>
      <c r="I365">
        <v>6</v>
      </c>
      <c r="J365">
        <v>111</v>
      </c>
      <c r="L365">
        <v>0</v>
      </c>
    </row>
    <row r="366" spans="1:12" x14ac:dyDescent="0.35">
      <c r="A366" s="1">
        <v>44409</v>
      </c>
      <c r="B366" t="s">
        <v>10</v>
      </c>
      <c r="C366" t="s">
        <v>14</v>
      </c>
      <c r="D366">
        <f>AVERAGE(750,740,725)</f>
        <v>738.33333333333337</v>
      </c>
      <c r="E366">
        <v>1</v>
      </c>
      <c r="F366">
        <v>27.770420000000001</v>
      </c>
      <c r="G366">
        <v>294.10000000000002</v>
      </c>
      <c r="H366">
        <v>200.4965</v>
      </c>
      <c r="I366">
        <v>6</v>
      </c>
      <c r="J366">
        <v>111</v>
      </c>
      <c r="L366">
        <v>0</v>
      </c>
    </row>
    <row r="367" spans="1:12" x14ac:dyDescent="0.35">
      <c r="A367" s="1">
        <v>44409</v>
      </c>
      <c r="B367" t="s">
        <v>10</v>
      </c>
      <c r="C367" t="s">
        <v>15</v>
      </c>
      <c r="D367">
        <f>AVERAGE(721,720,725)</f>
        <v>722</v>
      </c>
      <c r="E367">
        <v>1</v>
      </c>
      <c r="F367">
        <v>28.413323999999999</v>
      </c>
      <c r="G367">
        <v>501.80002000000002</v>
      </c>
      <c r="H367">
        <v>200.4965</v>
      </c>
      <c r="I367">
        <v>6</v>
      </c>
      <c r="J367">
        <v>111</v>
      </c>
      <c r="L367">
        <v>0</v>
      </c>
    </row>
    <row r="368" spans="1:12" x14ac:dyDescent="0.35">
      <c r="A368" s="1">
        <v>44409</v>
      </c>
      <c r="B368" t="s">
        <v>10</v>
      </c>
      <c r="C368" t="s">
        <v>16</v>
      </c>
      <c r="D368">
        <f>AVERAGE(750,754,759)</f>
        <v>754.33333333333337</v>
      </c>
      <c r="E368">
        <v>1</v>
      </c>
      <c r="F368">
        <v>28.531192999999998</v>
      </c>
      <c r="G368">
        <v>193.4</v>
      </c>
      <c r="H368">
        <v>200.4965</v>
      </c>
      <c r="I368">
        <v>6</v>
      </c>
      <c r="J368">
        <v>111</v>
      </c>
      <c r="L368">
        <v>0</v>
      </c>
    </row>
    <row r="369" spans="1:12" x14ac:dyDescent="0.35">
      <c r="A369" s="1">
        <v>44409</v>
      </c>
      <c r="B369" t="s">
        <v>10</v>
      </c>
      <c r="C369" t="s">
        <v>17</v>
      </c>
      <c r="D369">
        <f>AVERAGE(760,760,747)</f>
        <v>755.66666666666663</v>
      </c>
      <c r="E369">
        <v>1</v>
      </c>
      <c r="F369">
        <v>28.593095999999999</v>
      </c>
      <c r="G369">
        <v>203.40001000000001</v>
      </c>
      <c r="H369">
        <v>200.4965</v>
      </c>
      <c r="I369">
        <v>6</v>
      </c>
      <c r="J369">
        <v>111</v>
      </c>
      <c r="L369">
        <v>0</v>
      </c>
    </row>
    <row r="370" spans="1:12" x14ac:dyDescent="0.35">
      <c r="A370" s="1">
        <v>44409</v>
      </c>
      <c r="B370" t="s">
        <v>10</v>
      </c>
      <c r="C370" t="s">
        <v>18</v>
      </c>
      <c r="D370">
        <f>AVERAGE(710,713,723)</f>
        <v>715.33333333333337</v>
      </c>
      <c r="E370">
        <v>1</v>
      </c>
      <c r="F370">
        <v>28.217548000000001</v>
      </c>
      <c r="G370">
        <v>280.5</v>
      </c>
      <c r="H370">
        <v>200.4965</v>
      </c>
      <c r="I370">
        <v>6</v>
      </c>
      <c r="J370">
        <v>111</v>
      </c>
      <c r="L370">
        <v>0</v>
      </c>
    </row>
    <row r="371" spans="1:12" x14ac:dyDescent="0.35">
      <c r="A371" s="1">
        <v>44409</v>
      </c>
      <c r="B371" t="s">
        <v>10</v>
      </c>
      <c r="C371" t="s">
        <v>19</v>
      </c>
      <c r="D371">
        <f>AVERAGE(750,730,730)</f>
        <v>736.66666666666663</v>
      </c>
      <c r="E371">
        <v>1</v>
      </c>
      <c r="F371">
        <v>28.599513999999999</v>
      </c>
      <c r="G371">
        <v>267.2</v>
      </c>
      <c r="H371">
        <v>200.4965</v>
      </c>
      <c r="I371">
        <v>6</v>
      </c>
      <c r="J371">
        <v>111</v>
      </c>
      <c r="L371">
        <v>0</v>
      </c>
    </row>
    <row r="372" spans="1:12" x14ac:dyDescent="0.35">
      <c r="A372" s="1">
        <v>44409</v>
      </c>
      <c r="B372" t="s">
        <v>10</v>
      </c>
      <c r="C372" t="s">
        <v>20</v>
      </c>
      <c r="D372">
        <f>AVERAGE(715,730,710)</f>
        <v>718.33333333333337</v>
      </c>
      <c r="E372">
        <v>1</v>
      </c>
      <c r="F372">
        <v>28.277032999999999</v>
      </c>
      <c r="G372">
        <v>256.8</v>
      </c>
      <c r="H372">
        <v>200.4965</v>
      </c>
      <c r="I372">
        <v>6</v>
      </c>
      <c r="J372">
        <v>111</v>
      </c>
      <c r="L372">
        <v>0</v>
      </c>
    </row>
    <row r="373" spans="1:12" x14ac:dyDescent="0.35">
      <c r="A373" s="1">
        <v>44409</v>
      </c>
      <c r="B373" t="s">
        <v>10</v>
      </c>
      <c r="C373" t="s">
        <v>21</v>
      </c>
      <c r="D373">
        <f>AVERAGE(720,700,700)</f>
        <v>706.66666666666663</v>
      </c>
      <c r="E373">
        <v>1</v>
      </c>
      <c r="F373">
        <v>28.063870000000001</v>
      </c>
      <c r="G373">
        <v>297.40001999999998</v>
      </c>
      <c r="H373">
        <v>200.4965</v>
      </c>
      <c r="I373">
        <v>6</v>
      </c>
      <c r="J373">
        <v>111</v>
      </c>
      <c r="L373">
        <v>0</v>
      </c>
    </row>
    <row r="374" spans="1:12" x14ac:dyDescent="0.35">
      <c r="A374" s="1">
        <v>44409</v>
      </c>
      <c r="B374" t="s">
        <v>10</v>
      </c>
      <c r="C374" t="s">
        <v>22</v>
      </c>
      <c r="D374">
        <f>AVERAGE(720,725,750)</f>
        <v>731.66666666666663</v>
      </c>
      <c r="E374">
        <v>1</v>
      </c>
      <c r="F374">
        <v>27.480353999999998</v>
      </c>
      <c r="G374">
        <v>166.09998999999999</v>
      </c>
      <c r="H374">
        <v>200.4965</v>
      </c>
      <c r="I374">
        <v>6</v>
      </c>
      <c r="J374">
        <v>111</v>
      </c>
      <c r="L374">
        <v>0</v>
      </c>
    </row>
    <row r="375" spans="1:12" x14ac:dyDescent="0.35">
      <c r="A375" s="1">
        <v>44409</v>
      </c>
      <c r="B375" t="s">
        <v>10</v>
      </c>
      <c r="C375" t="s">
        <v>23</v>
      </c>
      <c r="D375">
        <f>AVERAGE(740,700,700)</f>
        <v>713.33333333333337</v>
      </c>
      <c r="E375">
        <v>1</v>
      </c>
      <c r="F375">
        <v>31.467548000000001</v>
      </c>
      <c r="G375">
        <v>54.1</v>
      </c>
      <c r="H375">
        <v>200.4965</v>
      </c>
      <c r="I375">
        <v>6</v>
      </c>
      <c r="J375">
        <v>111</v>
      </c>
      <c r="L375">
        <v>0</v>
      </c>
    </row>
    <row r="376" spans="1:12" x14ac:dyDescent="0.35">
      <c r="A376" s="1">
        <v>44409</v>
      </c>
      <c r="B376" t="s">
        <v>10</v>
      </c>
      <c r="C376" t="s">
        <v>24</v>
      </c>
      <c r="D376">
        <f>AVERAGE(750,726,763)</f>
        <v>746.33333333333337</v>
      </c>
      <c r="E376">
        <v>1</v>
      </c>
      <c r="F376">
        <v>34.938254999999998</v>
      </c>
      <c r="G376">
        <v>93.1</v>
      </c>
      <c r="H376">
        <v>200.4965</v>
      </c>
      <c r="I376">
        <v>6</v>
      </c>
      <c r="J376">
        <v>111</v>
      </c>
      <c r="L376">
        <v>0</v>
      </c>
    </row>
    <row r="377" spans="1:12" x14ac:dyDescent="0.35">
      <c r="A377" s="1">
        <v>44409</v>
      </c>
      <c r="B377" t="s">
        <v>25</v>
      </c>
      <c r="C377" t="s">
        <v>11</v>
      </c>
      <c r="D377">
        <f>AVERAGE(1108,1045,1058)</f>
        <v>1070.3333333333333</v>
      </c>
      <c r="E377">
        <v>1</v>
      </c>
      <c r="F377">
        <v>26.595258999999999</v>
      </c>
      <c r="G377">
        <v>138.4</v>
      </c>
      <c r="H377">
        <v>200.4965</v>
      </c>
      <c r="I377">
        <v>6</v>
      </c>
      <c r="J377">
        <v>111</v>
      </c>
      <c r="L377">
        <v>0</v>
      </c>
    </row>
    <row r="378" spans="1:12" x14ac:dyDescent="0.35">
      <c r="A378" s="1">
        <v>44409</v>
      </c>
      <c r="B378" t="s">
        <v>25</v>
      </c>
      <c r="C378" t="s">
        <v>12</v>
      </c>
      <c r="D378">
        <f>AVERAGE(1161,1146,1175)</f>
        <v>1160.6666666666667</v>
      </c>
      <c r="E378">
        <v>1</v>
      </c>
      <c r="F378">
        <v>26.864388000000002</v>
      </c>
      <c r="G378">
        <v>189</v>
      </c>
      <c r="H378">
        <v>200.4965</v>
      </c>
      <c r="I378">
        <v>6</v>
      </c>
      <c r="J378">
        <v>111</v>
      </c>
      <c r="L378">
        <v>0</v>
      </c>
    </row>
    <row r="379" spans="1:12" x14ac:dyDescent="0.35">
      <c r="A379" s="1">
        <v>44409</v>
      </c>
      <c r="B379" t="s">
        <v>25</v>
      </c>
      <c r="C379" t="s">
        <v>14</v>
      </c>
      <c r="D379">
        <f>AVERAGE(1000,1000,900)</f>
        <v>966.66666666666663</v>
      </c>
      <c r="E379">
        <v>1</v>
      </c>
      <c r="F379">
        <v>27.770420000000001</v>
      </c>
      <c r="G379">
        <v>294.10000000000002</v>
      </c>
      <c r="H379">
        <v>200.4965</v>
      </c>
      <c r="I379">
        <v>6</v>
      </c>
      <c r="J379">
        <v>111</v>
      </c>
      <c r="L379">
        <v>0</v>
      </c>
    </row>
    <row r="380" spans="1:12" x14ac:dyDescent="0.35">
      <c r="A380" s="1">
        <v>44409</v>
      </c>
      <c r="B380" t="s">
        <v>25</v>
      </c>
      <c r="C380" t="s">
        <v>16</v>
      </c>
      <c r="D380">
        <f>AVERAGE(975,975,1000)</f>
        <v>983.33333333333337</v>
      </c>
      <c r="E380">
        <v>1</v>
      </c>
      <c r="F380">
        <v>28.531192999999998</v>
      </c>
      <c r="G380">
        <v>193.4</v>
      </c>
      <c r="H380">
        <v>200.4965</v>
      </c>
      <c r="I380">
        <v>6</v>
      </c>
      <c r="J380">
        <v>111</v>
      </c>
      <c r="L380">
        <v>0</v>
      </c>
    </row>
    <row r="381" spans="1:12" x14ac:dyDescent="0.35">
      <c r="A381" s="1">
        <v>44409</v>
      </c>
      <c r="B381" t="s">
        <v>25</v>
      </c>
      <c r="C381" t="s">
        <v>24</v>
      </c>
      <c r="D381">
        <f>AVERAGE(1100,1100,1150)</f>
        <v>1116.6666666666667</v>
      </c>
      <c r="E381">
        <v>1</v>
      </c>
      <c r="F381">
        <v>34.938254999999998</v>
      </c>
      <c r="G381">
        <v>93.1</v>
      </c>
      <c r="H381">
        <v>200.4965</v>
      </c>
      <c r="I381">
        <v>6</v>
      </c>
      <c r="J381">
        <v>111</v>
      </c>
      <c r="L381">
        <v>0</v>
      </c>
    </row>
    <row r="382" spans="1:12" x14ac:dyDescent="0.35">
      <c r="A382" s="1">
        <v>44440</v>
      </c>
      <c r="B382" t="s">
        <v>10</v>
      </c>
      <c r="C382" t="s">
        <v>11</v>
      </c>
      <c r="D382" t="s">
        <v>26</v>
      </c>
      <c r="E382">
        <v>0</v>
      </c>
      <c r="F382">
        <v>27.169668000000001</v>
      </c>
      <c r="G382">
        <v>129.19999999999999</v>
      </c>
      <c r="H382">
        <v>201.98580000000001</v>
      </c>
      <c r="I382">
        <v>5.7</v>
      </c>
      <c r="J382">
        <v>111</v>
      </c>
      <c r="L382">
        <v>0</v>
      </c>
    </row>
    <row r="383" spans="1:12" x14ac:dyDescent="0.35">
      <c r="A383" s="1">
        <v>44440</v>
      </c>
      <c r="B383" t="s">
        <v>10</v>
      </c>
      <c r="C383" t="s">
        <v>12</v>
      </c>
      <c r="D383" t="s">
        <v>26</v>
      </c>
      <c r="E383">
        <v>0</v>
      </c>
      <c r="F383">
        <v>27.179333</v>
      </c>
      <c r="G383">
        <v>210.40001000000001</v>
      </c>
      <c r="H383">
        <v>201.98580000000001</v>
      </c>
      <c r="I383">
        <v>5.7</v>
      </c>
      <c r="J383">
        <v>111</v>
      </c>
      <c r="L383">
        <v>0</v>
      </c>
    </row>
    <row r="384" spans="1:12" x14ac:dyDescent="0.35">
      <c r="A384" s="1">
        <v>44440</v>
      </c>
      <c r="B384" t="s">
        <v>10</v>
      </c>
      <c r="C384" t="s">
        <v>13</v>
      </c>
      <c r="D384" t="s">
        <v>26</v>
      </c>
      <c r="E384">
        <v>0</v>
      </c>
      <c r="F384">
        <v>18.458500000000001</v>
      </c>
      <c r="G384">
        <v>199.7</v>
      </c>
      <c r="H384">
        <v>201.98580000000001</v>
      </c>
      <c r="I384">
        <v>5.7</v>
      </c>
      <c r="J384">
        <v>111</v>
      </c>
      <c r="L384">
        <v>0</v>
      </c>
    </row>
    <row r="385" spans="1:12" x14ac:dyDescent="0.35">
      <c r="A385" s="1">
        <v>44440</v>
      </c>
      <c r="B385" t="s">
        <v>10</v>
      </c>
      <c r="C385" t="s">
        <v>14</v>
      </c>
      <c r="D385" t="s">
        <v>26</v>
      </c>
      <c r="E385">
        <v>0</v>
      </c>
      <c r="F385">
        <v>28.067999</v>
      </c>
      <c r="G385">
        <v>291.19997999999998</v>
      </c>
      <c r="H385">
        <v>201.98580000000001</v>
      </c>
      <c r="I385">
        <v>5.7</v>
      </c>
      <c r="J385">
        <v>111</v>
      </c>
      <c r="L385">
        <v>0</v>
      </c>
    </row>
    <row r="386" spans="1:12" x14ac:dyDescent="0.35">
      <c r="A386" s="1">
        <v>44440</v>
      </c>
      <c r="B386" t="s">
        <v>10</v>
      </c>
      <c r="C386" t="s">
        <v>15</v>
      </c>
      <c r="D386" t="s">
        <v>26</v>
      </c>
      <c r="E386">
        <v>0</v>
      </c>
      <c r="F386">
        <v>28.664667000000001</v>
      </c>
      <c r="G386">
        <v>436.40001999999998</v>
      </c>
      <c r="H386">
        <v>201.98580000000001</v>
      </c>
      <c r="I386">
        <v>5.7</v>
      </c>
      <c r="J386">
        <v>111</v>
      </c>
      <c r="L386">
        <v>0</v>
      </c>
    </row>
    <row r="387" spans="1:12" x14ac:dyDescent="0.35">
      <c r="A387" s="1">
        <v>44440</v>
      </c>
      <c r="B387" t="s">
        <v>10</v>
      </c>
      <c r="C387" t="s">
        <v>16</v>
      </c>
      <c r="D387" t="s">
        <v>26</v>
      </c>
      <c r="E387">
        <v>0</v>
      </c>
      <c r="F387">
        <v>28.723665</v>
      </c>
      <c r="G387">
        <v>186.2</v>
      </c>
      <c r="H387">
        <v>201.98580000000001</v>
      </c>
      <c r="I387">
        <v>5.7</v>
      </c>
      <c r="J387">
        <v>111</v>
      </c>
      <c r="L387">
        <v>0</v>
      </c>
    </row>
    <row r="388" spans="1:12" x14ac:dyDescent="0.35">
      <c r="A388" s="1">
        <v>44440</v>
      </c>
      <c r="B388" t="s">
        <v>10</v>
      </c>
      <c r="C388" t="s">
        <v>17</v>
      </c>
      <c r="D388" t="s">
        <v>26</v>
      </c>
      <c r="E388">
        <v>0</v>
      </c>
      <c r="F388">
        <v>28.831</v>
      </c>
      <c r="G388">
        <v>234.40001000000001</v>
      </c>
      <c r="H388">
        <v>201.98580000000001</v>
      </c>
      <c r="I388">
        <v>5.7</v>
      </c>
      <c r="J388">
        <v>111</v>
      </c>
      <c r="L388">
        <v>0</v>
      </c>
    </row>
    <row r="389" spans="1:12" x14ac:dyDescent="0.35">
      <c r="A389" s="1">
        <v>44440</v>
      </c>
      <c r="B389" t="s">
        <v>10</v>
      </c>
      <c r="C389" t="s">
        <v>18</v>
      </c>
      <c r="D389" t="s">
        <v>26</v>
      </c>
      <c r="E389">
        <v>0</v>
      </c>
      <c r="F389">
        <v>28.410667</v>
      </c>
      <c r="G389">
        <v>282.7</v>
      </c>
      <c r="H389">
        <v>201.98580000000001</v>
      </c>
      <c r="I389">
        <v>5.7</v>
      </c>
      <c r="J389">
        <v>111</v>
      </c>
      <c r="L389">
        <v>0</v>
      </c>
    </row>
    <row r="390" spans="1:12" x14ac:dyDescent="0.35">
      <c r="A390" s="1">
        <v>44440</v>
      </c>
      <c r="B390" t="s">
        <v>10</v>
      </c>
      <c r="C390" t="s">
        <v>19</v>
      </c>
      <c r="D390" t="s">
        <v>26</v>
      </c>
      <c r="E390">
        <v>0</v>
      </c>
      <c r="F390">
        <v>28.826665999999999</v>
      </c>
      <c r="G390">
        <v>293.7</v>
      </c>
      <c r="H390">
        <v>201.98580000000001</v>
      </c>
      <c r="I390">
        <v>5.7</v>
      </c>
      <c r="J390">
        <v>111</v>
      </c>
      <c r="L390">
        <v>0</v>
      </c>
    </row>
    <row r="391" spans="1:12" x14ac:dyDescent="0.35">
      <c r="A391" s="1">
        <v>44440</v>
      </c>
      <c r="B391" t="s">
        <v>10</v>
      </c>
      <c r="C391" t="s">
        <v>20</v>
      </c>
      <c r="D391" t="s">
        <v>26</v>
      </c>
      <c r="E391">
        <v>0</v>
      </c>
      <c r="F391">
        <v>28.424665000000001</v>
      </c>
      <c r="G391">
        <v>282.90001999999998</v>
      </c>
      <c r="H391">
        <v>201.98580000000001</v>
      </c>
      <c r="I391">
        <v>5.7</v>
      </c>
      <c r="J391">
        <v>111</v>
      </c>
      <c r="L391">
        <v>0</v>
      </c>
    </row>
    <row r="392" spans="1:12" x14ac:dyDescent="0.35">
      <c r="A392" s="1">
        <v>44440</v>
      </c>
      <c r="B392" t="s">
        <v>10</v>
      </c>
      <c r="C392" t="s">
        <v>21</v>
      </c>
      <c r="D392" t="s">
        <v>26</v>
      </c>
      <c r="E392">
        <v>0</v>
      </c>
      <c r="F392">
        <v>28.286664999999999</v>
      </c>
      <c r="G392">
        <v>293.8</v>
      </c>
      <c r="H392">
        <v>201.98580000000001</v>
      </c>
      <c r="I392">
        <v>5.7</v>
      </c>
      <c r="J392">
        <v>111</v>
      </c>
      <c r="L392">
        <v>0</v>
      </c>
    </row>
    <row r="393" spans="1:12" x14ac:dyDescent="0.35">
      <c r="A393" s="1">
        <v>44440</v>
      </c>
      <c r="B393" t="s">
        <v>10</v>
      </c>
      <c r="C393" t="s">
        <v>22</v>
      </c>
      <c r="D393" t="s">
        <v>26</v>
      </c>
      <c r="E393">
        <v>0</v>
      </c>
      <c r="F393">
        <v>27.774334</v>
      </c>
      <c r="G393">
        <v>192.2</v>
      </c>
      <c r="H393">
        <v>201.98580000000001</v>
      </c>
      <c r="I393">
        <v>5.7</v>
      </c>
      <c r="J393">
        <v>111</v>
      </c>
      <c r="L393">
        <v>0</v>
      </c>
    </row>
    <row r="394" spans="1:12" x14ac:dyDescent="0.35">
      <c r="A394" s="1">
        <v>44440</v>
      </c>
      <c r="B394" t="s">
        <v>10</v>
      </c>
      <c r="C394" t="s">
        <v>23</v>
      </c>
      <c r="D394" t="s">
        <v>26</v>
      </c>
      <c r="E394">
        <v>0</v>
      </c>
      <c r="F394">
        <v>31.379000000000001</v>
      </c>
      <c r="G394">
        <v>77.099999999999994</v>
      </c>
      <c r="H394">
        <v>201.98580000000001</v>
      </c>
      <c r="I394">
        <v>5.7</v>
      </c>
      <c r="J394">
        <v>111</v>
      </c>
      <c r="L394">
        <v>0</v>
      </c>
    </row>
    <row r="395" spans="1:12" x14ac:dyDescent="0.35">
      <c r="A395" s="1">
        <v>44440</v>
      </c>
      <c r="B395" t="s">
        <v>10</v>
      </c>
      <c r="C395" t="s">
        <v>24</v>
      </c>
      <c r="D395" t="s">
        <v>26</v>
      </c>
      <c r="E395">
        <v>0</v>
      </c>
      <c r="F395">
        <v>34.679333</v>
      </c>
      <c r="G395">
        <v>94.7</v>
      </c>
      <c r="H395">
        <v>201.98580000000001</v>
      </c>
      <c r="I395">
        <v>5.7</v>
      </c>
      <c r="J395">
        <v>111</v>
      </c>
      <c r="L395">
        <v>0</v>
      </c>
    </row>
    <row r="396" spans="1:12" x14ac:dyDescent="0.35">
      <c r="A396" s="1">
        <v>44440</v>
      </c>
      <c r="B396" t="s">
        <v>25</v>
      </c>
      <c r="C396" t="s">
        <v>11</v>
      </c>
      <c r="D396" t="s">
        <v>26</v>
      </c>
      <c r="E396">
        <v>0</v>
      </c>
      <c r="F396">
        <v>27.169668000000001</v>
      </c>
      <c r="G396">
        <v>129.19999999999999</v>
      </c>
      <c r="H396">
        <v>201.98580000000001</v>
      </c>
      <c r="I396">
        <v>5.7</v>
      </c>
      <c r="J396">
        <v>111</v>
      </c>
      <c r="L396">
        <v>0</v>
      </c>
    </row>
    <row r="397" spans="1:12" x14ac:dyDescent="0.35">
      <c r="A397" s="1">
        <v>44440</v>
      </c>
      <c r="B397" t="s">
        <v>25</v>
      </c>
      <c r="C397" t="s">
        <v>12</v>
      </c>
      <c r="D397" t="s">
        <v>26</v>
      </c>
      <c r="E397">
        <v>0</v>
      </c>
      <c r="F397">
        <v>27.179333</v>
      </c>
      <c r="G397">
        <v>210.40001000000001</v>
      </c>
      <c r="H397">
        <v>201.98580000000001</v>
      </c>
      <c r="I397">
        <v>5.7</v>
      </c>
      <c r="J397">
        <v>111</v>
      </c>
      <c r="L397">
        <v>0</v>
      </c>
    </row>
    <row r="398" spans="1:12" x14ac:dyDescent="0.35">
      <c r="A398" s="1">
        <v>44440</v>
      </c>
      <c r="B398" t="s">
        <v>25</v>
      </c>
      <c r="C398" t="s">
        <v>14</v>
      </c>
      <c r="D398" t="s">
        <v>26</v>
      </c>
      <c r="E398">
        <v>0</v>
      </c>
      <c r="F398">
        <v>28.067999</v>
      </c>
      <c r="G398">
        <v>291.19997999999998</v>
      </c>
      <c r="H398">
        <v>201.98580000000001</v>
      </c>
      <c r="I398">
        <v>5.7</v>
      </c>
      <c r="J398">
        <v>111</v>
      </c>
      <c r="L398">
        <v>0</v>
      </c>
    </row>
    <row r="399" spans="1:12" x14ac:dyDescent="0.35">
      <c r="A399" s="1">
        <v>44440</v>
      </c>
      <c r="B399" t="s">
        <v>25</v>
      </c>
      <c r="C399" t="s">
        <v>16</v>
      </c>
      <c r="D399" t="s">
        <v>26</v>
      </c>
      <c r="E399">
        <v>0</v>
      </c>
      <c r="F399">
        <v>28.723665</v>
      </c>
      <c r="G399">
        <v>186.2</v>
      </c>
      <c r="H399">
        <v>201.98580000000001</v>
      </c>
      <c r="I399">
        <v>5.7</v>
      </c>
      <c r="J399">
        <v>111</v>
      </c>
      <c r="L399">
        <v>0</v>
      </c>
    </row>
    <row r="400" spans="1:12" x14ac:dyDescent="0.35">
      <c r="A400" s="1">
        <v>44440</v>
      </c>
      <c r="B400" t="s">
        <v>25</v>
      </c>
      <c r="C400" t="s">
        <v>24</v>
      </c>
      <c r="D400" t="s">
        <v>26</v>
      </c>
      <c r="E400">
        <v>0</v>
      </c>
      <c r="F400">
        <v>34.679333</v>
      </c>
      <c r="G400">
        <v>94.7</v>
      </c>
      <c r="H400">
        <v>201.98580000000001</v>
      </c>
      <c r="I400">
        <v>5.7</v>
      </c>
      <c r="J400">
        <v>111</v>
      </c>
      <c r="L400">
        <v>0</v>
      </c>
    </row>
    <row r="401" spans="1:12" x14ac:dyDescent="0.35">
      <c r="A401" s="1">
        <v>44470</v>
      </c>
      <c r="B401" t="s">
        <v>10</v>
      </c>
      <c r="C401" t="s">
        <v>11</v>
      </c>
      <c r="D401">
        <f>AVERAGE(882,828,830,853)</f>
        <v>848.25</v>
      </c>
      <c r="E401">
        <v>0</v>
      </c>
      <c r="F401">
        <v>27.138807</v>
      </c>
      <c r="G401">
        <v>238.5</v>
      </c>
      <c r="H401">
        <v>201.0899</v>
      </c>
      <c r="I401">
        <v>7.6</v>
      </c>
      <c r="J401">
        <v>111</v>
      </c>
      <c r="L401">
        <v>0</v>
      </c>
    </row>
    <row r="402" spans="1:12" x14ac:dyDescent="0.35">
      <c r="A402" s="1">
        <v>44470</v>
      </c>
      <c r="B402" t="s">
        <v>10</v>
      </c>
      <c r="C402" t="s">
        <v>12</v>
      </c>
      <c r="D402">
        <f>AVERAGE(837,833,900,917)</f>
        <v>871.75</v>
      </c>
      <c r="E402">
        <v>0</v>
      </c>
      <c r="F402">
        <v>27.622451999999999</v>
      </c>
      <c r="G402">
        <v>385.9</v>
      </c>
      <c r="H402">
        <v>201.0899</v>
      </c>
      <c r="I402">
        <v>7.6</v>
      </c>
      <c r="J402">
        <v>111</v>
      </c>
      <c r="L402">
        <v>0</v>
      </c>
    </row>
    <row r="403" spans="1:12" x14ac:dyDescent="0.35">
      <c r="A403" s="1">
        <v>44470</v>
      </c>
      <c r="B403" t="s">
        <v>10</v>
      </c>
      <c r="C403" t="s">
        <v>13</v>
      </c>
      <c r="D403">
        <f>AVERAGE(815,795,795)</f>
        <v>801.66666666666663</v>
      </c>
      <c r="E403">
        <v>0</v>
      </c>
      <c r="F403">
        <v>18.970274</v>
      </c>
      <c r="G403">
        <v>301.8</v>
      </c>
      <c r="H403">
        <v>201.0899</v>
      </c>
      <c r="I403">
        <v>7.6</v>
      </c>
      <c r="J403">
        <v>111</v>
      </c>
      <c r="L403">
        <v>0</v>
      </c>
    </row>
    <row r="404" spans="1:12" x14ac:dyDescent="0.35">
      <c r="A404" s="1">
        <v>44470</v>
      </c>
      <c r="B404" t="s">
        <v>10</v>
      </c>
      <c r="C404" t="s">
        <v>14</v>
      </c>
      <c r="D404">
        <f>AVERAGE(850,840,900)</f>
        <v>863.33333333333337</v>
      </c>
      <c r="E404">
        <v>0</v>
      </c>
      <c r="F404">
        <v>28.396227</v>
      </c>
      <c r="G404">
        <v>419.19997999999998</v>
      </c>
      <c r="H404">
        <v>201.0899</v>
      </c>
      <c r="I404">
        <v>7.6</v>
      </c>
      <c r="J404">
        <v>111</v>
      </c>
      <c r="L404">
        <v>0</v>
      </c>
    </row>
    <row r="405" spans="1:12" x14ac:dyDescent="0.35">
      <c r="A405" s="1">
        <v>44470</v>
      </c>
      <c r="B405" t="s">
        <v>10</v>
      </c>
      <c r="C405" t="s">
        <v>15</v>
      </c>
      <c r="D405">
        <f>AVERAGE(905,820,830,810)</f>
        <v>841.25</v>
      </c>
      <c r="E405">
        <v>0</v>
      </c>
      <c r="F405">
        <v>28.889127999999999</v>
      </c>
      <c r="G405">
        <v>406.2</v>
      </c>
      <c r="H405">
        <v>201.0899</v>
      </c>
      <c r="I405">
        <v>7.6</v>
      </c>
      <c r="J405">
        <v>111</v>
      </c>
      <c r="L405">
        <v>0</v>
      </c>
    </row>
    <row r="406" spans="1:12" x14ac:dyDescent="0.35">
      <c r="A406" s="1">
        <v>44470</v>
      </c>
      <c r="B406" t="s">
        <v>10</v>
      </c>
      <c r="C406" t="s">
        <v>16</v>
      </c>
      <c r="D406">
        <f>AVERAGE(830,837,875,875)</f>
        <v>854.25</v>
      </c>
      <c r="E406">
        <v>0</v>
      </c>
      <c r="F406">
        <v>27.713450999999999</v>
      </c>
      <c r="G406">
        <v>261.7</v>
      </c>
      <c r="H406">
        <v>201.0899</v>
      </c>
      <c r="I406">
        <v>7.6</v>
      </c>
      <c r="J406">
        <v>111</v>
      </c>
      <c r="L406">
        <v>0</v>
      </c>
    </row>
    <row r="407" spans="1:12" x14ac:dyDescent="0.35">
      <c r="A407" s="1">
        <v>44470</v>
      </c>
      <c r="B407" t="s">
        <v>10</v>
      </c>
      <c r="C407" t="s">
        <v>17</v>
      </c>
      <c r="D407">
        <f>AVERAGE(883,820,816)</f>
        <v>839.66666666666663</v>
      </c>
      <c r="E407">
        <v>0</v>
      </c>
      <c r="F407">
        <v>29.188257</v>
      </c>
      <c r="G407">
        <v>373</v>
      </c>
      <c r="H407">
        <v>201.0899</v>
      </c>
      <c r="I407">
        <v>7.6</v>
      </c>
      <c r="J407">
        <v>111</v>
      </c>
      <c r="L407">
        <v>0</v>
      </c>
    </row>
    <row r="408" spans="1:12" x14ac:dyDescent="0.35">
      <c r="A408" s="1">
        <v>44470</v>
      </c>
      <c r="B408" t="s">
        <v>10</v>
      </c>
      <c r="C408" t="s">
        <v>18</v>
      </c>
      <c r="D408">
        <f>AVERAGE(775,783,775,815)</f>
        <v>787</v>
      </c>
      <c r="E408">
        <v>0</v>
      </c>
      <c r="F408">
        <v>28.482064999999999</v>
      </c>
      <c r="G408">
        <v>337.5</v>
      </c>
      <c r="H408">
        <v>201.0899</v>
      </c>
      <c r="I408">
        <v>7.6</v>
      </c>
      <c r="J408">
        <v>111</v>
      </c>
      <c r="L408">
        <v>0</v>
      </c>
    </row>
    <row r="409" spans="1:12" x14ac:dyDescent="0.35">
      <c r="A409" s="1">
        <v>44470</v>
      </c>
      <c r="B409" t="s">
        <v>10</v>
      </c>
      <c r="C409" t="s">
        <v>19</v>
      </c>
      <c r="D409">
        <f>AVERAGE(900,800,830,835)</f>
        <v>841.25</v>
      </c>
      <c r="E409">
        <v>0</v>
      </c>
      <c r="F409">
        <v>29.133386999999999</v>
      </c>
      <c r="G409">
        <v>378</v>
      </c>
      <c r="H409">
        <v>201.0899</v>
      </c>
      <c r="I409">
        <v>7.6</v>
      </c>
      <c r="J409">
        <v>111</v>
      </c>
      <c r="L409">
        <v>0</v>
      </c>
    </row>
    <row r="410" spans="1:12" x14ac:dyDescent="0.35">
      <c r="A410" s="1">
        <v>44470</v>
      </c>
      <c r="B410" t="s">
        <v>10</v>
      </c>
      <c r="C410" t="s">
        <v>20</v>
      </c>
      <c r="D410">
        <f>AVERAGE(805)</f>
        <v>805</v>
      </c>
      <c r="E410">
        <v>0</v>
      </c>
      <c r="F410">
        <v>28.694773000000001</v>
      </c>
      <c r="G410">
        <v>284.2</v>
      </c>
      <c r="H410">
        <v>201.0899</v>
      </c>
      <c r="I410">
        <v>7.6</v>
      </c>
      <c r="J410">
        <v>111</v>
      </c>
      <c r="L410">
        <v>0</v>
      </c>
    </row>
    <row r="411" spans="1:12" x14ac:dyDescent="0.35">
      <c r="A411" s="1">
        <v>44470</v>
      </c>
      <c r="B411" t="s">
        <v>10</v>
      </c>
      <c r="C411" t="s">
        <v>21</v>
      </c>
      <c r="D411">
        <f>AVERAGE(875,810,810)</f>
        <v>831.66666666666663</v>
      </c>
      <c r="E411">
        <v>0</v>
      </c>
      <c r="F411">
        <v>28.478386</v>
      </c>
      <c r="G411">
        <v>284.40001999999998</v>
      </c>
      <c r="H411">
        <v>201.0899</v>
      </c>
      <c r="I411">
        <v>7.6</v>
      </c>
      <c r="J411">
        <v>111</v>
      </c>
      <c r="L411">
        <v>0</v>
      </c>
    </row>
    <row r="412" spans="1:12" x14ac:dyDescent="0.35">
      <c r="A412" s="1">
        <v>44470</v>
      </c>
      <c r="B412" t="s">
        <v>10</v>
      </c>
      <c r="C412" t="s">
        <v>22</v>
      </c>
      <c r="D412">
        <f>AVERAGE(850,830,830,900)</f>
        <v>852.5</v>
      </c>
      <c r="E412">
        <v>0</v>
      </c>
      <c r="F412">
        <v>27.94971</v>
      </c>
      <c r="G412">
        <v>183.3</v>
      </c>
      <c r="H412">
        <v>201.0899</v>
      </c>
      <c r="I412">
        <v>7.6</v>
      </c>
      <c r="J412">
        <v>111</v>
      </c>
      <c r="L412">
        <v>0</v>
      </c>
    </row>
    <row r="413" spans="1:12" x14ac:dyDescent="0.35">
      <c r="A413" s="1">
        <v>44470</v>
      </c>
      <c r="B413" t="s">
        <v>10</v>
      </c>
      <c r="C413" t="s">
        <v>23</v>
      </c>
      <c r="D413">
        <f>AVERAGE(900,830,820,820)</f>
        <v>842.5</v>
      </c>
      <c r="E413">
        <v>0</v>
      </c>
      <c r="F413">
        <v>30.693356000000001</v>
      </c>
      <c r="G413">
        <v>130</v>
      </c>
      <c r="H413">
        <v>201.0899</v>
      </c>
      <c r="I413">
        <v>7.6</v>
      </c>
      <c r="J413">
        <v>111</v>
      </c>
      <c r="L413">
        <v>0</v>
      </c>
    </row>
    <row r="414" spans="1:12" x14ac:dyDescent="0.35">
      <c r="A414" s="1">
        <v>44470</v>
      </c>
      <c r="B414" t="s">
        <v>10</v>
      </c>
      <c r="C414" t="s">
        <v>24</v>
      </c>
      <c r="D414">
        <f>AVERAGE(910,820,840,820)</f>
        <v>847.5</v>
      </c>
      <c r="E414">
        <v>0</v>
      </c>
      <c r="F414">
        <v>32.333416</v>
      </c>
      <c r="G414">
        <v>198.1</v>
      </c>
      <c r="H414">
        <v>201.0899</v>
      </c>
      <c r="I414">
        <v>7.6</v>
      </c>
      <c r="J414">
        <v>111</v>
      </c>
      <c r="L414">
        <v>0</v>
      </c>
    </row>
    <row r="415" spans="1:12" x14ac:dyDescent="0.35">
      <c r="A415" s="1">
        <v>44470</v>
      </c>
      <c r="B415" t="s">
        <v>25</v>
      </c>
      <c r="C415" t="s">
        <v>11</v>
      </c>
      <c r="D415">
        <f>AVERAGE(1233,1094,1180,1217)</f>
        <v>1181</v>
      </c>
      <c r="E415">
        <v>0</v>
      </c>
      <c r="F415">
        <v>27.138807</v>
      </c>
      <c r="G415">
        <v>238.5</v>
      </c>
      <c r="H415">
        <v>201.0899</v>
      </c>
      <c r="I415">
        <v>7.6</v>
      </c>
      <c r="J415">
        <v>111</v>
      </c>
      <c r="L415">
        <v>0</v>
      </c>
    </row>
    <row r="416" spans="1:12" x14ac:dyDescent="0.35">
      <c r="A416" s="1">
        <v>44470</v>
      </c>
      <c r="B416" t="s">
        <v>25</v>
      </c>
      <c r="C416" t="s">
        <v>12</v>
      </c>
      <c r="D416">
        <f>AVERAGE(1200,1300,1100,1250)</f>
        <v>1212.5</v>
      </c>
      <c r="E416">
        <v>0</v>
      </c>
      <c r="F416">
        <v>27.622451999999999</v>
      </c>
      <c r="G416">
        <v>385.9</v>
      </c>
      <c r="H416">
        <v>201.0899</v>
      </c>
      <c r="I416">
        <v>7.6</v>
      </c>
      <c r="J416">
        <v>111</v>
      </c>
      <c r="L416">
        <v>0</v>
      </c>
    </row>
    <row r="417" spans="1:12" x14ac:dyDescent="0.35">
      <c r="A417" s="1">
        <v>44470</v>
      </c>
      <c r="B417" t="s">
        <v>25</v>
      </c>
      <c r="C417" t="s">
        <v>14</v>
      </c>
      <c r="D417">
        <f>AVERAGE(1100,1100,1300)</f>
        <v>1166.6666666666667</v>
      </c>
      <c r="E417">
        <v>0</v>
      </c>
      <c r="F417">
        <v>28.396227</v>
      </c>
      <c r="G417">
        <v>419.19997999999998</v>
      </c>
      <c r="H417">
        <v>201.0899</v>
      </c>
      <c r="I417">
        <v>7.6</v>
      </c>
      <c r="J417">
        <v>111</v>
      </c>
      <c r="L417">
        <v>0</v>
      </c>
    </row>
    <row r="418" spans="1:12" x14ac:dyDescent="0.35">
      <c r="A418" s="1">
        <v>44470</v>
      </c>
      <c r="B418" t="s">
        <v>25</v>
      </c>
      <c r="C418" t="s">
        <v>16</v>
      </c>
      <c r="D418">
        <f>AVERAGE(1025,1112,1100,1225)</f>
        <v>1115.5</v>
      </c>
      <c r="E418">
        <v>0</v>
      </c>
      <c r="F418">
        <v>27.713450999999999</v>
      </c>
      <c r="G418">
        <v>261.7</v>
      </c>
      <c r="H418">
        <v>201.0899</v>
      </c>
      <c r="I418">
        <v>7.6</v>
      </c>
      <c r="J418">
        <v>111</v>
      </c>
      <c r="L418">
        <v>0</v>
      </c>
    </row>
    <row r="419" spans="1:12" x14ac:dyDescent="0.35">
      <c r="A419" s="1">
        <v>44470</v>
      </c>
      <c r="B419" t="s">
        <v>25</v>
      </c>
      <c r="C419" t="s">
        <v>24</v>
      </c>
      <c r="D419">
        <f>AVERAGE(1200,1250,1263,1300)</f>
        <v>1253.25</v>
      </c>
      <c r="E419">
        <v>0</v>
      </c>
      <c r="F419">
        <v>32.333416</v>
      </c>
      <c r="G419">
        <v>198.1</v>
      </c>
      <c r="H419">
        <v>201.0899</v>
      </c>
      <c r="I419">
        <v>7.6</v>
      </c>
      <c r="J419">
        <v>111</v>
      </c>
      <c r="L419">
        <v>0</v>
      </c>
    </row>
    <row r="420" spans="1:12" x14ac:dyDescent="0.35">
      <c r="A420" s="1">
        <v>44501</v>
      </c>
      <c r="B420" t="s">
        <v>10</v>
      </c>
      <c r="C420" t="s">
        <v>11</v>
      </c>
      <c r="D420">
        <f>AVERAGE(1083,1056,984,927,924)</f>
        <v>994.8</v>
      </c>
      <c r="E420">
        <v>1</v>
      </c>
      <c r="F420">
        <v>25.859669</v>
      </c>
      <c r="G420">
        <v>290.5</v>
      </c>
      <c r="H420">
        <v>201.85820000000001</v>
      </c>
      <c r="I420">
        <v>9.9</v>
      </c>
      <c r="J420">
        <v>111</v>
      </c>
      <c r="L420">
        <v>0</v>
      </c>
    </row>
    <row r="421" spans="1:12" x14ac:dyDescent="0.35">
      <c r="A421" s="1">
        <v>44501</v>
      </c>
      <c r="B421" t="s">
        <v>10</v>
      </c>
      <c r="C421" t="s">
        <v>12</v>
      </c>
      <c r="D421">
        <f>AVERAGE(960,981,1008,1090,1088)</f>
        <v>1025.4000000000001</v>
      </c>
      <c r="E421">
        <v>1</v>
      </c>
      <c r="F421">
        <v>26.589333</v>
      </c>
      <c r="G421">
        <v>374.8</v>
      </c>
      <c r="H421">
        <v>201.85820000000001</v>
      </c>
      <c r="I421">
        <v>9.9</v>
      </c>
      <c r="J421">
        <v>111</v>
      </c>
      <c r="L421">
        <v>0</v>
      </c>
    </row>
    <row r="422" spans="1:12" x14ac:dyDescent="0.35">
      <c r="A422" s="1">
        <v>44501</v>
      </c>
      <c r="B422" t="s">
        <v>10</v>
      </c>
      <c r="C422" t="s">
        <v>13</v>
      </c>
      <c r="D422">
        <f>AVERAGE(1025,1025,990,940,920)</f>
        <v>980</v>
      </c>
      <c r="E422">
        <v>1</v>
      </c>
      <c r="F422">
        <v>18.233499999999999</v>
      </c>
      <c r="G422">
        <v>297.10000000000002</v>
      </c>
      <c r="H422">
        <v>201.85820000000001</v>
      </c>
      <c r="I422">
        <v>9.9</v>
      </c>
      <c r="J422">
        <v>111</v>
      </c>
      <c r="L422">
        <v>0</v>
      </c>
    </row>
    <row r="423" spans="1:12" x14ac:dyDescent="0.35">
      <c r="A423" s="1">
        <v>44501</v>
      </c>
      <c r="B423" t="s">
        <v>10</v>
      </c>
      <c r="C423" t="s">
        <v>14</v>
      </c>
      <c r="D423">
        <f>AVERAGE(980,960,1000,1033,1075)</f>
        <v>1009.6</v>
      </c>
      <c r="E423">
        <v>1</v>
      </c>
      <c r="F423">
        <v>27.417999999999999</v>
      </c>
      <c r="G423">
        <v>543.20000000000005</v>
      </c>
      <c r="H423">
        <v>201.85820000000001</v>
      </c>
      <c r="I423">
        <v>9.9</v>
      </c>
      <c r="J423">
        <v>111</v>
      </c>
      <c r="L423">
        <v>0</v>
      </c>
    </row>
    <row r="424" spans="1:12" x14ac:dyDescent="0.35">
      <c r="A424" s="1">
        <v>44501</v>
      </c>
      <c r="B424" t="s">
        <v>10</v>
      </c>
      <c r="C424" t="s">
        <v>15</v>
      </c>
      <c r="D424">
        <f>AVERAGE(1103,1035,987,965,965)</f>
        <v>1011</v>
      </c>
      <c r="E424">
        <v>1</v>
      </c>
      <c r="F424">
        <v>28.031334000000001</v>
      </c>
      <c r="G424">
        <v>538</v>
      </c>
      <c r="H424">
        <v>201.85820000000001</v>
      </c>
      <c r="I424">
        <v>9.9</v>
      </c>
      <c r="J424">
        <v>111</v>
      </c>
      <c r="L424">
        <v>0</v>
      </c>
    </row>
    <row r="425" spans="1:12" x14ac:dyDescent="0.35">
      <c r="A425" s="1">
        <v>44501</v>
      </c>
      <c r="B425" t="s">
        <v>10</v>
      </c>
      <c r="C425" t="s">
        <v>16</v>
      </c>
      <c r="D425">
        <f>AVERAGE(920,967,1000,1046,1115)</f>
        <v>1009.6</v>
      </c>
      <c r="E425">
        <v>1</v>
      </c>
      <c r="F425">
        <v>25.883665000000001</v>
      </c>
      <c r="G425">
        <v>365.19997999999998</v>
      </c>
      <c r="H425">
        <v>201.85820000000001</v>
      </c>
      <c r="I425">
        <v>9.9</v>
      </c>
      <c r="J425">
        <v>111</v>
      </c>
      <c r="L425">
        <v>0</v>
      </c>
    </row>
    <row r="426" spans="1:12" x14ac:dyDescent="0.35">
      <c r="A426" s="1">
        <v>44501</v>
      </c>
      <c r="B426" t="s">
        <v>10</v>
      </c>
      <c r="C426" t="s">
        <v>17</v>
      </c>
      <c r="D426">
        <f>AVERAGE(1050,1033,987,950,950)</f>
        <v>994</v>
      </c>
      <c r="E426">
        <v>1</v>
      </c>
      <c r="F426">
        <v>28.162666000000002</v>
      </c>
      <c r="G426">
        <v>394.2</v>
      </c>
      <c r="H426">
        <v>201.85820000000001</v>
      </c>
      <c r="I426">
        <v>9.9</v>
      </c>
      <c r="J426">
        <v>111</v>
      </c>
      <c r="L426">
        <v>0</v>
      </c>
    </row>
    <row r="427" spans="1:12" x14ac:dyDescent="0.35">
      <c r="A427" s="1">
        <v>44501</v>
      </c>
      <c r="B427" t="s">
        <v>10</v>
      </c>
      <c r="C427" t="s">
        <v>18</v>
      </c>
      <c r="D427">
        <f>AVERAGE(916,958,931,913,975)</f>
        <v>938.6</v>
      </c>
      <c r="E427">
        <v>1</v>
      </c>
      <c r="F427">
        <v>27.935666999999999</v>
      </c>
      <c r="G427">
        <v>533.9</v>
      </c>
      <c r="H427">
        <v>201.85820000000001</v>
      </c>
      <c r="I427">
        <v>9.9</v>
      </c>
      <c r="J427">
        <v>111</v>
      </c>
      <c r="L427">
        <v>0</v>
      </c>
    </row>
    <row r="428" spans="1:12" x14ac:dyDescent="0.35">
      <c r="A428" s="1">
        <v>44501</v>
      </c>
      <c r="B428" t="s">
        <v>10</v>
      </c>
      <c r="C428" t="s">
        <v>19</v>
      </c>
      <c r="D428">
        <f>AVERAGE(1080,1065,990,930,970)</f>
        <v>1007</v>
      </c>
      <c r="E428">
        <v>1</v>
      </c>
      <c r="F428">
        <v>28.496666000000001</v>
      </c>
      <c r="G428">
        <v>549.4</v>
      </c>
      <c r="H428">
        <v>201.85820000000001</v>
      </c>
      <c r="I428">
        <v>9.9</v>
      </c>
      <c r="J428">
        <v>111</v>
      </c>
      <c r="L428">
        <v>0</v>
      </c>
    </row>
    <row r="429" spans="1:12" x14ac:dyDescent="0.35">
      <c r="A429" s="1">
        <v>44501</v>
      </c>
      <c r="B429" t="s">
        <v>10</v>
      </c>
      <c r="C429" t="s">
        <v>20</v>
      </c>
      <c r="D429">
        <f>AVERAGE(820,900,1000,1000,1020)</f>
        <v>948</v>
      </c>
      <c r="E429">
        <v>1</v>
      </c>
      <c r="F429">
        <v>28.216332999999999</v>
      </c>
      <c r="G429">
        <v>473.2</v>
      </c>
      <c r="H429">
        <v>201.85820000000001</v>
      </c>
      <c r="I429">
        <v>9.9</v>
      </c>
      <c r="J429">
        <v>111</v>
      </c>
      <c r="L429">
        <v>0</v>
      </c>
    </row>
    <row r="430" spans="1:12" x14ac:dyDescent="0.35">
      <c r="A430" s="1">
        <v>44501</v>
      </c>
      <c r="B430" t="s">
        <v>10</v>
      </c>
      <c r="C430" t="s">
        <v>21</v>
      </c>
      <c r="D430">
        <f>AVERAGE(1055,1030,985,965,950)</f>
        <v>997</v>
      </c>
      <c r="E430">
        <v>1</v>
      </c>
      <c r="F430">
        <v>28.07</v>
      </c>
      <c r="G430">
        <v>420.10003999999998</v>
      </c>
      <c r="H430">
        <v>201.85820000000001</v>
      </c>
      <c r="I430">
        <v>9.9</v>
      </c>
      <c r="J430">
        <v>111</v>
      </c>
      <c r="L430">
        <v>0</v>
      </c>
    </row>
    <row r="431" spans="1:12" x14ac:dyDescent="0.35">
      <c r="A431" s="1">
        <v>44501</v>
      </c>
      <c r="B431" t="s">
        <v>10</v>
      </c>
      <c r="C431" t="s">
        <v>22</v>
      </c>
      <c r="D431">
        <f>AVERAGE(960,1000,1000,1060,1070)</f>
        <v>1018</v>
      </c>
      <c r="E431">
        <v>1</v>
      </c>
      <c r="F431">
        <v>27.834333000000001</v>
      </c>
      <c r="G431">
        <v>302.10000000000002</v>
      </c>
      <c r="H431">
        <v>201.85820000000001</v>
      </c>
      <c r="I431">
        <v>9.9</v>
      </c>
      <c r="J431">
        <v>111</v>
      </c>
      <c r="L431">
        <v>0</v>
      </c>
    </row>
    <row r="432" spans="1:12" x14ac:dyDescent="0.35">
      <c r="A432" s="1">
        <v>44501</v>
      </c>
      <c r="B432" t="s">
        <v>10</v>
      </c>
      <c r="C432" t="s">
        <v>23</v>
      </c>
      <c r="D432">
        <f>AVERAGE(1017,1117,1005,970,970)</f>
        <v>1015.8</v>
      </c>
      <c r="E432">
        <v>1</v>
      </c>
      <c r="F432">
        <v>29.817333000000001</v>
      </c>
      <c r="G432">
        <v>223.40001000000001</v>
      </c>
      <c r="H432">
        <v>201.85820000000001</v>
      </c>
      <c r="I432">
        <v>9.9</v>
      </c>
      <c r="J432">
        <v>111</v>
      </c>
      <c r="L432">
        <v>0</v>
      </c>
    </row>
    <row r="433" spans="1:12" x14ac:dyDescent="0.35">
      <c r="A433" s="1">
        <v>44501</v>
      </c>
      <c r="B433" t="s">
        <v>10</v>
      </c>
      <c r="C433" t="s">
        <v>24</v>
      </c>
      <c r="D433">
        <f>AVERAGE(945,1000,1005,1083,1090)</f>
        <v>1024.5999999999999</v>
      </c>
      <c r="E433">
        <v>1</v>
      </c>
      <c r="F433">
        <v>29.170999999999999</v>
      </c>
      <c r="G433">
        <v>381.3</v>
      </c>
      <c r="H433">
        <v>201.85820000000001</v>
      </c>
      <c r="I433">
        <v>9.9</v>
      </c>
      <c r="J433">
        <v>111</v>
      </c>
      <c r="L433">
        <v>0</v>
      </c>
    </row>
    <row r="434" spans="1:12" x14ac:dyDescent="0.35">
      <c r="A434" s="1">
        <v>44501</v>
      </c>
      <c r="B434" t="s">
        <v>25</v>
      </c>
      <c r="C434" t="s">
        <v>11</v>
      </c>
      <c r="D434">
        <f>AVERAGE(1175,1163,1180,1116,1263)</f>
        <v>1179.4000000000001</v>
      </c>
      <c r="E434">
        <v>1</v>
      </c>
      <c r="F434">
        <v>25.859669</v>
      </c>
      <c r="G434">
        <v>290.5</v>
      </c>
      <c r="H434">
        <v>201.85820000000001</v>
      </c>
      <c r="I434">
        <v>9.9</v>
      </c>
      <c r="J434">
        <v>111</v>
      </c>
      <c r="L434">
        <v>0</v>
      </c>
    </row>
    <row r="435" spans="1:12" x14ac:dyDescent="0.35">
      <c r="A435" s="1">
        <v>44501</v>
      </c>
      <c r="B435" t="s">
        <v>25</v>
      </c>
      <c r="C435" t="s">
        <v>12</v>
      </c>
      <c r="D435">
        <f>AVERAGE(1366,1292,1333,1343,1350)</f>
        <v>1336.8</v>
      </c>
      <c r="E435">
        <v>1</v>
      </c>
      <c r="F435">
        <v>26.589333</v>
      </c>
      <c r="G435">
        <v>374.8</v>
      </c>
      <c r="H435">
        <v>201.85820000000001</v>
      </c>
      <c r="I435">
        <v>9.9</v>
      </c>
      <c r="J435">
        <v>111</v>
      </c>
      <c r="L435">
        <v>0</v>
      </c>
    </row>
    <row r="436" spans="1:12" x14ac:dyDescent="0.35">
      <c r="A436" s="1">
        <v>44501</v>
      </c>
      <c r="B436" t="s">
        <v>25</v>
      </c>
      <c r="C436" t="s">
        <v>14</v>
      </c>
      <c r="D436">
        <f>AVERAGE(1200,1200,1000,1200,1250)</f>
        <v>1170</v>
      </c>
      <c r="E436">
        <v>1</v>
      </c>
      <c r="F436">
        <v>27.417999999999999</v>
      </c>
      <c r="G436">
        <v>543.20000000000005</v>
      </c>
      <c r="H436">
        <v>201.85820000000001</v>
      </c>
      <c r="I436">
        <v>9.9</v>
      </c>
      <c r="J436">
        <v>111</v>
      </c>
      <c r="L436">
        <v>0</v>
      </c>
    </row>
    <row r="437" spans="1:12" x14ac:dyDescent="0.35">
      <c r="A437" s="1">
        <v>44501</v>
      </c>
      <c r="B437" t="s">
        <v>25</v>
      </c>
      <c r="C437" t="s">
        <v>16</v>
      </c>
      <c r="D437">
        <f>AVERAGE(1341,1241,1258,1234,1087)</f>
        <v>1232.2</v>
      </c>
      <c r="E437">
        <v>1</v>
      </c>
      <c r="F437">
        <v>25.883665000000001</v>
      </c>
      <c r="G437">
        <v>365.19997999999998</v>
      </c>
      <c r="H437">
        <v>201.85820000000001</v>
      </c>
      <c r="I437">
        <v>9.9</v>
      </c>
      <c r="J437">
        <v>111</v>
      </c>
      <c r="L437">
        <v>0</v>
      </c>
    </row>
    <row r="438" spans="1:12" x14ac:dyDescent="0.35">
      <c r="A438" s="1">
        <v>44501</v>
      </c>
      <c r="B438" t="s">
        <v>25</v>
      </c>
      <c r="C438" t="s">
        <v>24</v>
      </c>
      <c r="D438">
        <f>AVERAGE(1350,1316,1250,1300,1300)</f>
        <v>1303.2</v>
      </c>
      <c r="E438">
        <v>1</v>
      </c>
      <c r="F438">
        <v>29.170999999999999</v>
      </c>
      <c r="G438">
        <v>381.3</v>
      </c>
      <c r="H438">
        <v>201.85820000000001</v>
      </c>
      <c r="I438">
        <v>9.9</v>
      </c>
      <c r="J438">
        <v>111</v>
      </c>
      <c r="L438">
        <v>0</v>
      </c>
    </row>
    <row r="439" spans="1:12" x14ac:dyDescent="0.35">
      <c r="A439" s="1">
        <v>44531</v>
      </c>
      <c r="B439" t="s">
        <v>10</v>
      </c>
      <c r="C439" t="s">
        <v>11</v>
      </c>
      <c r="D439">
        <f>AVERAGE(1132,1113,1057,1085)</f>
        <v>1096.75</v>
      </c>
      <c r="E439">
        <v>1</v>
      </c>
      <c r="F439">
        <v>27.158161</v>
      </c>
      <c r="G439">
        <v>44.7</v>
      </c>
      <c r="H439">
        <v>201.399</v>
      </c>
      <c r="I439">
        <v>12.1</v>
      </c>
      <c r="J439">
        <v>121</v>
      </c>
      <c r="L439">
        <v>0</v>
      </c>
    </row>
    <row r="440" spans="1:12" x14ac:dyDescent="0.35">
      <c r="A440" s="1">
        <v>44531</v>
      </c>
      <c r="B440" t="s">
        <v>10</v>
      </c>
      <c r="C440" t="s">
        <v>12</v>
      </c>
      <c r="D440">
        <f>AVERAGE(1106,1160,1175,1163)</f>
        <v>1151</v>
      </c>
      <c r="E440">
        <v>1</v>
      </c>
      <c r="F440">
        <v>28.377293000000002</v>
      </c>
      <c r="G440">
        <v>53.2</v>
      </c>
      <c r="H440">
        <v>201.399</v>
      </c>
      <c r="I440">
        <v>12.1</v>
      </c>
      <c r="J440">
        <v>121</v>
      </c>
      <c r="L440">
        <v>0</v>
      </c>
    </row>
    <row r="441" spans="1:12" x14ac:dyDescent="0.35">
      <c r="A441" s="1">
        <v>44531</v>
      </c>
      <c r="B441" t="s">
        <v>10</v>
      </c>
      <c r="C441" t="s">
        <v>13</v>
      </c>
      <c r="D441">
        <f>AVERAGE(1145,1130,1125,1035)</f>
        <v>1108.75</v>
      </c>
      <c r="E441">
        <v>1</v>
      </c>
      <c r="F441">
        <v>19.462209999999999</v>
      </c>
      <c r="G441">
        <v>61.600002000000003</v>
      </c>
      <c r="H441">
        <v>201.399</v>
      </c>
      <c r="I441">
        <v>12.1</v>
      </c>
      <c r="J441">
        <v>121</v>
      </c>
      <c r="L441">
        <v>0</v>
      </c>
    </row>
    <row r="442" spans="1:12" x14ac:dyDescent="0.35">
      <c r="A442" s="1">
        <v>44531</v>
      </c>
      <c r="B442" t="s">
        <v>10</v>
      </c>
      <c r="C442" t="s">
        <v>14</v>
      </c>
      <c r="D442">
        <f>AVERAGE(1100,1200,1116,1175)</f>
        <v>1147.75</v>
      </c>
      <c r="E442">
        <v>1</v>
      </c>
      <c r="F442">
        <v>30.138162999999999</v>
      </c>
      <c r="G442">
        <v>86.799994999999996</v>
      </c>
      <c r="H442">
        <v>201.399</v>
      </c>
      <c r="I442">
        <v>12.1</v>
      </c>
      <c r="J442">
        <v>121</v>
      </c>
      <c r="L442">
        <v>0</v>
      </c>
    </row>
    <row r="443" spans="1:12" x14ac:dyDescent="0.35">
      <c r="A443" s="1">
        <v>44531</v>
      </c>
      <c r="B443" t="s">
        <v>10</v>
      </c>
      <c r="C443" t="s">
        <v>15</v>
      </c>
      <c r="D443">
        <f>AVERAGE(1165,1170,1175,1110)</f>
        <v>1155</v>
      </c>
      <c r="E443">
        <v>1</v>
      </c>
      <c r="F443">
        <v>29.455259999999999</v>
      </c>
      <c r="G443">
        <v>184.8</v>
      </c>
      <c r="H443">
        <v>201.399</v>
      </c>
      <c r="I443">
        <v>12.1</v>
      </c>
      <c r="J443">
        <v>121</v>
      </c>
      <c r="L443">
        <v>0</v>
      </c>
    </row>
    <row r="444" spans="1:12" x14ac:dyDescent="0.35">
      <c r="A444" s="1">
        <v>44531</v>
      </c>
      <c r="B444" t="s">
        <v>10</v>
      </c>
      <c r="C444" t="s">
        <v>16</v>
      </c>
      <c r="D444">
        <f>AVERAGE(1105,1122,1125,1206)</f>
        <v>1139.5</v>
      </c>
      <c r="E444">
        <v>1</v>
      </c>
      <c r="F444">
        <v>24.919903000000001</v>
      </c>
      <c r="G444">
        <v>185.2</v>
      </c>
      <c r="H444">
        <v>201.399</v>
      </c>
      <c r="I444">
        <v>12.1</v>
      </c>
      <c r="J444">
        <v>121</v>
      </c>
      <c r="L444">
        <v>0</v>
      </c>
    </row>
    <row r="445" spans="1:12" x14ac:dyDescent="0.35">
      <c r="A445" s="1">
        <v>44531</v>
      </c>
      <c r="B445" t="s">
        <v>10</v>
      </c>
      <c r="C445" t="s">
        <v>17</v>
      </c>
      <c r="D445">
        <f>AVERAGE(1140,1100,1133,1053)</f>
        <v>1106.5</v>
      </c>
      <c r="E445">
        <v>1</v>
      </c>
      <c r="F445">
        <v>30.10116</v>
      </c>
      <c r="G445">
        <v>56.2</v>
      </c>
      <c r="H445">
        <v>201.399</v>
      </c>
      <c r="I445">
        <v>12.1</v>
      </c>
      <c r="J445">
        <v>121</v>
      </c>
      <c r="L445">
        <v>0</v>
      </c>
    </row>
    <row r="446" spans="1:12" x14ac:dyDescent="0.35">
      <c r="A446" s="1">
        <v>44531</v>
      </c>
      <c r="B446" t="s">
        <v>10</v>
      </c>
      <c r="C446" t="s">
        <v>18</v>
      </c>
      <c r="D446">
        <f>AVERAGE(1000,1013,1075,1038)</f>
        <v>1031.5</v>
      </c>
      <c r="E446">
        <v>1</v>
      </c>
      <c r="F446">
        <v>29.882066999999999</v>
      </c>
      <c r="G446">
        <v>102</v>
      </c>
      <c r="H446">
        <v>201.399</v>
      </c>
      <c r="I446">
        <v>12.1</v>
      </c>
      <c r="J446">
        <v>121</v>
      </c>
      <c r="L446">
        <v>0</v>
      </c>
    </row>
    <row r="447" spans="1:12" x14ac:dyDescent="0.35">
      <c r="A447" s="1">
        <v>44531</v>
      </c>
      <c r="B447" t="s">
        <v>10</v>
      </c>
      <c r="C447" t="s">
        <v>19</v>
      </c>
      <c r="D447">
        <f>AVERAGE(1110,1100,1115,1060)</f>
        <v>1096.25</v>
      </c>
      <c r="E447">
        <v>1</v>
      </c>
      <c r="F447">
        <v>31.180161999999999</v>
      </c>
      <c r="G447">
        <v>101.1</v>
      </c>
      <c r="H447">
        <v>201.399</v>
      </c>
      <c r="I447">
        <v>12.1</v>
      </c>
      <c r="J447">
        <v>121</v>
      </c>
      <c r="L447">
        <v>0</v>
      </c>
    </row>
    <row r="448" spans="1:12" x14ac:dyDescent="0.35">
      <c r="A448" s="1">
        <v>44531</v>
      </c>
      <c r="B448" t="s">
        <v>10</v>
      </c>
      <c r="C448" t="s">
        <v>20</v>
      </c>
      <c r="D448">
        <f>AVERAGE(1030,1040,1040,1045)</f>
        <v>1038.75</v>
      </c>
      <c r="E448">
        <v>1</v>
      </c>
      <c r="F448">
        <v>29.346385999999999</v>
      </c>
      <c r="G448">
        <v>83.100005999999993</v>
      </c>
      <c r="H448">
        <v>201.399</v>
      </c>
      <c r="I448">
        <v>12.1</v>
      </c>
      <c r="J448">
        <v>121</v>
      </c>
      <c r="L448">
        <v>0</v>
      </c>
    </row>
    <row r="449" spans="1:12" x14ac:dyDescent="0.35">
      <c r="A449" s="1">
        <v>44531</v>
      </c>
      <c r="B449" t="s">
        <v>10</v>
      </c>
      <c r="C449" t="s">
        <v>21</v>
      </c>
      <c r="D449">
        <f>AVERAGE(1125,1125,1100,1065)</f>
        <v>1103.75</v>
      </c>
      <c r="E449">
        <v>1</v>
      </c>
      <c r="F449">
        <v>28.896128000000001</v>
      </c>
      <c r="G449">
        <v>122.3</v>
      </c>
      <c r="H449">
        <v>201.399</v>
      </c>
      <c r="I449">
        <v>12.1</v>
      </c>
      <c r="J449">
        <v>121</v>
      </c>
      <c r="L449">
        <v>0</v>
      </c>
    </row>
    <row r="450" spans="1:12" x14ac:dyDescent="0.35">
      <c r="A450" s="1">
        <v>44531</v>
      </c>
      <c r="B450" t="s">
        <v>10</v>
      </c>
      <c r="C450" t="s">
        <v>22</v>
      </c>
      <c r="D450">
        <f>AVERAGE(1100,1150,1160,1170)</f>
        <v>1145</v>
      </c>
      <c r="E450">
        <v>1</v>
      </c>
      <c r="F450">
        <v>28.357775</v>
      </c>
      <c r="G450">
        <v>135.19999999999999</v>
      </c>
      <c r="H450">
        <v>201.399</v>
      </c>
      <c r="I450">
        <v>12.1</v>
      </c>
      <c r="J450">
        <v>121</v>
      </c>
      <c r="L450">
        <v>0</v>
      </c>
    </row>
    <row r="451" spans="1:12" x14ac:dyDescent="0.35">
      <c r="A451" s="1">
        <v>44531</v>
      </c>
      <c r="B451" t="s">
        <v>10</v>
      </c>
      <c r="C451" t="s">
        <v>23</v>
      </c>
      <c r="D451">
        <f>AVERAGE(1195,1185,1157,1115)</f>
        <v>1163</v>
      </c>
      <c r="E451">
        <v>1</v>
      </c>
      <c r="F451">
        <v>29.730453000000001</v>
      </c>
      <c r="G451">
        <v>125.700005</v>
      </c>
      <c r="H451">
        <v>201.399</v>
      </c>
      <c r="I451">
        <v>12.1</v>
      </c>
      <c r="J451">
        <v>121</v>
      </c>
      <c r="L451">
        <v>0</v>
      </c>
    </row>
    <row r="452" spans="1:12" x14ac:dyDescent="0.35">
      <c r="A452" s="1">
        <v>44531</v>
      </c>
      <c r="B452" t="s">
        <v>10</v>
      </c>
      <c r="C452" t="s">
        <v>24</v>
      </c>
      <c r="D452">
        <f>AVERAGE(1110,1175,1183,1180)</f>
        <v>1162</v>
      </c>
      <c r="E452">
        <v>1</v>
      </c>
      <c r="F452">
        <v>28.964064</v>
      </c>
      <c r="G452">
        <v>120.4</v>
      </c>
      <c r="H452">
        <v>201.399</v>
      </c>
      <c r="I452">
        <v>12.1</v>
      </c>
      <c r="J452">
        <v>121</v>
      </c>
      <c r="L452">
        <v>0</v>
      </c>
    </row>
    <row r="453" spans="1:12" x14ac:dyDescent="0.35">
      <c r="A453" s="1">
        <v>44531</v>
      </c>
      <c r="B453" t="s">
        <v>25</v>
      </c>
      <c r="C453" t="s">
        <v>11</v>
      </c>
      <c r="D453">
        <f>AVERAGE(1349,1392,1509,1472)</f>
        <v>1430.5</v>
      </c>
      <c r="E453">
        <v>1</v>
      </c>
      <c r="F453">
        <v>27.158161</v>
      </c>
      <c r="G453">
        <v>44.7</v>
      </c>
      <c r="H453">
        <v>201.399</v>
      </c>
      <c r="I453">
        <v>12.1</v>
      </c>
      <c r="J453">
        <v>121</v>
      </c>
      <c r="L453">
        <v>0</v>
      </c>
    </row>
    <row r="454" spans="1:12" x14ac:dyDescent="0.35">
      <c r="A454" s="1">
        <v>44531</v>
      </c>
      <c r="B454" t="s">
        <v>25</v>
      </c>
      <c r="C454" t="s">
        <v>12</v>
      </c>
      <c r="D454">
        <f>AVERAGE(1646,1675,1675,1432)</f>
        <v>1607</v>
      </c>
      <c r="E454">
        <v>1</v>
      </c>
      <c r="F454">
        <v>28.377293000000002</v>
      </c>
      <c r="G454">
        <v>53.2</v>
      </c>
      <c r="H454">
        <v>201.399</v>
      </c>
      <c r="I454">
        <v>12.1</v>
      </c>
      <c r="J454">
        <v>121</v>
      </c>
      <c r="L454">
        <v>0</v>
      </c>
    </row>
    <row r="455" spans="1:12" x14ac:dyDescent="0.35">
      <c r="A455" s="1">
        <v>44531</v>
      </c>
      <c r="B455" t="s">
        <v>25</v>
      </c>
      <c r="C455" t="s">
        <v>14</v>
      </c>
      <c r="D455">
        <f>AVERAGE(1300,1400,1400)</f>
        <v>1366.6666666666667</v>
      </c>
      <c r="E455">
        <v>1</v>
      </c>
      <c r="F455">
        <v>30.138162999999999</v>
      </c>
      <c r="G455">
        <v>86.799994999999996</v>
      </c>
      <c r="H455">
        <v>201.399</v>
      </c>
      <c r="I455">
        <v>12.1</v>
      </c>
      <c r="J455">
        <v>121</v>
      </c>
      <c r="L455">
        <v>0</v>
      </c>
    </row>
    <row r="456" spans="1:12" x14ac:dyDescent="0.35">
      <c r="A456" s="1">
        <v>44531</v>
      </c>
      <c r="B456" t="s">
        <v>25</v>
      </c>
      <c r="C456" t="s">
        <v>16</v>
      </c>
      <c r="D456">
        <f>AVERAGE(1375,1266,1266,1250)</f>
        <v>1289.25</v>
      </c>
      <c r="E456">
        <v>1</v>
      </c>
      <c r="F456">
        <v>24.919903000000001</v>
      </c>
      <c r="G456">
        <v>185.2</v>
      </c>
      <c r="H456">
        <v>201.399</v>
      </c>
      <c r="I456">
        <v>12.1</v>
      </c>
      <c r="J456">
        <v>121</v>
      </c>
      <c r="L456">
        <v>0</v>
      </c>
    </row>
    <row r="457" spans="1:12" x14ac:dyDescent="0.35">
      <c r="A457" s="1">
        <v>44531</v>
      </c>
      <c r="B457" t="s">
        <v>25</v>
      </c>
      <c r="C457" t="s">
        <v>24</v>
      </c>
      <c r="D457">
        <f>AVERAGE(1450,1466,1435,1375)</f>
        <v>1431.5</v>
      </c>
      <c r="E457">
        <v>1</v>
      </c>
      <c r="F457">
        <v>28.964064</v>
      </c>
      <c r="G457">
        <v>120.4</v>
      </c>
      <c r="H457">
        <v>201.399</v>
      </c>
      <c r="I457">
        <v>12.1</v>
      </c>
      <c r="J457">
        <v>121</v>
      </c>
      <c r="L457">
        <v>0</v>
      </c>
    </row>
    <row r="458" spans="1:12" x14ac:dyDescent="0.35">
      <c r="A458" s="1">
        <v>44562</v>
      </c>
      <c r="B458" t="s">
        <v>10</v>
      </c>
      <c r="C458" t="s">
        <v>11</v>
      </c>
      <c r="D458">
        <f>AVERAGE(1164,1152,1139,1157)</f>
        <v>1153</v>
      </c>
      <c r="E458">
        <v>1</v>
      </c>
      <c r="F458">
        <v>28.501709999999999</v>
      </c>
      <c r="G458">
        <v>32.700000000000003</v>
      </c>
      <c r="H458">
        <v>201.46469999999999</v>
      </c>
      <c r="I458">
        <v>14.2</v>
      </c>
      <c r="J458">
        <v>121</v>
      </c>
      <c r="L458">
        <v>0</v>
      </c>
    </row>
    <row r="459" spans="1:12" x14ac:dyDescent="0.35">
      <c r="A459" s="1">
        <v>44562</v>
      </c>
      <c r="B459" t="s">
        <v>10</v>
      </c>
      <c r="C459" t="s">
        <v>12</v>
      </c>
      <c r="D459">
        <f>AVERAGE(1225,1175,1196,1188)</f>
        <v>1196</v>
      </c>
      <c r="E459">
        <v>1</v>
      </c>
      <c r="F459">
        <v>29.370840000000001</v>
      </c>
      <c r="G459">
        <v>19</v>
      </c>
      <c r="H459">
        <v>201.46469999999999</v>
      </c>
      <c r="I459">
        <v>14.2</v>
      </c>
      <c r="J459">
        <v>121</v>
      </c>
      <c r="L459">
        <v>0</v>
      </c>
    </row>
    <row r="460" spans="1:12" x14ac:dyDescent="0.35">
      <c r="A460" s="1">
        <v>44562</v>
      </c>
      <c r="B460" t="s">
        <v>10</v>
      </c>
      <c r="C460" t="s">
        <v>13</v>
      </c>
      <c r="D460">
        <f>AVERAGE(1155,1145,1145,1145)</f>
        <v>1147.5</v>
      </c>
      <c r="E460">
        <v>1</v>
      </c>
      <c r="F460">
        <v>19.471886000000001</v>
      </c>
      <c r="G460">
        <v>61.899997999999997</v>
      </c>
      <c r="H460">
        <v>201.46469999999999</v>
      </c>
      <c r="I460">
        <v>14.2</v>
      </c>
      <c r="J460">
        <v>121</v>
      </c>
      <c r="L460">
        <v>0</v>
      </c>
    </row>
    <row r="461" spans="1:12" x14ac:dyDescent="0.35">
      <c r="A461" s="1">
        <v>44562</v>
      </c>
      <c r="B461" t="s">
        <v>10</v>
      </c>
      <c r="C461" t="s">
        <v>14</v>
      </c>
      <c r="D461">
        <f>AVERAGE(1157,1175,1143,1163)</f>
        <v>1159.5</v>
      </c>
      <c r="E461">
        <v>1</v>
      </c>
      <c r="F461">
        <v>31.522031999999999</v>
      </c>
      <c r="G461">
        <v>37.700000000000003</v>
      </c>
      <c r="H461">
        <v>201.46469999999999</v>
      </c>
      <c r="I461">
        <v>14.2</v>
      </c>
      <c r="J461">
        <v>121</v>
      </c>
      <c r="L461">
        <v>0</v>
      </c>
    </row>
    <row r="462" spans="1:12" x14ac:dyDescent="0.35">
      <c r="A462" s="1">
        <v>44562</v>
      </c>
      <c r="B462" t="s">
        <v>10</v>
      </c>
      <c r="C462" t="s">
        <v>15</v>
      </c>
      <c r="D462">
        <f>AVERAGE(1172,1195,1172,1175)</f>
        <v>1178.5</v>
      </c>
      <c r="E462">
        <v>1</v>
      </c>
      <c r="F462">
        <v>30.40042</v>
      </c>
      <c r="G462">
        <v>75.599999999999994</v>
      </c>
      <c r="H462">
        <v>201.46469999999999</v>
      </c>
      <c r="I462">
        <v>14.2</v>
      </c>
      <c r="J462">
        <v>121</v>
      </c>
      <c r="L462">
        <v>0</v>
      </c>
    </row>
    <row r="463" spans="1:12" x14ac:dyDescent="0.35">
      <c r="A463" s="1">
        <v>44562</v>
      </c>
      <c r="B463" t="s">
        <v>10</v>
      </c>
      <c r="C463" t="s">
        <v>16</v>
      </c>
      <c r="D463">
        <f>AVERAGE(1171,1146,1156,1189)</f>
        <v>1165.5</v>
      </c>
      <c r="E463">
        <v>1</v>
      </c>
      <c r="F463">
        <v>24.674741999999998</v>
      </c>
      <c r="G463">
        <v>148.90001000000001</v>
      </c>
      <c r="H463">
        <v>201.46469999999999</v>
      </c>
      <c r="I463">
        <v>14.2</v>
      </c>
      <c r="J463">
        <v>121</v>
      </c>
      <c r="L463">
        <v>0</v>
      </c>
    </row>
    <row r="464" spans="1:12" x14ac:dyDescent="0.35">
      <c r="A464" s="1">
        <v>44562</v>
      </c>
      <c r="B464" t="s">
        <v>10</v>
      </c>
      <c r="C464" t="s">
        <v>17</v>
      </c>
      <c r="D464">
        <f>AVERAGE(1133,1113,1067,1133)</f>
        <v>1111.5</v>
      </c>
      <c r="E464">
        <v>1</v>
      </c>
      <c r="F464">
        <v>31.193096000000001</v>
      </c>
      <c r="G464">
        <v>21.4</v>
      </c>
      <c r="H464">
        <v>201.46469999999999</v>
      </c>
      <c r="I464">
        <v>14.2</v>
      </c>
      <c r="J464">
        <v>121</v>
      </c>
      <c r="L464">
        <v>0</v>
      </c>
    </row>
    <row r="465" spans="1:12" x14ac:dyDescent="0.35">
      <c r="A465" s="1">
        <v>44562</v>
      </c>
      <c r="B465" t="s">
        <v>10</v>
      </c>
      <c r="C465" t="s">
        <v>18</v>
      </c>
      <c r="D465">
        <f>AVERAGE(1088,1038,1045,1016)</f>
        <v>1046.75</v>
      </c>
      <c r="E465">
        <v>1</v>
      </c>
      <c r="F465">
        <v>30.790129</v>
      </c>
      <c r="G465">
        <v>71.200005000000004</v>
      </c>
      <c r="H465">
        <v>201.46469999999999</v>
      </c>
      <c r="I465">
        <v>14.2</v>
      </c>
      <c r="J465">
        <v>121</v>
      </c>
      <c r="L465">
        <v>0</v>
      </c>
    </row>
    <row r="466" spans="1:12" x14ac:dyDescent="0.35">
      <c r="A466" s="1">
        <v>44562</v>
      </c>
      <c r="B466" t="s">
        <v>10</v>
      </c>
      <c r="C466" t="s">
        <v>19</v>
      </c>
      <c r="D466">
        <f>AVERAGE(1100,1135,1120,1105)</f>
        <v>1115</v>
      </c>
      <c r="E466">
        <v>1</v>
      </c>
      <c r="F466">
        <v>32.265647999999999</v>
      </c>
      <c r="G466">
        <v>65</v>
      </c>
      <c r="H466">
        <v>201.46469999999999</v>
      </c>
      <c r="I466">
        <v>14.2</v>
      </c>
      <c r="J466">
        <v>121</v>
      </c>
      <c r="L466">
        <v>0</v>
      </c>
    </row>
    <row r="467" spans="1:12" x14ac:dyDescent="0.35">
      <c r="A467" s="1">
        <v>44562</v>
      </c>
      <c r="B467" t="s">
        <v>10</v>
      </c>
      <c r="C467" t="s">
        <v>20</v>
      </c>
      <c r="D467">
        <f>AVERAGE(1050,1050,1080,1100)</f>
        <v>1070</v>
      </c>
      <c r="E467">
        <v>1</v>
      </c>
      <c r="F467">
        <v>29.991548999999999</v>
      </c>
      <c r="G467">
        <v>76</v>
      </c>
      <c r="H467">
        <v>201.46469999999999</v>
      </c>
      <c r="I467">
        <v>14.2</v>
      </c>
      <c r="J467">
        <v>121</v>
      </c>
      <c r="L467">
        <v>0</v>
      </c>
    </row>
    <row r="468" spans="1:12" x14ac:dyDescent="0.35">
      <c r="A468" s="1">
        <v>44562</v>
      </c>
      <c r="B468" t="s">
        <v>10</v>
      </c>
      <c r="C468" t="s">
        <v>21</v>
      </c>
      <c r="D468">
        <f>AVERAGE(1110,1100,1125,1130)</f>
        <v>1116.25</v>
      </c>
      <c r="E468">
        <v>1</v>
      </c>
      <c r="F468">
        <v>28.817094999999998</v>
      </c>
      <c r="G468">
        <v>89.700005000000004</v>
      </c>
      <c r="H468">
        <v>201.46469999999999</v>
      </c>
      <c r="I468">
        <v>14.2</v>
      </c>
      <c r="J468">
        <v>121</v>
      </c>
      <c r="L468">
        <v>0</v>
      </c>
    </row>
    <row r="469" spans="1:12" x14ac:dyDescent="0.35">
      <c r="A469" s="1">
        <v>44562</v>
      </c>
      <c r="B469" t="s">
        <v>10</v>
      </c>
      <c r="C469" t="s">
        <v>22</v>
      </c>
      <c r="D469">
        <f>AVERAGE(1160,1150,1160,1160)</f>
        <v>1157.5</v>
      </c>
      <c r="E469">
        <v>1</v>
      </c>
      <c r="F469">
        <v>27.848096999999999</v>
      </c>
      <c r="G469">
        <v>71.200005000000004</v>
      </c>
      <c r="H469">
        <v>201.46469999999999</v>
      </c>
      <c r="I469">
        <v>14.2</v>
      </c>
      <c r="J469">
        <v>121</v>
      </c>
      <c r="L469">
        <v>0</v>
      </c>
    </row>
    <row r="470" spans="1:12" x14ac:dyDescent="0.35">
      <c r="A470" s="1">
        <v>44562</v>
      </c>
      <c r="B470" t="s">
        <v>10</v>
      </c>
      <c r="C470" t="s">
        <v>23</v>
      </c>
      <c r="D470">
        <f>AVERAGE(1160,1176,1193,1163)</f>
        <v>1173</v>
      </c>
      <c r="E470">
        <v>1</v>
      </c>
      <c r="F470">
        <v>30.490130000000001</v>
      </c>
      <c r="G470">
        <v>43.1</v>
      </c>
      <c r="H470">
        <v>201.46469999999999</v>
      </c>
      <c r="I470">
        <v>14.2</v>
      </c>
      <c r="J470">
        <v>121</v>
      </c>
      <c r="L470">
        <v>0</v>
      </c>
    </row>
    <row r="471" spans="1:12" x14ac:dyDescent="0.35">
      <c r="A471" s="1">
        <v>44562</v>
      </c>
      <c r="B471" t="s">
        <v>10</v>
      </c>
      <c r="C471" t="s">
        <v>24</v>
      </c>
      <c r="D471">
        <f>AVERAGE(1205,1204,1194)</f>
        <v>1201</v>
      </c>
      <c r="E471">
        <v>1</v>
      </c>
      <c r="F471">
        <v>29.115677000000002</v>
      </c>
      <c r="G471">
        <v>88</v>
      </c>
      <c r="H471">
        <v>201.46469999999999</v>
      </c>
      <c r="I471">
        <v>14.2</v>
      </c>
      <c r="J471">
        <v>121</v>
      </c>
      <c r="L471">
        <v>0</v>
      </c>
    </row>
    <row r="472" spans="1:12" x14ac:dyDescent="0.35">
      <c r="A472" s="1">
        <v>44562</v>
      </c>
      <c r="B472" t="s">
        <v>25</v>
      </c>
      <c r="C472" t="s">
        <v>11</v>
      </c>
      <c r="D472">
        <f>AVERAGE(1529,1450,1550,1508)</f>
        <v>1509.25</v>
      </c>
      <c r="E472">
        <v>1</v>
      </c>
      <c r="F472">
        <v>28.501709999999999</v>
      </c>
      <c r="G472">
        <v>32.700000000000003</v>
      </c>
      <c r="H472">
        <v>201.46469999999999</v>
      </c>
      <c r="I472">
        <v>14.2</v>
      </c>
      <c r="J472">
        <v>121</v>
      </c>
      <c r="L472">
        <v>0</v>
      </c>
    </row>
    <row r="473" spans="1:12" x14ac:dyDescent="0.35">
      <c r="A473" s="1">
        <v>44562</v>
      </c>
      <c r="B473" t="s">
        <v>25</v>
      </c>
      <c r="C473" t="s">
        <v>12</v>
      </c>
      <c r="D473">
        <f>AVERAGE(1716,1725,1750,1700)</f>
        <v>1722.75</v>
      </c>
      <c r="E473">
        <v>1</v>
      </c>
      <c r="F473">
        <v>29.370840000000001</v>
      </c>
      <c r="G473">
        <v>19</v>
      </c>
      <c r="H473">
        <v>201.46469999999999</v>
      </c>
      <c r="I473">
        <v>14.2</v>
      </c>
      <c r="J473">
        <v>121</v>
      </c>
      <c r="L473">
        <v>0</v>
      </c>
    </row>
    <row r="474" spans="1:12" x14ac:dyDescent="0.35">
      <c r="A474" s="1">
        <v>44562</v>
      </c>
      <c r="B474" t="s">
        <v>25</v>
      </c>
      <c r="C474" t="s">
        <v>14</v>
      </c>
      <c r="D474">
        <f>AVERAGE(1450,1450,1400,1600)</f>
        <v>1475</v>
      </c>
      <c r="E474">
        <v>1</v>
      </c>
      <c r="F474">
        <v>31.522031999999999</v>
      </c>
      <c r="G474">
        <v>37.700000000000003</v>
      </c>
      <c r="H474">
        <v>201.46469999999999</v>
      </c>
      <c r="I474">
        <v>14.2</v>
      </c>
      <c r="J474">
        <v>121</v>
      </c>
      <c r="L474">
        <v>0</v>
      </c>
    </row>
    <row r="475" spans="1:12" x14ac:dyDescent="0.35">
      <c r="A475" s="1">
        <v>44562</v>
      </c>
      <c r="B475" t="s">
        <v>25</v>
      </c>
      <c r="C475" t="s">
        <v>16</v>
      </c>
      <c r="D475">
        <f>AVERAGE(1459,1433,1367,1391)</f>
        <v>1412.5</v>
      </c>
      <c r="E475">
        <v>1</v>
      </c>
      <c r="F475">
        <v>24.674741999999998</v>
      </c>
      <c r="G475">
        <v>148.90001000000001</v>
      </c>
      <c r="H475">
        <v>201.46469999999999</v>
      </c>
      <c r="I475">
        <v>14.2</v>
      </c>
      <c r="J475">
        <v>121</v>
      </c>
      <c r="L475">
        <v>0</v>
      </c>
    </row>
    <row r="476" spans="1:12" x14ac:dyDescent="0.35">
      <c r="A476" s="1">
        <v>44562</v>
      </c>
      <c r="B476" t="s">
        <v>25</v>
      </c>
      <c r="C476" t="s">
        <v>24</v>
      </c>
      <c r="D476">
        <f>AVERAGE(1580,1580,1480)</f>
        <v>1546.6666666666667</v>
      </c>
      <c r="E476">
        <v>1</v>
      </c>
      <c r="F476">
        <v>29.115677000000002</v>
      </c>
      <c r="G476">
        <v>88</v>
      </c>
      <c r="H476">
        <v>201.46469999999999</v>
      </c>
      <c r="I476">
        <v>14.2</v>
      </c>
      <c r="J476">
        <v>121</v>
      </c>
      <c r="L476">
        <v>0</v>
      </c>
    </row>
    <row r="477" spans="1:12" x14ac:dyDescent="0.35">
      <c r="A477" s="1">
        <v>44593</v>
      </c>
      <c r="B477" t="s">
        <v>10</v>
      </c>
      <c r="C477" t="s">
        <v>11</v>
      </c>
      <c r="D477">
        <f>AVERAGE(1255,1205,1103,1126)</f>
        <v>1172.25</v>
      </c>
      <c r="E477">
        <v>1</v>
      </c>
      <c r="F477">
        <v>29.623714</v>
      </c>
      <c r="G477">
        <v>56.2</v>
      </c>
      <c r="H477">
        <v>201.7362</v>
      </c>
      <c r="I477">
        <v>15.1</v>
      </c>
      <c r="J477">
        <v>176</v>
      </c>
      <c r="L477">
        <v>1</v>
      </c>
    </row>
    <row r="478" spans="1:12" x14ac:dyDescent="0.35">
      <c r="A478" s="1">
        <v>44593</v>
      </c>
      <c r="B478" t="s">
        <v>10</v>
      </c>
      <c r="C478" t="s">
        <v>12</v>
      </c>
      <c r="D478">
        <f>AVERAGE(1127,1115,1222,1322)</f>
        <v>1196.5</v>
      </c>
      <c r="E478">
        <v>1</v>
      </c>
      <c r="F478">
        <v>29.617785999999999</v>
      </c>
      <c r="G478">
        <v>74.7</v>
      </c>
      <c r="H478">
        <v>201.7362</v>
      </c>
      <c r="I478">
        <v>15.1</v>
      </c>
      <c r="J478">
        <v>176</v>
      </c>
      <c r="L478">
        <v>1</v>
      </c>
    </row>
    <row r="479" spans="1:12" x14ac:dyDescent="0.35">
      <c r="A479" s="1">
        <v>44593</v>
      </c>
      <c r="B479" t="s">
        <v>10</v>
      </c>
      <c r="C479" t="s">
        <v>13</v>
      </c>
      <c r="D479">
        <f>AVERAGE(1190,1145,1055,1045)</f>
        <v>1108.75</v>
      </c>
      <c r="E479">
        <v>1</v>
      </c>
      <c r="F479">
        <v>20.466356000000001</v>
      </c>
      <c r="G479">
        <v>49.100002000000003</v>
      </c>
      <c r="H479">
        <v>201.7362</v>
      </c>
      <c r="I479">
        <v>15.1</v>
      </c>
      <c r="J479">
        <v>176</v>
      </c>
      <c r="L479">
        <v>1</v>
      </c>
    </row>
    <row r="480" spans="1:12" x14ac:dyDescent="0.35">
      <c r="A480" s="1">
        <v>44593</v>
      </c>
      <c r="B480" t="s">
        <v>10</v>
      </c>
      <c r="C480" t="s">
        <v>14</v>
      </c>
      <c r="D480">
        <f>AVERAGE(1100,1066,1150,1266)</f>
        <v>1145.5</v>
      </c>
      <c r="E480">
        <v>1</v>
      </c>
      <c r="F480">
        <v>31.850142999999999</v>
      </c>
      <c r="G480">
        <v>83.8</v>
      </c>
      <c r="H480">
        <v>201.7362</v>
      </c>
      <c r="I480">
        <v>15.1</v>
      </c>
      <c r="J480">
        <v>176</v>
      </c>
      <c r="L480">
        <v>1</v>
      </c>
    </row>
    <row r="481" spans="1:12" x14ac:dyDescent="0.35">
      <c r="A481" s="1">
        <v>44593</v>
      </c>
      <c r="B481" t="s">
        <v>10</v>
      </c>
      <c r="C481" t="s">
        <v>15</v>
      </c>
      <c r="D481">
        <f>AVERAGE(1250,1156,1087,1132)</f>
        <v>1156.25</v>
      </c>
      <c r="E481">
        <v>1</v>
      </c>
      <c r="F481">
        <v>31.498000000000001</v>
      </c>
      <c r="G481">
        <v>75.099999999999994</v>
      </c>
      <c r="H481">
        <v>201.7362</v>
      </c>
      <c r="I481">
        <v>15.1</v>
      </c>
      <c r="J481">
        <v>176</v>
      </c>
      <c r="L481">
        <v>1</v>
      </c>
    </row>
    <row r="482" spans="1:12" x14ac:dyDescent="0.35">
      <c r="A482" s="1">
        <v>44593</v>
      </c>
      <c r="B482" t="s">
        <v>10</v>
      </c>
      <c r="C482" t="s">
        <v>16</v>
      </c>
      <c r="D482">
        <f>AVERAGE(1112,1140,1199,1245)</f>
        <v>1174</v>
      </c>
      <c r="E482">
        <v>1</v>
      </c>
      <c r="F482">
        <v>25.180212000000001</v>
      </c>
      <c r="G482">
        <v>112.10000599999999</v>
      </c>
      <c r="H482">
        <v>201.7362</v>
      </c>
      <c r="I482">
        <v>15.1</v>
      </c>
      <c r="J482">
        <v>176</v>
      </c>
      <c r="L482">
        <v>1</v>
      </c>
    </row>
    <row r="483" spans="1:12" x14ac:dyDescent="0.35">
      <c r="A483" s="1">
        <v>44593</v>
      </c>
      <c r="B483" t="s">
        <v>10</v>
      </c>
      <c r="C483" t="s">
        <v>17</v>
      </c>
      <c r="D483">
        <f>AVERAGE(1264,1150,1133,1133)</f>
        <v>1170</v>
      </c>
      <c r="E483">
        <v>1</v>
      </c>
      <c r="F483">
        <v>31.720285000000001</v>
      </c>
      <c r="G483">
        <v>61.8</v>
      </c>
      <c r="H483">
        <v>201.7362</v>
      </c>
      <c r="I483">
        <v>15.1</v>
      </c>
      <c r="J483">
        <v>176</v>
      </c>
      <c r="L483">
        <v>1</v>
      </c>
    </row>
    <row r="484" spans="1:12" x14ac:dyDescent="0.35">
      <c r="A484" s="1">
        <v>44593</v>
      </c>
      <c r="B484" t="s">
        <v>10</v>
      </c>
      <c r="C484" t="s">
        <v>18</v>
      </c>
      <c r="D484">
        <f>AVERAGE(1038,1068,1133,1213)</f>
        <v>1113</v>
      </c>
      <c r="E484">
        <v>1</v>
      </c>
      <c r="F484">
        <v>31.457930000000001</v>
      </c>
      <c r="G484">
        <v>51.199997000000003</v>
      </c>
      <c r="H484">
        <v>201.7362</v>
      </c>
      <c r="I484">
        <v>15.1</v>
      </c>
      <c r="J484">
        <v>176</v>
      </c>
      <c r="L484">
        <v>1</v>
      </c>
    </row>
    <row r="485" spans="1:12" x14ac:dyDescent="0.35">
      <c r="A485" s="1">
        <v>44593</v>
      </c>
      <c r="B485" t="s">
        <v>10</v>
      </c>
      <c r="C485" t="s">
        <v>19</v>
      </c>
      <c r="D485">
        <f>AVERAGE(1225,1190,1100,1110)</f>
        <v>1156.25</v>
      </c>
      <c r="E485">
        <v>1</v>
      </c>
      <c r="F485">
        <v>32.979644999999998</v>
      </c>
      <c r="G485">
        <v>47.7</v>
      </c>
      <c r="H485">
        <v>201.7362</v>
      </c>
      <c r="I485">
        <v>15.1</v>
      </c>
      <c r="J485">
        <v>176</v>
      </c>
      <c r="L485">
        <v>1</v>
      </c>
    </row>
    <row r="486" spans="1:12" x14ac:dyDescent="0.35">
      <c r="A486" s="1">
        <v>44593</v>
      </c>
      <c r="B486" t="s">
        <v>10</v>
      </c>
      <c r="C486" t="s">
        <v>20</v>
      </c>
      <c r="D486">
        <f>AVERAGE(1043,1058,1057,1370)</f>
        <v>1132</v>
      </c>
      <c r="E486">
        <v>1</v>
      </c>
      <c r="F486">
        <v>30.460498999999999</v>
      </c>
      <c r="G486">
        <v>73.400000000000006</v>
      </c>
      <c r="H486">
        <v>201.7362</v>
      </c>
      <c r="I486">
        <v>15.1</v>
      </c>
      <c r="J486">
        <v>176</v>
      </c>
      <c r="L486">
        <v>1</v>
      </c>
    </row>
    <row r="487" spans="1:12" x14ac:dyDescent="0.35">
      <c r="A487" s="1">
        <v>44593</v>
      </c>
      <c r="B487" t="s">
        <v>10</v>
      </c>
      <c r="C487" t="s">
        <v>21</v>
      </c>
      <c r="D487">
        <f>AVERAGE(1275,1175,1130,1120)</f>
        <v>1175</v>
      </c>
      <c r="E487">
        <v>1</v>
      </c>
      <c r="F487">
        <v>29.6675</v>
      </c>
      <c r="G487">
        <v>109.7</v>
      </c>
      <c r="H487">
        <v>201.7362</v>
      </c>
      <c r="I487">
        <v>15.1</v>
      </c>
      <c r="J487">
        <v>176</v>
      </c>
      <c r="L487">
        <v>1</v>
      </c>
    </row>
    <row r="488" spans="1:12" x14ac:dyDescent="0.35">
      <c r="A488" s="1">
        <v>44593</v>
      </c>
      <c r="B488" t="s">
        <v>10</v>
      </c>
      <c r="C488" t="s">
        <v>22</v>
      </c>
      <c r="D488">
        <f>AVERAGE(1150,1150,1250,1310)</f>
        <v>1215</v>
      </c>
      <c r="E488">
        <v>1</v>
      </c>
      <c r="F488">
        <v>28.414572</v>
      </c>
      <c r="G488">
        <v>35.299999999999997</v>
      </c>
      <c r="H488">
        <v>201.7362</v>
      </c>
      <c r="I488">
        <v>15.1</v>
      </c>
      <c r="J488">
        <v>176</v>
      </c>
      <c r="L488">
        <v>1</v>
      </c>
    </row>
    <row r="489" spans="1:12" x14ac:dyDescent="0.35">
      <c r="A489" s="1">
        <v>44593</v>
      </c>
      <c r="B489" t="s">
        <v>10</v>
      </c>
      <c r="C489" t="s">
        <v>23</v>
      </c>
      <c r="D489">
        <f>AVERAGE(1300,1200,1100,1075)</f>
        <v>1168.75</v>
      </c>
      <c r="E489">
        <v>1</v>
      </c>
      <c r="F489">
        <v>31.509716000000001</v>
      </c>
      <c r="G489">
        <v>44</v>
      </c>
      <c r="H489">
        <v>201.7362</v>
      </c>
      <c r="I489">
        <v>15.1</v>
      </c>
      <c r="J489">
        <v>176</v>
      </c>
      <c r="L489">
        <v>1</v>
      </c>
    </row>
    <row r="490" spans="1:12" x14ac:dyDescent="0.35">
      <c r="A490" s="1">
        <v>44593</v>
      </c>
      <c r="B490" t="s">
        <v>10</v>
      </c>
      <c r="C490" t="s">
        <v>24</v>
      </c>
      <c r="D490">
        <f>AVERAGE(1134,1142,1200)</f>
        <v>1158.6666666666667</v>
      </c>
      <c r="E490">
        <v>1</v>
      </c>
      <c r="F490">
        <v>30.434570000000001</v>
      </c>
      <c r="G490">
        <v>55.1</v>
      </c>
      <c r="H490">
        <v>201.7362</v>
      </c>
      <c r="I490">
        <v>15.1</v>
      </c>
      <c r="J490">
        <v>176</v>
      </c>
      <c r="L490">
        <v>1</v>
      </c>
    </row>
    <row r="491" spans="1:12" x14ac:dyDescent="0.35">
      <c r="A491" s="1">
        <v>44593</v>
      </c>
      <c r="B491" t="s">
        <v>25</v>
      </c>
      <c r="C491" t="s">
        <v>11</v>
      </c>
      <c r="D491">
        <f>AVERAGE(1514,1491,1470,1541)</f>
        <v>1504</v>
      </c>
      <c r="E491">
        <v>1</v>
      </c>
      <c r="F491">
        <v>29.623714</v>
      </c>
      <c r="G491">
        <v>56.2</v>
      </c>
      <c r="H491">
        <v>201.7362</v>
      </c>
      <c r="I491">
        <v>15.1</v>
      </c>
      <c r="J491">
        <v>176</v>
      </c>
      <c r="L491">
        <v>1</v>
      </c>
    </row>
    <row r="492" spans="1:12" x14ac:dyDescent="0.35">
      <c r="A492" s="1">
        <v>44593</v>
      </c>
      <c r="B492" t="s">
        <v>25</v>
      </c>
      <c r="C492" t="s">
        <v>12</v>
      </c>
      <c r="D492">
        <f>AVERAGE(1783,1852,1748,1779)</f>
        <v>1790.5</v>
      </c>
      <c r="E492">
        <v>1</v>
      </c>
      <c r="F492">
        <v>29.617785999999999</v>
      </c>
      <c r="G492">
        <v>74.7</v>
      </c>
      <c r="H492">
        <v>201.7362</v>
      </c>
      <c r="I492">
        <v>15.1</v>
      </c>
      <c r="J492">
        <v>176</v>
      </c>
      <c r="L492">
        <v>1</v>
      </c>
    </row>
    <row r="493" spans="1:12" x14ac:dyDescent="0.35">
      <c r="A493" s="1">
        <v>44593</v>
      </c>
      <c r="B493" t="s">
        <v>25</v>
      </c>
      <c r="C493" t="s">
        <v>14</v>
      </c>
      <c r="D493">
        <f>AVERAGE(1466,1475,1700,1550)</f>
        <v>1547.75</v>
      </c>
      <c r="E493">
        <v>1</v>
      </c>
      <c r="F493">
        <v>31.850142999999999</v>
      </c>
      <c r="G493">
        <v>83.8</v>
      </c>
      <c r="H493">
        <v>201.7362</v>
      </c>
      <c r="I493">
        <v>15.1</v>
      </c>
      <c r="J493">
        <v>176</v>
      </c>
      <c r="L493">
        <v>1</v>
      </c>
    </row>
    <row r="494" spans="1:12" x14ac:dyDescent="0.35">
      <c r="A494" s="1">
        <v>44593</v>
      </c>
      <c r="B494" t="s">
        <v>25</v>
      </c>
      <c r="C494" t="s">
        <v>16</v>
      </c>
      <c r="D494">
        <f>AVERAGE(1441,1441,1450,1375)</f>
        <v>1426.75</v>
      </c>
      <c r="E494">
        <v>1</v>
      </c>
      <c r="F494">
        <v>25.180212000000001</v>
      </c>
      <c r="G494">
        <v>112.10000599999999</v>
      </c>
      <c r="H494">
        <v>201.7362</v>
      </c>
      <c r="I494">
        <v>15.1</v>
      </c>
      <c r="J494">
        <v>176</v>
      </c>
      <c r="L494">
        <v>1</v>
      </c>
    </row>
    <row r="495" spans="1:12" x14ac:dyDescent="0.35">
      <c r="A495" s="1">
        <v>44593</v>
      </c>
      <c r="B495" t="s">
        <v>25</v>
      </c>
      <c r="C495" t="s">
        <v>24</v>
      </c>
      <c r="D495">
        <f>AVERAGE(1640,1670,1590)</f>
        <v>1633.3333333333333</v>
      </c>
      <c r="E495">
        <v>1</v>
      </c>
      <c r="F495">
        <v>30.434570000000001</v>
      </c>
      <c r="G495">
        <v>55.1</v>
      </c>
      <c r="H495">
        <v>201.7362</v>
      </c>
      <c r="I495">
        <v>15.1</v>
      </c>
      <c r="J495">
        <v>176</v>
      </c>
      <c r="L495">
        <v>1</v>
      </c>
    </row>
    <row r="496" spans="1:12" x14ac:dyDescent="0.35">
      <c r="A496" s="1">
        <v>44621</v>
      </c>
      <c r="B496" t="s">
        <v>10</v>
      </c>
      <c r="C496" t="s">
        <v>11</v>
      </c>
      <c r="D496">
        <f>AVERAGE(1522,1501,1362,1340)</f>
        <v>1431.25</v>
      </c>
      <c r="E496">
        <v>1</v>
      </c>
      <c r="F496">
        <v>30.525904000000001</v>
      </c>
      <c r="G496">
        <v>48.5</v>
      </c>
      <c r="H496">
        <v>255.8081</v>
      </c>
      <c r="I496">
        <v>18.7</v>
      </c>
      <c r="J496">
        <v>176</v>
      </c>
      <c r="L496">
        <v>1</v>
      </c>
    </row>
    <row r="497" spans="1:12" x14ac:dyDescent="0.35">
      <c r="A497" s="1">
        <v>44621</v>
      </c>
      <c r="B497" t="s">
        <v>10</v>
      </c>
      <c r="C497" t="s">
        <v>12</v>
      </c>
      <c r="D497">
        <f>AVERAGE(1382,1487,1525,1650)</f>
        <v>1511</v>
      </c>
      <c r="E497">
        <v>1</v>
      </c>
      <c r="F497">
        <v>30.819224999999999</v>
      </c>
      <c r="G497">
        <v>54.5</v>
      </c>
      <c r="H497">
        <v>255.8081</v>
      </c>
      <c r="I497">
        <v>18.7</v>
      </c>
      <c r="J497">
        <v>176</v>
      </c>
      <c r="L497">
        <v>1</v>
      </c>
    </row>
    <row r="498" spans="1:12" x14ac:dyDescent="0.35">
      <c r="A498" s="1">
        <v>44621</v>
      </c>
      <c r="B498" t="s">
        <v>10</v>
      </c>
      <c r="C498" t="s">
        <v>13</v>
      </c>
      <c r="D498">
        <f>AVERAGE(1490,1490,1440,1290)</f>
        <v>1427.5</v>
      </c>
      <c r="E498">
        <v>1</v>
      </c>
      <c r="F498">
        <v>21.192854000000001</v>
      </c>
      <c r="G498">
        <v>49.4</v>
      </c>
      <c r="H498">
        <v>255.8081</v>
      </c>
      <c r="I498">
        <v>18.7</v>
      </c>
      <c r="J498">
        <v>176</v>
      </c>
      <c r="L498">
        <v>1</v>
      </c>
    </row>
    <row r="499" spans="1:12" x14ac:dyDescent="0.35">
      <c r="A499" s="1">
        <v>44621</v>
      </c>
      <c r="B499" t="s">
        <v>10</v>
      </c>
      <c r="C499" t="s">
        <v>14</v>
      </c>
      <c r="D499">
        <f>AVERAGE(1366,1450,1483,1550)</f>
        <v>1462.25</v>
      </c>
      <c r="E499">
        <v>1</v>
      </c>
      <c r="F499">
        <v>32.218806999999998</v>
      </c>
      <c r="G499">
        <v>62.9</v>
      </c>
      <c r="H499">
        <v>255.8081</v>
      </c>
      <c r="I499">
        <v>18.7</v>
      </c>
      <c r="J499">
        <v>176</v>
      </c>
      <c r="L499">
        <v>1</v>
      </c>
    </row>
    <row r="500" spans="1:12" x14ac:dyDescent="0.35">
      <c r="A500" s="1">
        <v>44621</v>
      </c>
      <c r="B500" t="s">
        <v>10</v>
      </c>
      <c r="C500" t="s">
        <v>15</v>
      </c>
      <c r="D500">
        <f>AVERAGE(1522,1600,1440,1392)</f>
        <v>1488.5</v>
      </c>
      <c r="E500">
        <v>1</v>
      </c>
      <c r="F500">
        <v>31.418161000000001</v>
      </c>
      <c r="G500">
        <v>91.700005000000004</v>
      </c>
      <c r="H500">
        <v>255.8081</v>
      </c>
      <c r="I500">
        <v>18.7</v>
      </c>
      <c r="J500">
        <v>176</v>
      </c>
      <c r="L500">
        <v>1</v>
      </c>
    </row>
    <row r="501" spans="1:12" x14ac:dyDescent="0.35">
      <c r="A501" s="1">
        <v>44621</v>
      </c>
      <c r="B501" t="s">
        <v>10</v>
      </c>
      <c r="C501" t="s">
        <v>16</v>
      </c>
      <c r="D501">
        <f>AVERAGE(1346,1399,1582,1600)</f>
        <v>1481.75</v>
      </c>
      <c r="E501">
        <v>1</v>
      </c>
      <c r="F501">
        <v>27.208611999999999</v>
      </c>
      <c r="G501">
        <v>65</v>
      </c>
      <c r="H501">
        <v>255.8081</v>
      </c>
      <c r="I501">
        <v>18.7</v>
      </c>
      <c r="J501">
        <v>176</v>
      </c>
      <c r="L501">
        <v>1</v>
      </c>
    </row>
    <row r="502" spans="1:12" x14ac:dyDescent="0.35">
      <c r="A502" s="1">
        <v>44621</v>
      </c>
      <c r="B502" t="s">
        <v>10</v>
      </c>
      <c r="C502" t="s">
        <v>17</v>
      </c>
      <c r="D502">
        <f>AVERAGE(1533,1433,1433,1350)</f>
        <v>1437.25</v>
      </c>
      <c r="E502">
        <v>1</v>
      </c>
      <c r="F502">
        <v>32.710839999999997</v>
      </c>
      <c r="G502">
        <v>52.699997000000003</v>
      </c>
      <c r="H502">
        <v>255.8081</v>
      </c>
      <c r="I502">
        <v>18.7</v>
      </c>
      <c r="J502">
        <v>176</v>
      </c>
      <c r="L502">
        <v>1</v>
      </c>
    </row>
    <row r="503" spans="1:12" x14ac:dyDescent="0.35">
      <c r="A503" s="1">
        <v>44621</v>
      </c>
      <c r="B503" t="s">
        <v>10</v>
      </c>
      <c r="C503" t="s">
        <v>18</v>
      </c>
      <c r="D503">
        <f>AVERAGE(1288,1350,1500,1450)</f>
        <v>1397</v>
      </c>
      <c r="E503">
        <v>1</v>
      </c>
      <c r="F503">
        <v>30.924002000000002</v>
      </c>
      <c r="G503">
        <v>54.5</v>
      </c>
      <c r="H503">
        <v>255.8081</v>
      </c>
      <c r="I503">
        <v>18.7</v>
      </c>
      <c r="J503">
        <v>176</v>
      </c>
      <c r="L503">
        <v>1</v>
      </c>
    </row>
    <row r="504" spans="1:12" x14ac:dyDescent="0.35">
      <c r="A504" s="1">
        <v>44621</v>
      </c>
      <c r="B504" t="s">
        <v>10</v>
      </c>
      <c r="C504" t="s">
        <v>19</v>
      </c>
      <c r="D504">
        <f>AVERAGE(1450,1500,1480,1360)</f>
        <v>1447.5</v>
      </c>
      <c r="E504">
        <v>1</v>
      </c>
      <c r="F504">
        <v>31.946290999999999</v>
      </c>
      <c r="G504">
        <v>57.699997000000003</v>
      </c>
      <c r="H504">
        <v>255.8081</v>
      </c>
      <c r="I504">
        <v>18.7</v>
      </c>
      <c r="J504">
        <v>176</v>
      </c>
      <c r="L504">
        <v>1</v>
      </c>
    </row>
    <row r="505" spans="1:12" x14ac:dyDescent="0.35">
      <c r="A505" s="1">
        <v>44621</v>
      </c>
      <c r="B505" t="s">
        <v>10</v>
      </c>
      <c r="C505" t="s">
        <v>20</v>
      </c>
      <c r="D505">
        <f>AVERAGE(1267,1267,1470,1520)</f>
        <v>1381</v>
      </c>
      <c r="E505">
        <v>1</v>
      </c>
      <c r="F505">
        <v>30.335096</v>
      </c>
      <c r="G505">
        <v>87.5</v>
      </c>
      <c r="H505">
        <v>255.8081</v>
      </c>
      <c r="I505">
        <v>18.7</v>
      </c>
      <c r="J505">
        <v>176</v>
      </c>
      <c r="L505">
        <v>1</v>
      </c>
    </row>
    <row r="506" spans="1:12" x14ac:dyDescent="0.35">
      <c r="A506" s="1">
        <v>44621</v>
      </c>
      <c r="B506" t="s">
        <v>10</v>
      </c>
      <c r="C506" t="s">
        <v>21</v>
      </c>
      <c r="D506">
        <f>AVERAGE(1515,1575,1455,1370)</f>
        <v>1478.75</v>
      </c>
      <c r="E506">
        <v>1</v>
      </c>
      <c r="F506">
        <v>29.749352999999999</v>
      </c>
      <c r="G506">
        <v>105.9</v>
      </c>
      <c r="H506">
        <v>255.8081</v>
      </c>
      <c r="I506">
        <v>18.7</v>
      </c>
      <c r="J506">
        <v>176</v>
      </c>
      <c r="L506">
        <v>1</v>
      </c>
    </row>
    <row r="507" spans="1:12" x14ac:dyDescent="0.35">
      <c r="A507" s="1">
        <v>44621</v>
      </c>
      <c r="B507" t="s">
        <v>10</v>
      </c>
      <c r="C507" t="s">
        <v>22</v>
      </c>
      <c r="D507">
        <f>AVERAGE(1400,1500,1600,1650)</f>
        <v>1537.5</v>
      </c>
      <c r="E507">
        <v>1</v>
      </c>
      <c r="F507">
        <v>28.806162</v>
      </c>
      <c r="G507">
        <v>68.099999999999994</v>
      </c>
      <c r="H507">
        <v>255.8081</v>
      </c>
      <c r="I507">
        <v>18.7</v>
      </c>
      <c r="J507">
        <v>176</v>
      </c>
      <c r="L507">
        <v>1</v>
      </c>
    </row>
    <row r="508" spans="1:12" x14ac:dyDescent="0.35">
      <c r="A508" s="1">
        <v>44621</v>
      </c>
      <c r="B508" t="s">
        <v>10</v>
      </c>
      <c r="C508" t="s">
        <v>23</v>
      </c>
      <c r="D508">
        <f>AVERAGE(1517,1400,1600,1400)</f>
        <v>1479.25</v>
      </c>
      <c r="E508">
        <v>1</v>
      </c>
      <c r="F508">
        <v>31.291741999999999</v>
      </c>
      <c r="G508">
        <v>70.900000000000006</v>
      </c>
      <c r="H508">
        <v>255.8081</v>
      </c>
      <c r="I508">
        <v>18.7</v>
      </c>
      <c r="J508">
        <v>176</v>
      </c>
      <c r="L508">
        <v>1</v>
      </c>
    </row>
    <row r="509" spans="1:12" x14ac:dyDescent="0.35">
      <c r="A509" s="1">
        <v>44621</v>
      </c>
      <c r="B509" t="s">
        <v>10</v>
      </c>
      <c r="C509" t="s">
        <v>24</v>
      </c>
      <c r="D509">
        <f>AVERAGE(1395,1445,1540,1570)</f>
        <v>1487.5</v>
      </c>
      <c r="E509">
        <v>1</v>
      </c>
      <c r="F509">
        <v>31.857610000000001</v>
      </c>
      <c r="G509">
        <v>98.7</v>
      </c>
      <c r="H509">
        <v>255.8081</v>
      </c>
      <c r="I509">
        <v>18.7</v>
      </c>
      <c r="J509">
        <v>176</v>
      </c>
      <c r="L509">
        <v>1</v>
      </c>
    </row>
    <row r="510" spans="1:12" x14ac:dyDescent="0.35">
      <c r="A510" s="1">
        <v>44621</v>
      </c>
      <c r="B510" t="s">
        <v>25</v>
      </c>
      <c r="C510" t="s">
        <v>11</v>
      </c>
      <c r="D510">
        <f>AVERAGE(1625,1799,1916,1938)</f>
        <v>1819.5</v>
      </c>
      <c r="E510">
        <v>1</v>
      </c>
      <c r="F510">
        <v>30.525904000000001</v>
      </c>
      <c r="G510">
        <v>48.5</v>
      </c>
      <c r="H510">
        <v>255.8081</v>
      </c>
      <c r="I510">
        <v>18.7</v>
      </c>
      <c r="J510">
        <v>176</v>
      </c>
      <c r="L510">
        <v>1</v>
      </c>
    </row>
    <row r="511" spans="1:12" x14ac:dyDescent="0.35">
      <c r="A511" s="1">
        <v>44621</v>
      </c>
      <c r="B511" t="s">
        <v>25</v>
      </c>
      <c r="C511" t="s">
        <v>12</v>
      </c>
      <c r="D511">
        <f>AVERAGE(2250,2000,2037,1908)</f>
        <v>2048.75</v>
      </c>
      <c r="E511">
        <v>1</v>
      </c>
      <c r="F511">
        <v>30.819224999999999</v>
      </c>
      <c r="G511">
        <v>54.5</v>
      </c>
      <c r="H511">
        <v>255.8081</v>
      </c>
      <c r="I511">
        <v>18.7</v>
      </c>
      <c r="J511">
        <v>176</v>
      </c>
      <c r="L511">
        <v>1</v>
      </c>
    </row>
    <row r="512" spans="1:12" x14ac:dyDescent="0.35">
      <c r="A512" s="1">
        <v>44621</v>
      </c>
      <c r="B512" t="s">
        <v>25</v>
      </c>
      <c r="C512" t="s">
        <v>14</v>
      </c>
      <c r="D512">
        <f>AVERAGE(1600,1800,1800,1833)</f>
        <v>1758.25</v>
      </c>
      <c r="E512">
        <v>1</v>
      </c>
      <c r="F512">
        <v>32.218806999999998</v>
      </c>
      <c r="G512">
        <v>62.9</v>
      </c>
      <c r="H512">
        <v>255.8081</v>
      </c>
      <c r="I512">
        <v>18.7</v>
      </c>
      <c r="J512">
        <v>176</v>
      </c>
      <c r="L512">
        <v>1</v>
      </c>
    </row>
    <row r="513" spans="1:12" x14ac:dyDescent="0.35">
      <c r="A513" s="1">
        <v>44621</v>
      </c>
      <c r="B513" t="s">
        <v>25</v>
      </c>
      <c r="C513" t="s">
        <v>16</v>
      </c>
      <c r="D513">
        <f>AVERAGE(1808,1750,1608,1617)</f>
        <v>1695.75</v>
      </c>
      <c r="E513">
        <v>1</v>
      </c>
      <c r="F513">
        <v>27.208611999999999</v>
      </c>
      <c r="G513">
        <v>65</v>
      </c>
      <c r="H513">
        <v>255.8081</v>
      </c>
      <c r="I513">
        <v>18.7</v>
      </c>
      <c r="J513">
        <v>176</v>
      </c>
      <c r="L513">
        <v>1</v>
      </c>
    </row>
    <row r="514" spans="1:12" x14ac:dyDescent="0.35">
      <c r="A514" s="1">
        <v>44621</v>
      </c>
      <c r="B514" t="s">
        <v>25</v>
      </c>
      <c r="C514" t="s">
        <v>24</v>
      </c>
      <c r="D514">
        <f>AVERAGE(1960,1940,1805,1795)</f>
        <v>1875</v>
      </c>
      <c r="E514">
        <v>1</v>
      </c>
      <c r="F514">
        <v>31.857610000000001</v>
      </c>
      <c r="G514">
        <v>98.7</v>
      </c>
      <c r="H514">
        <v>255.8081</v>
      </c>
      <c r="I514">
        <v>18.7</v>
      </c>
      <c r="J514">
        <v>176</v>
      </c>
      <c r="L514">
        <v>1</v>
      </c>
    </row>
    <row r="515" spans="1:12" x14ac:dyDescent="0.35">
      <c r="A515" s="1">
        <v>44652</v>
      </c>
      <c r="B515" t="s">
        <v>10</v>
      </c>
      <c r="C515" t="s">
        <v>11</v>
      </c>
      <c r="D515">
        <f>AVERAGE(1842,1663,1577)</f>
        <v>1694</v>
      </c>
      <c r="E515">
        <v>0</v>
      </c>
      <c r="F515">
        <v>28.791332000000001</v>
      </c>
      <c r="G515">
        <v>231.40001000000001</v>
      </c>
      <c r="H515">
        <v>319.44040000000001</v>
      </c>
      <c r="I515">
        <v>29.8</v>
      </c>
      <c r="J515">
        <v>289</v>
      </c>
      <c r="L515">
        <v>1</v>
      </c>
    </row>
    <row r="516" spans="1:12" x14ac:dyDescent="0.35">
      <c r="A516" s="1">
        <v>44652</v>
      </c>
      <c r="B516" t="s">
        <v>10</v>
      </c>
      <c r="C516" t="s">
        <v>12</v>
      </c>
      <c r="D516">
        <f>AVERAGE(1663,2000,2058)</f>
        <v>1907</v>
      </c>
      <c r="E516">
        <v>0</v>
      </c>
      <c r="F516">
        <v>29.669333999999999</v>
      </c>
      <c r="G516">
        <v>240.1</v>
      </c>
      <c r="H516">
        <v>319.44040000000001</v>
      </c>
      <c r="I516">
        <v>29.8</v>
      </c>
      <c r="J516">
        <v>289</v>
      </c>
      <c r="L516">
        <v>1</v>
      </c>
    </row>
    <row r="517" spans="1:12" x14ac:dyDescent="0.35">
      <c r="A517" s="1">
        <v>44652</v>
      </c>
      <c r="B517" t="s">
        <v>10</v>
      </c>
      <c r="C517" t="s">
        <v>13</v>
      </c>
      <c r="D517">
        <f>AVERAGE(1690,1690,1490)</f>
        <v>1623.3333333333333</v>
      </c>
      <c r="E517">
        <v>0</v>
      </c>
      <c r="F517">
        <v>20.4085</v>
      </c>
      <c r="G517">
        <v>164.90001000000001</v>
      </c>
      <c r="H517">
        <v>319.44040000000001</v>
      </c>
      <c r="I517">
        <v>29.8</v>
      </c>
      <c r="J517">
        <v>289</v>
      </c>
      <c r="L517">
        <v>1</v>
      </c>
    </row>
    <row r="518" spans="1:12" x14ac:dyDescent="0.35">
      <c r="A518" s="1">
        <v>44652</v>
      </c>
      <c r="B518" t="s">
        <v>10</v>
      </c>
      <c r="C518" t="s">
        <v>14</v>
      </c>
      <c r="D518">
        <f>AVERAGE(1566,1775,2000)</f>
        <v>1780.3333333333333</v>
      </c>
      <c r="E518">
        <v>0</v>
      </c>
      <c r="F518">
        <v>30.586334000000001</v>
      </c>
      <c r="G518">
        <v>230.4</v>
      </c>
      <c r="H518">
        <v>319.44040000000001</v>
      </c>
      <c r="I518">
        <v>29.8</v>
      </c>
      <c r="J518">
        <v>289</v>
      </c>
      <c r="L518">
        <v>1</v>
      </c>
    </row>
    <row r="519" spans="1:12" x14ac:dyDescent="0.35">
      <c r="A519" s="1">
        <v>44652</v>
      </c>
      <c r="B519" t="s">
        <v>10</v>
      </c>
      <c r="C519" t="s">
        <v>15</v>
      </c>
      <c r="D519">
        <f>AVERAGE(2000,1645)</f>
        <v>1822.5</v>
      </c>
      <c r="E519">
        <v>0</v>
      </c>
      <c r="F519">
        <v>30.036335000000001</v>
      </c>
      <c r="G519">
        <v>335.1</v>
      </c>
      <c r="H519">
        <v>319.44040000000001</v>
      </c>
      <c r="I519">
        <v>29.8</v>
      </c>
      <c r="J519">
        <v>289</v>
      </c>
      <c r="L519">
        <v>1</v>
      </c>
    </row>
    <row r="520" spans="1:12" x14ac:dyDescent="0.35">
      <c r="A520" s="1">
        <v>44652</v>
      </c>
      <c r="B520" t="s">
        <v>10</v>
      </c>
      <c r="C520" t="s">
        <v>16</v>
      </c>
      <c r="D520">
        <f>AVERAGE(1620,1666,1941)</f>
        <v>1742.3333333333333</v>
      </c>
      <c r="E520">
        <v>0</v>
      </c>
      <c r="F520">
        <v>27.380333</v>
      </c>
      <c r="G520">
        <v>250.8</v>
      </c>
      <c r="H520">
        <v>319.44040000000001</v>
      </c>
      <c r="I520">
        <v>29.8</v>
      </c>
      <c r="J520">
        <v>289</v>
      </c>
      <c r="L520">
        <v>1</v>
      </c>
    </row>
    <row r="521" spans="1:12" x14ac:dyDescent="0.35">
      <c r="A521" s="1">
        <v>44652</v>
      </c>
      <c r="B521" t="s">
        <v>10</v>
      </c>
      <c r="C521" t="s">
        <v>17</v>
      </c>
      <c r="D521">
        <f>AVERAGE(1883,1733,1583)</f>
        <v>1733</v>
      </c>
      <c r="E521">
        <v>0</v>
      </c>
      <c r="F521">
        <v>31.499331999999999</v>
      </c>
      <c r="G521">
        <v>230</v>
      </c>
      <c r="H521">
        <v>319.44040000000001</v>
      </c>
      <c r="I521">
        <v>29.8</v>
      </c>
      <c r="J521">
        <v>289</v>
      </c>
      <c r="L521">
        <v>1</v>
      </c>
    </row>
    <row r="522" spans="1:12" x14ac:dyDescent="0.35">
      <c r="A522" s="1">
        <v>44652</v>
      </c>
      <c r="B522" t="s">
        <v>10</v>
      </c>
      <c r="C522" t="s">
        <v>18</v>
      </c>
      <c r="D522">
        <f>AVERAGE(1513,1575,1888)</f>
        <v>1658.6666666666667</v>
      </c>
      <c r="E522">
        <v>0</v>
      </c>
      <c r="F522">
        <v>29.747335</v>
      </c>
      <c r="G522">
        <v>220.7</v>
      </c>
      <c r="H522">
        <v>319.44040000000001</v>
      </c>
      <c r="I522">
        <v>29.8</v>
      </c>
      <c r="J522">
        <v>289</v>
      </c>
      <c r="L522">
        <v>1</v>
      </c>
    </row>
    <row r="523" spans="1:12" x14ac:dyDescent="0.35">
      <c r="A523" s="1">
        <v>44652</v>
      </c>
      <c r="B523" t="s">
        <v>10</v>
      </c>
      <c r="C523" t="s">
        <v>19</v>
      </c>
      <c r="D523">
        <f>AVERAGE(1850,1780,1580)</f>
        <v>1736.6666666666667</v>
      </c>
      <c r="E523">
        <v>0</v>
      </c>
      <c r="F523">
        <v>30.608333999999999</v>
      </c>
      <c r="G523">
        <v>289</v>
      </c>
      <c r="H523">
        <v>319.44040000000001</v>
      </c>
      <c r="I523">
        <v>29.8</v>
      </c>
      <c r="J523">
        <v>289</v>
      </c>
      <c r="L523">
        <v>1</v>
      </c>
    </row>
    <row r="524" spans="1:12" x14ac:dyDescent="0.35">
      <c r="A524" s="1">
        <v>44652</v>
      </c>
      <c r="B524" t="s">
        <v>10</v>
      </c>
      <c r="C524" t="s">
        <v>20</v>
      </c>
      <c r="D524">
        <f>AVERAGE(1500,1600,1630)</f>
        <v>1576.6666666666667</v>
      </c>
      <c r="E524">
        <v>0</v>
      </c>
      <c r="F524">
        <v>29.757999999999999</v>
      </c>
      <c r="G524">
        <v>228</v>
      </c>
      <c r="H524">
        <v>319.44040000000001</v>
      </c>
      <c r="I524">
        <v>29.8</v>
      </c>
      <c r="J524">
        <v>289</v>
      </c>
      <c r="L524">
        <v>1</v>
      </c>
    </row>
    <row r="525" spans="1:12" x14ac:dyDescent="0.35">
      <c r="A525" s="1">
        <v>44652</v>
      </c>
      <c r="B525" t="s">
        <v>10</v>
      </c>
      <c r="C525" t="s">
        <v>21</v>
      </c>
      <c r="D525">
        <f>AVERAGE(1950,1750,1625)</f>
        <v>1775</v>
      </c>
      <c r="E525">
        <v>0</v>
      </c>
      <c r="F525">
        <v>29.531666000000001</v>
      </c>
      <c r="G525">
        <v>184.5</v>
      </c>
      <c r="H525">
        <v>319.44040000000001</v>
      </c>
      <c r="I525">
        <v>29.8</v>
      </c>
      <c r="J525">
        <v>289</v>
      </c>
      <c r="L525">
        <v>1</v>
      </c>
    </row>
    <row r="526" spans="1:12" x14ac:dyDescent="0.35">
      <c r="A526" s="1">
        <v>44652</v>
      </c>
      <c r="B526" t="s">
        <v>10</v>
      </c>
      <c r="C526" t="s">
        <v>22</v>
      </c>
      <c r="D526">
        <f>AVERAGE(1650,1730,2000)</f>
        <v>1793.3333333333333</v>
      </c>
      <c r="E526">
        <v>0</v>
      </c>
      <c r="F526">
        <v>28.694334000000001</v>
      </c>
      <c r="G526">
        <v>122.9</v>
      </c>
      <c r="H526">
        <v>319.44040000000001</v>
      </c>
      <c r="I526">
        <v>29.8</v>
      </c>
      <c r="J526">
        <v>289</v>
      </c>
      <c r="L526">
        <v>1</v>
      </c>
    </row>
    <row r="527" spans="1:12" x14ac:dyDescent="0.35">
      <c r="A527" s="1">
        <v>44652</v>
      </c>
      <c r="B527" t="s">
        <v>10</v>
      </c>
      <c r="C527" t="s">
        <v>23</v>
      </c>
      <c r="D527">
        <f>AVERAGE(2050,1780,1610)</f>
        <v>1813.3333333333333</v>
      </c>
      <c r="E527">
        <v>0</v>
      </c>
      <c r="F527">
        <v>30.857334000000002</v>
      </c>
      <c r="G527">
        <v>82.6</v>
      </c>
      <c r="H527">
        <v>319.44040000000001</v>
      </c>
      <c r="I527">
        <v>29.8</v>
      </c>
      <c r="J527">
        <v>289</v>
      </c>
      <c r="L527">
        <v>1</v>
      </c>
    </row>
    <row r="528" spans="1:12" x14ac:dyDescent="0.35">
      <c r="A528" s="1">
        <v>44652</v>
      </c>
      <c r="B528" t="s">
        <v>10</v>
      </c>
      <c r="C528" t="s">
        <v>24</v>
      </c>
      <c r="D528">
        <f>AVERAGE(1600,1810,1900)</f>
        <v>1770</v>
      </c>
      <c r="E528">
        <v>0</v>
      </c>
      <c r="F528">
        <v>31.579333999999999</v>
      </c>
      <c r="G528">
        <v>205.7</v>
      </c>
      <c r="H528">
        <v>319.44040000000001</v>
      </c>
      <c r="I528">
        <v>29.8</v>
      </c>
      <c r="J528">
        <v>289</v>
      </c>
      <c r="L528">
        <v>1</v>
      </c>
    </row>
    <row r="529" spans="1:12" x14ac:dyDescent="0.35">
      <c r="A529" s="1">
        <v>44652</v>
      </c>
      <c r="B529" t="s">
        <v>25</v>
      </c>
      <c r="C529" t="s">
        <v>11</v>
      </c>
      <c r="D529">
        <f>AVERAGE(1955,2166,2266)</f>
        <v>2129</v>
      </c>
      <c r="E529">
        <v>0</v>
      </c>
      <c r="F529">
        <v>28.791332000000001</v>
      </c>
      <c r="G529">
        <v>231.40001000000001</v>
      </c>
      <c r="H529">
        <v>319.44040000000001</v>
      </c>
      <c r="I529">
        <v>29.8</v>
      </c>
      <c r="J529">
        <v>289</v>
      </c>
      <c r="L529">
        <v>1</v>
      </c>
    </row>
    <row r="530" spans="1:12" x14ac:dyDescent="0.35">
      <c r="A530" s="1">
        <v>44652</v>
      </c>
      <c r="B530" t="s">
        <v>25</v>
      </c>
      <c r="C530" t="s">
        <v>12</v>
      </c>
      <c r="D530">
        <f>AVERAGE(2875,2783,2292)</f>
        <v>2650</v>
      </c>
      <c r="E530">
        <v>0</v>
      </c>
      <c r="F530">
        <v>29.669333999999999</v>
      </c>
      <c r="G530">
        <v>240.1</v>
      </c>
      <c r="H530">
        <v>319.44040000000001</v>
      </c>
      <c r="I530">
        <v>29.8</v>
      </c>
      <c r="J530">
        <v>289</v>
      </c>
      <c r="L530">
        <v>1</v>
      </c>
    </row>
    <row r="531" spans="1:12" x14ac:dyDescent="0.35">
      <c r="A531" s="1">
        <v>44652</v>
      </c>
      <c r="B531" t="s">
        <v>25</v>
      </c>
      <c r="C531" t="s">
        <v>14</v>
      </c>
      <c r="D531">
        <f>AVERAGE(2000,2100,2400)</f>
        <v>2166.6666666666665</v>
      </c>
      <c r="E531">
        <v>0</v>
      </c>
      <c r="F531">
        <v>30.586334000000001</v>
      </c>
      <c r="G531">
        <v>230.4</v>
      </c>
      <c r="H531">
        <v>319.44040000000001</v>
      </c>
      <c r="I531">
        <v>29.8</v>
      </c>
      <c r="J531">
        <v>289</v>
      </c>
      <c r="L531">
        <v>1</v>
      </c>
    </row>
    <row r="532" spans="1:12" x14ac:dyDescent="0.35">
      <c r="A532" s="1">
        <v>44652</v>
      </c>
      <c r="B532" t="s">
        <v>25</v>
      </c>
      <c r="C532" t="s">
        <v>16</v>
      </c>
      <c r="D532">
        <f>AVERAGE(1713,1937,2216)</f>
        <v>1955.3333333333333</v>
      </c>
      <c r="E532">
        <v>0</v>
      </c>
      <c r="F532">
        <v>27.380333</v>
      </c>
      <c r="G532">
        <v>250.8</v>
      </c>
      <c r="H532">
        <v>319.44040000000001</v>
      </c>
      <c r="I532">
        <v>29.8</v>
      </c>
      <c r="J532">
        <v>289</v>
      </c>
      <c r="L532">
        <v>1</v>
      </c>
    </row>
    <row r="533" spans="1:12" x14ac:dyDescent="0.35">
      <c r="A533" s="1">
        <v>44652</v>
      </c>
      <c r="B533" t="s">
        <v>25</v>
      </c>
      <c r="C533" t="s">
        <v>24</v>
      </c>
      <c r="D533">
        <f>AVERAGE(2280,2280,1950)</f>
        <v>2170</v>
      </c>
      <c r="E533">
        <v>0</v>
      </c>
      <c r="F533">
        <v>31.579333999999999</v>
      </c>
      <c r="G533">
        <v>205.7</v>
      </c>
      <c r="H533">
        <v>319.44040000000001</v>
      </c>
      <c r="I533">
        <v>29.8</v>
      </c>
      <c r="J533">
        <v>289</v>
      </c>
      <c r="L533">
        <v>1</v>
      </c>
    </row>
    <row r="534" spans="1:12" x14ac:dyDescent="0.35">
      <c r="A534" s="1">
        <v>44682</v>
      </c>
      <c r="B534" t="s">
        <v>10</v>
      </c>
      <c r="C534" t="s">
        <v>11</v>
      </c>
      <c r="D534">
        <f>AVERAGE(1731,1752,1825,1918)</f>
        <v>1806.5</v>
      </c>
      <c r="E534">
        <v>0</v>
      </c>
      <c r="F534">
        <v>27.324290999999999</v>
      </c>
      <c r="G534">
        <v>191.70000999999999</v>
      </c>
      <c r="H534">
        <v>358.93900000000002</v>
      </c>
      <c r="I534">
        <v>39.1</v>
      </c>
      <c r="J534">
        <v>289</v>
      </c>
      <c r="L534">
        <v>0</v>
      </c>
    </row>
    <row r="535" spans="1:12" x14ac:dyDescent="0.35">
      <c r="A535" s="1">
        <v>44682</v>
      </c>
      <c r="B535" t="s">
        <v>10</v>
      </c>
      <c r="C535" t="s">
        <v>12</v>
      </c>
      <c r="D535">
        <f>AVERAGE(2072,1783,1826,1761)</f>
        <v>1860.5</v>
      </c>
      <c r="E535">
        <v>0</v>
      </c>
      <c r="F535">
        <v>27.695032000000001</v>
      </c>
      <c r="G535">
        <v>206.5</v>
      </c>
      <c r="H535">
        <v>358.93900000000002</v>
      </c>
      <c r="I535">
        <v>39.1</v>
      </c>
      <c r="J535">
        <v>289</v>
      </c>
      <c r="L535">
        <v>0</v>
      </c>
    </row>
    <row r="536" spans="1:12" x14ac:dyDescent="0.35">
      <c r="A536" s="1">
        <v>44682</v>
      </c>
      <c r="B536" t="s">
        <v>10</v>
      </c>
      <c r="C536" t="s">
        <v>13</v>
      </c>
      <c r="D536">
        <f>AVERAGE(1795,1790,1740,1890)</f>
        <v>1803.75</v>
      </c>
      <c r="E536">
        <v>0</v>
      </c>
      <c r="F536">
        <v>18.518661000000002</v>
      </c>
      <c r="G536">
        <v>371.4</v>
      </c>
      <c r="H536">
        <v>358.93900000000002</v>
      </c>
      <c r="I536">
        <v>39.1</v>
      </c>
      <c r="J536">
        <v>289</v>
      </c>
      <c r="L536">
        <v>0</v>
      </c>
    </row>
    <row r="537" spans="1:12" x14ac:dyDescent="0.35">
      <c r="A537" s="1">
        <v>44682</v>
      </c>
      <c r="B537" t="s">
        <v>10</v>
      </c>
      <c r="C537" t="s">
        <v>14</v>
      </c>
      <c r="D537">
        <f>AVERAGE(2000,1800,1833,1866)</f>
        <v>1874.75</v>
      </c>
      <c r="E537">
        <v>0</v>
      </c>
      <c r="F537">
        <v>28.32687</v>
      </c>
      <c r="G537">
        <v>358.1</v>
      </c>
      <c r="H537">
        <v>358.93900000000002</v>
      </c>
      <c r="I537">
        <v>39.1</v>
      </c>
      <c r="J537">
        <v>289</v>
      </c>
      <c r="L537">
        <v>0</v>
      </c>
    </row>
    <row r="538" spans="1:12" x14ac:dyDescent="0.35">
      <c r="A538" s="1">
        <v>44682</v>
      </c>
      <c r="B538" t="s">
        <v>10</v>
      </c>
      <c r="C538" t="s">
        <v>15</v>
      </c>
      <c r="D538">
        <f>AVERAGE(1718,1830,1788,2050)</f>
        <v>1846.5</v>
      </c>
      <c r="E538">
        <v>0</v>
      </c>
      <c r="F538">
        <v>28.613323000000001</v>
      </c>
      <c r="G538">
        <v>775</v>
      </c>
      <c r="H538">
        <v>358.93900000000002</v>
      </c>
      <c r="I538">
        <v>39.1</v>
      </c>
      <c r="J538">
        <v>289</v>
      </c>
      <c r="L538">
        <v>0</v>
      </c>
    </row>
    <row r="539" spans="1:12" x14ac:dyDescent="0.35">
      <c r="A539" s="1">
        <v>44682</v>
      </c>
      <c r="B539" t="s">
        <v>10</v>
      </c>
      <c r="C539" t="s">
        <v>16</v>
      </c>
      <c r="D539">
        <f>AVERAGE(2033,1908,1825,1629)</f>
        <v>1848.75</v>
      </c>
      <c r="E539">
        <v>0</v>
      </c>
      <c r="F539">
        <v>28.992483</v>
      </c>
      <c r="G539">
        <v>143</v>
      </c>
      <c r="H539">
        <v>358.93900000000002</v>
      </c>
      <c r="I539">
        <v>39.1</v>
      </c>
      <c r="J539">
        <v>289</v>
      </c>
      <c r="L539">
        <v>0</v>
      </c>
    </row>
    <row r="540" spans="1:12" x14ac:dyDescent="0.35">
      <c r="A540" s="1">
        <v>44682</v>
      </c>
      <c r="B540" t="s">
        <v>10</v>
      </c>
      <c r="C540" t="s">
        <v>17</v>
      </c>
      <c r="D540">
        <f>AVERAGE(1833,1833,1900,2017)</f>
        <v>1895.75</v>
      </c>
      <c r="E540">
        <v>0</v>
      </c>
      <c r="F540">
        <v>29.273743</v>
      </c>
      <c r="G540">
        <v>224.7</v>
      </c>
      <c r="H540">
        <v>358.93900000000002</v>
      </c>
      <c r="I540">
        <v>39.1</v>
      </c>
      <c r="J540">
        <v>289</v>
      </c>
      <c r="L540">
        <v>0</v>
      </c>
    </row>
    <row r="541" spans="1:12" x14ac:dyDescent="0.35">
      <c r="A541" s="1">
        <v>44682</v>
      </c>
      <c r="B541" t="s">
        <v>10</v>
      </c>
      <c r="C541" t="s">
        <v>18</v>
      </c>
      <c r="D541">
        <f>AVERAGE(1875,1838,1863,1788)</f>
        <v>1841</v>
      </c>
      <c r="E541">
        <v>0</v>
      </c>
      <c r="F541">
        <v>28.846579999999999</v>
      </c>
      <c r="G541">
        <v>614.30005000000006</v>
      </c>
      <c r="H541">
        <v>358.93900000000002</v>
      </c>
      <c r="I541">
        <v>39.1</v>
      </c>
      <c r="J541">
        <v>289</v>
      </c>
      <c r="L541">
        <v>0</v>
      </c>
    </row>
    <row r="542" spans="1:12" x14ac:dyDescent="0.35">
      <c r="A542" s="1">
        <v>44682</v>
      </c>
      <c r="B542" t="s">
        <v>10</v>
      </c>
      <c r="C542" t="s">
        <v>19</v>
      </c>
      <c r="D542">
        <f>AVERAGE(1820,1840,1940,1990)</f>
        <v>1897.5</v>
      </c>
      <c r="E542">
        <v>0</v>
      </c>
      <c r="F542">
        <v>29.243062999999999</v>
      </c>
      <c r="G542">
        <v>525.9</v>
      </c>
      <c r="H542">
        <v>358.93900000000002</v>
      </c>
      <c r="I542">
        <v>39.1</v>
      </c>
      <c r="J542">
        <v>289</v>
      </c>
      <c r="L542">
        <v>0</v>
      </c>
    </row>
    <row r="543" spans="1:12" x14ac:dyDescent="0.35">
      <c r="A543" s="1">
        <v>44682</v>
      </c>
      <c r="B543" t="s">
        <v>10</v>
      </c>
      <c r="C543" t="s">
        <v>20</v>
      </c>
      <c r="D543">
        <f>AVERAGE(1835,1690,1680,1765)</f>
        <v>1742.5</v>
      </c>
      <c r="E543">
        <v>0</v>
      </c>
      <c r="F543">
        <v>28.883483999999999</v>
      </c>
      <c r="G543">
        <v>606.10004000000004</v>
      </c>
      <c r="H543">
        <v>358.93900000000002</v>
      </c>
      <c r="I543">
        <v>39.1</v>
      </c>
      <c r="J543">
        <v>289</v>
      </c>
      <c r="L543">
        <v>0</v>
      </c>
    </row>
    <row r="544" spans="1:12" x14ac:dyDescent="0.35">
      <c r="A544" s="1">
        <v>44682</v>
      </c>
      <c r="B544" t="s">
        <v>10</v>
      </c>
      <c r="C544" t="s">
        <v>21</v>
      </c>
      <c r="D544">
        <f>AVERAGE(1735,1825,1700,2020)</f>
        <v>1820</v>
      </c>
      <c r="E544">
        <v>0</v>
      </c>
      <c r="F544">
        <v>28.818709999999999</v>
      </c>
      <c r="G544">
        <v>530.29999999999995</v>
      </c>
      <c r="H544">
        <v>358.93900000000002</v>
      </c>
      <c r="I544">
        <v>39.1</v>
      </c>
      <c r="J544">
        <v>289</v>
      </c>
      <c r="L544">
        <v>0</v>
      </c>
    </row>
    <row r="545" spans="1:12" x14ac:dyDescent="0.35">
      <c r="A545" s="1">
        <v>44682</v>
      </c>
      <c r="B545" t="s">
        <v>10</v>
      </c>
      <c r="C545" t="s">
        <v>22</v>
      </c>
      <c r="D545">
        <f>AVERAGE(2075,2000,1900,1901)</f>
        <v>1969</v>
      </c>
      <c r="E545">
        <v>0</v>
      </c>
      <c r="F545">
        <v>28.191647</v>
      </c>
      <c r="G545">
        <v>310.3</v>
      </c>
      <c r="H545">
        <v>358.93900000000002</v>
      </c>
      <c r="I545">
        <v>39.1</v>
      </c>
      <c r="J545">
        <v>289</v>
      </c>
      <c r="L545">
        <v>0</v>
      </c>
    </row>
    <row r="546" spans="1:12" x14ac:dyDescent="0.35">
      <c r="A546" s="1">
        <v>44682</v>
      </c>
      <c r="B546" t="s">
        <v>10</v>
      </c>
      <c r="C546" t="s">
        <v>23</v>
      </c>
      <c r="D546">
        <f>AVERAGE(1650,1700,1800,2050)</f>
        <v>1800</v>
      </c>
      <c r="E546">
        <v>0</v>
      </c>
      <c r="F546">
        <v>30.783677999999998</v>
      </c>
      <c r="G546">
        <v>121.3</v>
      </c>
      <c r="H546">
        <v>358.93900000000002</v>
      </c>
      <c r="I546">
        <v>39.1</v>
      </c>
      <c r="J546">
        <v>289</v>
      </c>
      <c r="L546">
        <v>0</v>
      </c>
    </row>
    <row r="547" spans="1:12" x14ac:dyDescent="0.35">
      <c r="A547" s="1">
        <v>44682</v>
      </c>
      <c r="B547" t="s">
        <v>10</v>
      </c>
      <c r="C547" t="s">
        <v>24</v>
      </c>
      <c r="D547">
        <f>AVERAGE(1990,1875,1808,1633)</f>
        <v>1826.5</v>
      </c>
      <c r="E547">
        <v>0</v>
      </c>
      <c r="F547">
        <v>33.091479999999997</v>
      </c>
      <c r="G547">
        <v>66</v>
      </c>
      <c r="H547">
        <v>358.93900000000002</v>
      </c>
      <c r="I547">
        <v>39.1</v>
      </c>
      <c r="J547">
        <v>289</v>
      </c>
      <c r="L547">
        <v>0</v>
      </c>
    </row>
    <row r="548" spans="1:12" x14ac:dyDescent="0.35">
      <c r="A548" s="1">
        <v>44682</v>
      </c>
      <c r="B548" t="s">
        <v>25</v>
      </c>
      <c r="C548" t="s">
        <v>11</v>
      </c>
      <c r="D548">
        <f>AVERAGE(2416,2337,2533,2300)</f>
        <v>2396.5</v>
      </c>
      <c r="E548">
        <v>0</v>
      </c>
      <c r="F548">
        <v>27.324290999999999</v>
      </c>
      <c r="G548">
        <v>191.70000999999999</v>
      </c>
      <c r="H548">
        <v>358.93900000000002</v>
      </c>
      <c r="I548">
        <v>39.1</v>
      </c>
      <c r="J548">
        <v>289</v>
      </c>
      <c r="L548">
        <v>0</v>
      </c>
    </row>
    <row r="549" spans="1:12" x14ac:dyDescent="0.35">
      <c r="A549" s="1">
        <v>44682</v>
      </c>
      <c r="B549" t="s">
        <v>25</v>
      </c>
      <c r="C549" t="s">
        <v>12</v>
      </c>
      <c r="D549">
        <f>AVERAGE(2772,2854,2325,2746)</f>
        <v>2674.25</v>
      </c>
      <c r="E549">
        <v>0</v>
      </c>
      <c r="F549">
        <v>27.695032000000001</v>
      </c>
      <c r="G549">
        <v>206.5</v>
      </c>
      <c r="H549">
        <v>358.93900000000002</v>
      </c>
      <c r="I549">
        <v>39.1</v>
      </c>
      <c r="J549">
        <v>289</v>
      </c>
      <c r="L549">
        <v>0</v>
      </c>
    </row>
    <row r="550" spans="1:12" x14ac:dyDescent="0.35">
      <c r="A550" s="1">
        <v>44682</v>
      </c>
      <c r="B550" t="s">
        <v>25</v>
      </c>
      <c r="C550" t="s">
        <v>14</v>
      </c>
      <c r="D550">
        <f>AVERAGE(2500,2450,2233,2100)</f>
        <v>2320.75</v>
      </c>
      <c r="E550">
        <v>0</v>
      </c>
      <c r="F550">
        <v>28.32687</v>
      </c>
      <c r="G550">
        <v>358.1</v>
      </c>
      <c r="H550">
        <v>358.93900000000002</v>
      </c>
      <c r="I550">
        <v>39.1</v>
      </c>
      <c r="J550">
        <v>289</v>
      </c>
      <c r="L550">
        <v>0</v>
      </c>
    </row>
    <row r="551" spans="1:12" x14ac:dyDescent="0.35">
      <c r="A551" s="1">
        <v>44682</v>
      </c>
      <c r="B551" t="s">
        <v>25</v>
      </c>
      <c r="C551" t="s">
        <v>16</v>
      </c>
      <c r="D551">
        <f>AVERAGE(1825,2125,2200,2400)</f>
        <v>2137.5</v>
      </c>
      <c r="E551">
        <v>0</v>
      </c>
      <c r="F551">
        <v>28.992483</v>
      </c>
      <c r="G551">
        <v>143</v>
      </c>
      <c r="H551">
        <v>358.93900000000002</v>
      </c>
      <c r="I551">
        <v>39.1</v>
      </c>
      <c r="J551">
        <v>289</v>
      </c>
      <c r="L551">
        <v>0</v>
      </c>
    </row>
    <row r="552" spans="1:12" x14ac:dyDescent="0.35">
      <c r="A552" s="1">
        <v>44682</v>
      </c>
      <c r="B552" t="s">
        <v>25</v>
      </c>
      <c r="C552" t="s">
        <v>24</v>
      </c>
      <c r="D552">
        <f>AVERAGE(2433,2500,2650,2900)</f>
        <v>2620.75</v>
      </c>
      <c r="E552">
        <v>0</v>
      </c>
      <c r="F552">
        <v>33.091479999999997</v>
      </c>
      <c r="G552">
        <v>66</v>
      </c>
      <c r="H552">
        <v>358.93900000000002</v>
      </c>
      <c r="I552">
        <v>39.1</v>
      </c>
      <c r="J552">
        <v>289</v>
      </c>
      <c r="L552">
        <v>0</v>
      </c>
    </row>
    <row r="553" spans="1:12" x14ac:dyDescent="0.35">
      <c r="A553" s="1">
        <v>44713</v>
      </c>
      <c r="B553" t="s">
        <v>10</v>
      </c>
      <c r="C553" t="s">
        <v>11</v>
      </c>
      <c r="D553">
        <f>AVERAGE(1918,1825,1752,1731)</f>
        <v>1806.5</v>
      </c>
      <c r="E553">
        <v>1</v>
      </c>
      <c r="F553">
        <v>27.471333999999999</v>
      </c>
      <c r="G553">
        <v>70.400000000000006</v>
      </c>
      <c r="H553">
        <v>360.24279999999999</v>
      </c>
      <c r="I553">
        <v>54.6</v>
      </c>
      <c r="J553">
        <v>430</v>
      </c>
      <c r="L553">
        <v>0</v>
      </c>
    </row>
    <row r="554" spans="1:12" x14ac:dyDescent="0.35">
      <c r="A554" s="1">
        <v>44713</v>
      </c>
      <c r="B554" t="s">
        <v>10</v>
      </c>
      <c r="C554" t="s">
        <v>12</v>
      </c>
      <c r="D554">
        <f>AVERAGE(1761,1826,1783,2072)</f>
        <v>1860.5</v>
      </c>
      <c r="E554">
        <v>1</v>
      </c>
      <c r="F554">
        <v>27.654333000000001</v>
      </c>
      <c r="G554">
        <v>108.1</v>
      </c>
      <c r="H554">
        <v>360.24279999999999</v>
      </c>
      <c r="I554">
        <v>54.6</v>
      </c>
      <c r="J554">
        <v>430</v>
      </c>
      <c r="L554">
        <v>0</v>
      </c>
    </row>
    <row r="555" spans="1:12" x14ac:dyDescent="0.35">
      <c r="A555" s="1">
        <v>44713</v>
      </c>
      <c r="B555" t="s">
        <v>10</v>
      </c>
      <c r="C555" t="s">
        <v>13</v>
      </c>
      <c r="D555">
        <f>AVERAGE(1890,1740,1790,1795)</f>
        <v>1803.75</v>
      </c>
      <c r="E555">
        <v>1</v>
      </c>
      <c r="F555">
        <v>18.301832000000001</v>
      </c>
      <c r="G555">
        <v>137.30000000000001</v>
      </c>
      <c r="H555">
        <v>360.24279999999999</v>
      </c>
      <c r="I555">
        <v>54.6</v>
      </c>
      <c r="J555">
        <v>430</v>
      </c>
      <c r="L555">
        <v>0</v>
      </c>
    </row>
    <row r="556" spans="1:12" x14ac:dyDescent="0.35">
      <c r="A556" s="1">
        <v>44713</v>
      </c>
      <c r="B556" t="s">
        <v>10</v>
      </c>
      <c r="C556" t="s">
        <v>14</v>
      </c>
      <c r="D556">
        <f>AVERAGE(1866,1800,1833,2000)</f>
        <v>1874.75</v>
      </c>
      <c r="E556">
        <v>1</v>
      </c>
      <c r="F556">
        <v>28.391332999999999</v>
      </c>
      <c r="G556">
        <v>140.6</v>
      </c>
      <c r="H556">
        <v>360.24279999999999</v>
      </c>
      <c r="I556">
        <v>54.6</v>
      </c>
      <c r="J556">
        <v>430</v>
      </c>
      <c r="L556">
        <v>0</v>
      </c>
    </row>
    <row r="557" spans="1:12" x14ac:dyDescent="0.35">
      <c r="A557" s="1">
        <v>44713</v>
      </c>
      <c r="B557" t="s">
        <v>10</v>
      </c>
      <c r="C557" t="s">
        <v>15</v>
      </c>
      <c r="D557">
        <f>AVERAGE(2050,1788,1830,1718)</f>
        <v>1846.5</v>
      </c>
      <c r="E557">
        <v>1</v>
      </c>
      <c r="F557">
        <v>28.597999999999999</v>
      </c>
      <c r="G557">
        <v>301.10000000000002</v>
      </c>
      <c r="H557">
        <v>360.24279999999999</v>
      </c>
      <c r="I557">
        <v>54.6</v>
      </c>
      <c r="J557">
        <v>430</v>
      </c>
      <c r="L557">
        <v>0</v>
      </c>
    </row>
    <row r="558" spans="1:12" x14ac:dyDescent="0.35">
      <c r="A558" s="1">
        <v>44713</v>
      </c>
      <c r="B558" t="s">
        <v>10</v>
      </c>
      <c r="C558" t="s">
        <v>16</v>
      </c>
      <c r="D558">
        <f>AVERAGE(1629,1825,1908,2033)</f>
        <v>1848.75</v>
      </c>
      <c r="E558">
        <v>1</v>
      </c>
      <c r="F558">
        <v>28.450330000000001</v>
      </c>
      <c r="G558">
        <v>152.5</v>
      </c>
      <c r="H558">
        <v>360.24279999999999</v>
      </c>
      <c r="I558">
        <v>54.6</v>
      </c>
      <c r="J558">
        <v>430</v>
      </c>
      <c r="L558">
        <v>0</v>
      </c>
    </row>
    <row r="559" spans="1:12" x14ac:dyDescent="0.35">
      <c r="A559" s="1">
        <v>44713</v>
      </c>
      <c r="B559" t="s">
        <v>10</v>
      </c>
      <c r="C559" t="s">
        <v>17</v>
      </c>
      <c r="D559">
        <f>AVERAGE(2017,1900,1833,1833)</f>
        <v>1895.75</v>
      </c>
      <c r="E559">
        <v>1</v>
      </c>
      <c r="F559">
        <v>29.347666</v>
      </c>
      <c r="G559">
        <v>103.2</v>
      </c>
      <c r="H559">
        <v>360.24279999999999</v>
      </c>
      <c r="I559">
        <v>54.6</v>
      </c>
      <c r="J559">
        <v>430</v>
      </c>
      <c r="L559">
        <v>0</v>
      </c>
    </row>
    <row r="560" spans="1:12" x14ac:dyDescent="0.35">
      <c r="A560" s="1">
        <v>44713</v>
      </c>
      <c r="B560" t="s">
        <v>10</v>
      </c>
      <c r="C560" t="s">
        <v>18</v>
      </c>
      <c r="D560">
        <f>AVERAGE(1788,1863,1838,1875)</f>
        <v>1841</v>
      </c>
      <c r="E560">
        <v>1</v>
      </c>
      <c r="F560">
        <v>28.452332999999999</v>
      </c>
      <c r="G560">
        <v>253.5</v>
      </c>
      <c r="H560">
        <v>360.24279999999999</v>
      </c>
      <c r="I560">
        <v>54.6</v>
      </c>
      <c r="J560">
        <v>430</v>
      </c>
      <c r="L560">
        <v>0</v>
      </c>
    </row>
    <row r="561" spans="1:12" x14ac:dyDescent="0.35">
      <c r="A561" s="1">
        <v>44713</v>
      </c>
      <c r="B561" t="s">
        <v>10</v>
      </c>
      <c r="C561" t="s">
        <v>19</v>
      </c>
      <c r="D561">
        <f>AVERAGE(1990,1940,1840,1820)</f>
        <v>1897.5</v>
      </c>
      <c r="E561">
        <v>1</v>
      </c>
      <c r="F561">
        <v>29.008333</v>
      </c>
      <c r="G561">
        <v>216.09998999999999</v>
      </c>
      <c r="H561">
        <v>360.24279999999999</v>
      </c>
      <c r="I561">
        <v>54.6</v>
      </c>
      <c r="J561">
        <v>430</v>
      </c>
      <c r="L561">
        <v>0</v>
      </c>
    </row>
    <row r="562" spans="1:12" x14ac:dyDescent="0.35">
      <c r="A562" s="1">
        <v>44713</v>
      </c>
      <c r="B562" t="s">
        <v>10</v>
      </c>
      <c r="C562" t="s">
        <v>20</v>
      </c>
      <c r="D562">
        <f>AVERAGE(1765,1690,1680,1835)</f>
        <v>1742.5</v>
      </c>
      <c r="E562">
        <v>1</v>
      </c>
      <c r="F562">
        <v>28.433</v>
      </c>
      <c r="G562">
        <v>297.7</v>
      </c>
      <c r="H562">
        <v>360.24279999999999</v>
      </c>
      <c r="I562">
        <v>54.6</v>
      </c>
      <c r="J562">
        <v>430</v>
      </c>
      <c r="L562">
        <v>0</v>
      </c>
    </row>
    <row r="563" spans="1:12" x14ac:dyDescent="0.35">
      <c r="A563" s="1">
        <v>44713</v>
      </c>
      <c r="B563" t="s">
        <v>10</v>
      </c>
      <c r="C563" t="s">
        <v>21</v>
      </c>
      <c r="D563">
        <f>AVERAGE(2020,1700,1825,1735)</f>
        <v>1820</v>
      </c>
      <c r="E563">
        <v>1</v>
      </c>
      <c r="F563">
        <v>28.351665000000001</v>
      </c>
      <c r="G563">
        <v>259.10000000000002</v>
      </c>
      <c r="H563">
        <v>360.24279999999999</v>
      </c>
      <c r="I563">
        <v>54.6</v>
      </c>
      <c r="J563">
        <v>430</v>
      </c>
      <c r="L563">
        <v>0</v>
      </c>
    </row>
    <row r="564" spans="1:12" x14ac:dyDescent="0.35">
      <c r="A564" s="1">
        <v>44713</v>
      </c>
      <c r="B564" t="s">
        <v>10</v>
      </c>
      <c r="C564" t="s">
        <v>22</v>
      </c>
      <c r="D564">
        <f>AVERAGE(1900,1801,2000,2075)</f>
        <v>1944</v>
      </c>
      <c r="E564">
        <v>1</v>
      </c>
      <c r="F564">
        <v>27.795999999999999</v>
      </c>
      <c r="G564">
        <v>117.59999000000001</v>
      </c>
      <c r="H564">
        <v>360.24279999999999</v>
      </c>
      <c r="I564">
        <v>54.6</v>
      </c>
      <c r="J564">
        <v>430</v>
      </c>
      <c r="L564">
        <v>0</v>
      </c>
    </row>
    <row r="565" spans="1:12" x14ac:dyDescent="0.35">
      <c r="A565" s="1">
        <v>44713</v>
      </c>
      <c r="B565" t="s">
        <v>10</v>
      </c>
      <c r="C565" t="s">
        <v>23</v>
      </c>
      <c r="D565">
        <f>AVERAGE(2050,1800,1700,1650)</f>
        <v>1800</v>
      </c>
      <c r="E565">
        <v>1</v>
      </c>
      <c r="F565">
        <v>30.675667000000001</v>
      </c>
      <c r="G565">
        <v>42.5</v>
      </c>
      <c r="H565">
        <v>360.24279999999999</v>
      </c>
      <c r="I565">
        <v>54.6</v>
      </c>
      <c r="J565">
        <v>430</v>
      </c>
      <c r="L565">
        <v>0</v>
      </c>
    </row>
    <row r="566" spans="1:12" x14ac:dyDescent="0.35">
      <c r="A566" s="1">
        <v>44713</v>
      </c>
      <c r="B566" t="s">
        <v>10</v>
      </c>
      <c r="C566" t="s">
        <v>24</v>
      </c>
      <c r="D566">
        <f>AVERAGE(1633,1808,1875,1990)</f>
        <v>1826.5</v>
      </c>
      <c r="E566">
        <v>1</v>
      </c>
      <c r="F566">
        <v>34.004330000000003</v>
      </c>
      <c r="G566">
        <v>66.400000000000006</v>
      </c>
      <c r="H566">
        <v>360.24279999999999</v>
      </c>
      <c r="I566">
        <v>54.6</v>
      </c>
      <c r="J566">
        <v>430</v>
      </c>
      <c r="L566">
        <v>0</v>
      </c>
    </row>
    <row r="567" spans="1:12" x14ac:dyDescent="0.35">
      <c r="A567" s="1">
        <v>44713</v>
      </c>
      <c r="B567" t="s">
        <v>25</v>
      </c>
      <c r="C567" t="s">
        <v>11</v>
      </c>
      <c r="D567">
        <f>AVERAGE(2300,2533,2337,2416)</f>
        <v>2396.5</v>
      </c>
      <c r="E567">
        <v>1</v>
      </c>
      <c r="F567">
        <v>27.471333999999999</v>
      </c>
      <c r="G567">
        <v>70.400000000000006</v>
      </c>
      <c r="H567">
        <v>360.24279999999999</v>
      </c>
      <c r="I567">
        <v>54.6</v>
      </c>
      <c r="J567">
        <v>430</v>
      </c>
      <c r="L567">
        <v>0</v>
      </c>
    </row>
    <row r="568" spans="1:12" x14ac:dyDescent="0.35">
      <c r="A568" s="1">
        <v>44713</v>
      </c>
      <c r="B568" t="s">
        <v>25</v>
      </c>
      <c r="C568" t="s">
        <v>12</v>
      </c>
      <c r="D568">
        <f>AVERAGE(2746,2325,2854,2772)</f>
        <v>2674.25</v>
      </c>
      <c r="E568">
        <v>1</v>
      </c>
      <c r="F568">
        <v>27.654333000000001</v>
      </c>
      <c r="G568">
        <v>108.1</v>
      </c>
      <c r="H568">
        <v>360.24279999999999</v>
      </c>
      <c r="I568">
        <v>54.6</v>
      </c>
      <c r="J568">
        <v>430</v>
      </c>
      <c r="L568">
        <v>0</v>
      </c>
    </row>
    <row r="569" spans="1:12" x14ac:dyDescent="0.35">
      <c r="A569" s="1">
        <v>44713</v>
      </c>
      <c r="B569" t="s">
        <v>25</v>
      </c>
      <c r="C569" t="s">
        <v>14</v>
      </c>
      <c r="D569">
        <f>AVERAGE(2100,2233,2450,2500)</f>
        <v>2320.75</v>
      </c>
      <c r="E569">
        <v>1</v>
      </c>
      <c r="F569">
        <v>28.391332999999999</v>
      </c>
      <c r="G569">
        <v>140.6</v>
      </c>
      <c r="H569">
        <v>360.24279999999999</v>
      </c>
      <c r="I569">
        <v>54.6</v>
      </c>
      <c r="J569">
        <v>430</v>
      </c>
      <c r="L569">
        <v>0</v>
      </c>
    </row>
    <row r="570" spans="1:12" x14ac:dyDescent="0.35">
      <c r="A570" s="1">
        <v>44713</v>
      </c>
      <c r="B570" t="s">
        <v>25</v>
      </c>
      <c r="C570" t="s">
        <v>16</v>
      </c>
      <c r="D570">
        <f>AVERAGE(2400,2200,2125,1825)</f>
        <v>2137.5</v>
      </c>
      <c r="E570">
        <v>1</v>
      </c>
      <c r="F570">
        <v>28.450330000000001</v>
      </c>
      <c r="G570">
        <v>152.5</v>
      </c>
      <c r="H570">
        <v>360.24279999999999</v>
      </c>
      <c r="I570">
        <v>54.6</v>
      </c>
      <c r="J570">
        <v>430</v>
      </c>
      <c r="L570">
        <v>0</v>
      </c>
    </row>
    <row r="571" spans="1:12" x14ac:dyDescent="0.35">
      <c r="A571" s="1">
        <v>44713</v>
      </c>
      <c r="B571" t="s">
        <v>25</v>
      </c>
      <c r="C571" t="s">
        <v>24</v>
      </c>
      <c r="D571">
        <f>AVERAGE(2900,2650,2500,2433)</f>
        <v>2620.75</v>
      </c>
      <c r="E571">
        <v>1</v>
      </c>
      <c r="F571">
        <v>34.004330000000003</v>
      </c>
      <c r="G571">
        <v>66.400000000000006</v>
      </c>
      <c r="H571">
        <v>360.24279999999999</v>
      </c>
      <c r="I571">
        <v>54.6</v>
      </c>
      <c r="J571">
        <v>430</v>
      </c>
      <c r="L571">
        <v>0</v>
      </c>
    </row>
    <row r="572" spans="1:12" x14ac:dyDescent="0.35">
      <c r="A572" s="1">
        <v>44743</v>
      </c>
      <c r="B572" t="s">
        <v>10</v>
      </c>
      <c r="C572" t="s">
        <v>11</v>
      </c>
      <c r="D572">
        <f>AVERAGE(1833,1822,1787,1773)</f>
        <v>1803.75</v>
      </c>
      <c r="E572">
        <v>1</v>
      </c>
      <c r="F572">
        <v>27.124289999999998</v>
      </c>
      <c r="G572">
        <v>159.4</v>
      </c>
      <c r="H572">
        <v>360.87240000000003</v>
      </c>
      <c r="I572">
        <v>60.8</v>
      </c>
      <c r="J572">
        <v>430</v>
      </c>
      <c r="L572">
        <v>0</v>
      </c>
    </row>
    <row r="573" spans="1:12" x14ac:dyDescent="0.35">
      <c r="A573" s="1">
        <v>44743</v>
      </c>
      <c r="B573" t="s">
        <v>10</v>
      </c>
      <c r="C573" t="s">
        <v>12</v>
      </c>
      <c r="D573">
        <f>AVERAGE(1825,1893,1862,1905)</f>
        <v>1871.25</v>
      </c>
      <c r="E573">
        <v>1</v>
      </c>
      <c r="F573">
        <v>27.862776</v>
      </c>
      <c r="G573">
        <v>168.8</v>
      </c>
      <c r="H573">
        <v>360.87240000000003</v>
      </c>
      <c r="I573">
        <v>60.8</v>
      </c>
      <c r="J573">
        <v>430</v>
      </c>
      <c r="L573">
        <v>0</v>
      </c>
    </row>
    <row r="574" spans="1:12" x14ac:dyDescent="0.35">
      <c r="A574" s="1">
        <v>44743</v>
      </c>
      <c r="B574" t="s">
        <v>10</v>
      </c>
      <c r="C574" t="s">
        <v>13</v>
      </c>
      <c r="D574">
        <f>AVERAGE(1880,1840,1790,1790)</f>
        <v>1825</v>
      </c>
      <c r="E574">
        <v>1</v>
      </c>
      <c r="F574">
        <v>18.041243000000001</v>
      </c>
      <c r="G574">
        <v>334.1</v>
      </c>
      <c r="H574">
        <v>360.87240000000003</v>
      </c>
      <c r="I574">
        <v>60.8</v>
      </c>
      <c r="J574">
        <v>430</v>
      </c>
      <c r="L574">
        <v>0</v>
      </c>
    </row>
    <row r="575" spans="1:12" x14ac:dyDescent="0.35">
      <c r="A575" s="1">
        <v>44743</v>
      </c>
      <c r="B575" t="s">
        <v>10</v>
      </c>
      <c r="C575" t="s">
        <v>14</v>
      </c>
      <c r="D575">
        <f>AVERAGE(1783,1816,1783,1833)</f>
        <v>1803.75</v>
      </c>
      <c r="E575">
        <v>1</v>
      </c>
      <c r="F575">
        <v>28.654291000000001</v>
      </c>
      <c r="G575">
        <v>197.90001000000001</v>
      </c>
      <c r="H575">
        <v>360.87240000000003</v>
      </c>
      <c r="I575">
        <v>60.8</v>
      </c>
      <c r="J575">
        <v>430</v>
      </c>
      <c r="L575">
        <v>0</v>
      </c>
    </row>
    <row r="576" spans="1:12" x14ac:dyDescent="0.35">
      <c r="A576" s="1">
        <v>44743</v>
      </c>
      <c r="B576" t="s">
        <v>10</v>
      </c>
      <c r="C576" t="s">
        <v>15</v>
      </c>
      <c r="D576">
        <f>AVERAGE(1848,1835,1805,1805)</f>
        <v>1823.25</v>
      </c>
      <c r="E576">
        <v>1</v>
      </c>
      <c r="F576">
        <v>28.860098000000001</v>
      </c>
      <c r="G576">
        <v>326.60000000000002</v>
      </c>
      <c r="H576">
        <v>360.87240000000003</v>
      </c>
      <c r="I576">
        <v>60.8</v>
      </c>
      <c r="J576">
        <v>430</v>
      </c>
      <c r="L576">
        <v>0</v>
      </c>
    </row>
    <row r="577" spans="1:12" x14ac:dyDescent="0.35">
      <c r="A577" s="1">
        <v>44743</v>
      </c>
      <c r="B577" t="s">
        <v>10</v>
      </c>
      <c r="C577" t="s">
        <v>16</v>
      </c>
      <c r="D577">
        <f>AVERAGE(1755,1779,1775,1800)</f>
        <v>1777.25</v>
      </c>
      <c r="E577">
        <v>1</v>
      </c>
      <c r="F577">
        <v>28.623127</v>
      </c>
      <c r="G577">
        <v>126.7</v>
      </c>
      <c r="H577">
        <v>360.87240000000003</v>
      </c>
      <c r="I577">
        <v>60.8</v>
      </c>
      <c r="J577">
        <v>430</v>
      </c>
      <c r="L577">
        <v>0</v>
      </c>
    </row>
    <row r="578" spans="1:12" x14ac:dyDescent="0.35">
      <c r="A578" s="1">
        <v>44743</v>
      </c>
      <c r="B578" t="s">
        <v>10</v>
      </c>
      <c r="C578" t="s">
        <v>17</v>
      </c>
      <c r="D578">
        <f>AVERAGE(1833,1833,1850,1867)</f>
        <v>1845.75</v>
      </c>
      <c r="E578">
        <v>1</v>
      </c>
      <c r="F578">
        <v>29.814066</v>
      </c>
      <c r="G578">
        <v>172.3</v>
      </c>
      <c r="H578">
        <v>360.87240000000003</v>
      </c>
      <c r="I578">
        <v>60.8</v>
      </c>
      <c r="J578">
        <v>430</v>
      </c>
      <c r="L578">
        <v>0</v>
      </c>
    </row>
    <row r="579" spans="1:12" x14ac:dyDescent="0.35">
      <c r="A579" s="1">
        <v>44743</v>
      </c>
      <c r="B579" t="s">
        <v>10</v>
      </c>
      <c r="C579" t="s">
        <v>18</v>
      </c>
      <c r="D579">
        <f>AVERAGE(1763,1725,1725,1725)</f>
        <v>1734.5</v>
      </c>
      <c r="E579">
        <v>1</v>
      </c>
      <c r="F579">
        <v>28.380451000000001</v>
      </c>
      <c r="G579">
        <v>183.7</v>
      </c>
      <c r="H579">
        <v>360.87240000000003</v>
      </c>
      <c r="I579">
        <v>60.8</v>
      </c>
      <c r="J579">
        <v>430</v>
      </c>
      <c r="L579">
        <v>0</v>
      </c>
    </row>
    <row r="580" spans="1:12" x14ac:dyDescent="0.35">
      <c r="A580" s="1">
        <v>44743</v>
      </c>
      <c r="B580" t="s">
        <v>10</v>
      </c>
      <c r="C580" t="s">
        <v>19</v>
      </c>
      <c r="D580">
        <f>AVERAGE(1860,1830,1800,1790)</f>
        <v>1820</v>
      </c>
      <c r="E580">
        <v>1</v>
      </c>
      <c r="F580">
        <v>29.139837</v>
      </c>
      <c r="G580">
        <v>162.30000000000001</v>
      </c>
      <c r="H580">
        <v>360.87240000000003</v>
      </c>
      <c r="I580">
        <v>60.8</v>
      </c>
      <c r="J580">
        <v>430</v>
      </c>
      <c r="L580">
        <v>0</v>
      </c>
    </row>
    <row r="581" spans="1:12" x14ac:dyDescent="0.35">
      <c r="A581" s="1">
        <v>44743</v>
      </c>
      <c r="B581" t="s">
        <v>10</v>
      </c>
      <c r="C581" t="s">
        <v>20</v>
      </c>
      <c r="D581">
        <f>AVERAGE(1720,1800,1830,1860)</f>
        <v>1802.5</v>
      </c>
      <c r="E581">
        <v>1</v>
      </c>
      <c r="F581">
        <v>28.523806</v>
      </c>
      <c r="G581">
        <v>185.7</v>
      </c>
      <c r="H581">
        <v>360.87240000000003</v>
      </c>
      <c r="I581">
        <v>60.8</v>
      </c>
      <c r="J581">
        <v>430</v>
      </c>
      <c r="L581">
        <v>0</v>
      </c>
    </row>
    <row r="582" spans="1:12" x14ac:dyDescent="0.35">
      <c r="A582" s="1">
        <v>44743</v>
      </c>
      <c r="B582" t="s">
        <v>10</v>
      </c>
      <c r="C582" t="s">
        <v>21</v>
      </c>
      <c r="D582">
        <f>AVERAGE(1825,1765,1750,1750)</f>
        <v>1772.5</v>
      </c>
      <c r="E582">
        <v>1</v>
      </c>
      <c r="F582">
        <v>28.318709999999999</v>
      </c>
      <c r="G582">
        <v>213.8</v>
      </c>
      <c r="H582">
        <v>360.87240000000003</v>
      </c>
      <c r="I582">
        <v>60.8</v>
      </c>
      <c r="J582">
        <v>430</v>
      </c>
      <c r="L582">
        <v>0</v>
      </c>
    </row>
    <row r="583" spans="1:12" x14ac:dyDescent="0.35">
      <c r="A583" s="1">
        <v>44743</v>
      </c>
      <c r="B583" t="s">
        <v>10</v>
      </c>
      <c r="C583" t="s">
        <v>22</v>
      </c>
      <c r="D583">
        <f>AVERAGE(1750,1754,1800,1856)</f>
        <v>1790</v>
      </c>
      <c r="E583">
        <v>1</v>
      </c>
      <c r="F583">
        <v>27.694872</v>
      </c>
      <c r="G583">
        <v>99.400009999999995</v>
      </c>
      <c r="H583">
        <v>360.87240000000003</v>
      </c>
      <c r="I583">
        <v>60.8</v>
      </c>
      <c r="J583">
        <v>430</v>
      </c>
      <c r="L583">
        <v>0</v>
      </c>
    </row>
    <row r="584" spans="1:12" x14ac:dyDescent="0.35">
      <c r="A584" s="1">
        <v>44743</v>
      </c>
      <c r="B584" t="s">
        <v>10</v>
      </c>
      <c r="C584" t="s">
        <v>23</v>
      </c>
      <c r="D584">
        <f>AVERAGE(1840,1800,1750,1750)</f>
        <v>1785</v>
      </c>
      <c r="E584">
        <v>1</v>
      </c>
      <c r="F584">
        <v>31.825613000000001</v>
      </c>
      <c r="G584">
        <v>114.8</v>
      </c>
      <c r="H584">
        <v>360.87240000000003</v>
      </c>
      <c r="I584">
        <v>60.8</v>
      </c>
      <c r="J584">
        <v>430</v>
      </c>
      <c r="L584">
        <v>0</v>
      </c>
    </row>
    <row r="585" spans="1:12" x14ac:dyDescent="0.35">
      <c r="A585" s="1">
        <v>44743</v>
      </c>
      <c r="B585" t="s">
        <v>10</v>
      </c>
      <c r="C585" t="s">
        <v>24</v>
      </c>
      <c r="D585">
        <f>AVERAGE(1815,1825,1820,1826)</f>
        <v>1821.5</v>
      </c>
      <c r="E585">
        <v>1</v>
      </c>
      <c r="F585">
        <v>34.041485000000002</v>
      </c>
      <c r="G585">
        <v>155.5</v>
      </c>
      <c r="H585">
        <v>360.87240000000003</v>
      </c>
      <c r="I585">
        <v>60.8</v>
      </c>
      <c r="J585">
        <v>430</v>
      </c>
      <c r="L585">
        <v>0</v>
      </c>
    </row>
    <row r="586" spans="1:12" x14ac:dyDescent="0.35">
      <c r="A586" s="1">
        <v>44743</v>
      </c>
      <c r="B586" t="s">
        <v>25</v>
      </c>
      <c r="C586" t="s">
        <v>11</v>
      </c>
      <c r="D586">
        <f>AVERAGE(2625,2500,2400,2483)</f>
        <v>2502</v>
      </c>
      <c r="E586">
        <v>1</v>
      </c>
      <c r="F586">
        <v>27.124289999999998</v>
      </c>
      <c r="G586">
        <v>159.4</v>
      </c>
      <c r="H586">
        <v>360.87240000000003</v>
      </c>
      <c r="I586">
        <v>60.8</v>
      </c>
      <c r="J586">
        <v>430</v>
      </c>
      <c r="L586">
        <v>0</v>
      </c>
    </row>
    <row r="587" spans="1:12" x14ac:dyDescent="0.35">
      <c r="A587" s="1">
        <v>44743</v>
      </c>
      <c r="B587" t="s">
        <v>25</v>
      </c>
      <c r="C587" t="s">
        <v>12</v>
      </c>
      <c r="D587">
        <f>AVERAGE(2983,2983,2917,2871)</f>
        <v>2938.5</v>
      </c>
      <c r="E587">
        <v>1</v>
      </c>
      <c r="F587">
        <v>27.862776</v>
      </c>
      <c r="G587">
        <v>168.8</v>
      </c>
      <c r="H587">
        <v>360.87240000000003</v>
      </c>
      <c r="I587">
        <v>60.8</v>
      </c>
      <c r="J587">
        <v>430</v>
      </c>
      <c r="L587">
        <v>0</v>
      </c>
    </row>
    <row r="588" spans="1:12" x14ac:dyDescent="0.35">
      <c r="A588" s="1">
        <v>44743</v>
      </c>
      <c r="B588" t="s">
        <v>25</v>
      </c>
      <c r="C588" t="s">
        <v>14</v>
      </c>
      <c r="D588">
        <f>AVERAGE(2233,2500,2166,2700)</f>
        <v>2399.75</v>
      </c>
      <c r="E588">
        <v>1</v>
      </c>
      <c r="F588">
        <v>28.654291000000001</v>
      </c>
      <c r="G588">
        <v>197.90001000000001</v>
      </c>
      <c r="H588">
        <v>360.87240000000003</v>
      </c>
      <c r="I588">
        <v>60.8</v>
      </c>
      <c r="J588">
        <v>430</v>
      </c>
      <c r="L588">
        <v>0</v>
      </c>
    </row>
    <row r="589" spans="1:12" x14ac:dyDescent="0.35">
      <c r="A589" s="1">
        <v>44743</v>
      </c>
      <c r="B589" t="s">
        <v>25</v>
      </c>
      <c r="C589" t="s">
        <v>16</v>
      </c>
      <c r="D589">
        <f>AVERAGE(2350,2200,2250,2283)</f>
        <v>2270.75</v>
      </c>
      <c r="E589">
        <v>1</v>
      </c>
      <c r="F589">
        <v>28.623127</v>
      </c>
      <c r="G589">
        <v>126.7</v>
      </c>
      <c r="H589">
        <v>360.87240000000003</v>
      </c>
      <c r="I589">
        <v>60.8</v>
      </c>
      <c r="J589">
        <v>430</v>
      </c>
      <c r="L589">
        <v>0</v>
      </c>
    </row>
    <row r="590" spans="1:12" x14ac:dyDescent="0.35">
      <c r="A590" s="1">
        <v>44743</v>
      </c>
      <c r="B590" t="s">
        <v>25</v>
      </c>
      <c r="C590" t="s">
        <v>24</v>
      </c>
      <c r="D590">
        <f>AVERAGE(2650,2800,2637,2533)</f>
        <v>2655</v>
      </c>
      <c r="E590">
        <v>1</v>
      </c>
      <c r="F590">
        <v>34.041485000000002</v>
      </c>
      <c r="G590">
        <v>155.5</v>
      </c>
      <c r="H590">
        <v>360.87240000000003</v>
      </c>
      <c r="I590">
        <v>60.8</v>
      </c>
      <c r="J590">
        <v>430</v>
      </c>
      <c r="L590">
        <v>0</v>
      </c>
    </row>
    <row r="591" spans="1:12" x14ac:dyDescent="0.35">
      <c r="A591" s="1">
        <v>44774</v>
      </c>
      <c r="B591" t="s">
        <v>10</v>
      </c>
      <c r="C591" t="s">
        <v>11</v>
      </c>
      <c r="D591">
        <f>AVERAGE(1783,1795,1853,1842,1836)</f>
        <v>1821.8</v>
      </c>
      <c r="E591">
        <v>1</v>
      </c>
      <c r="F591">
        <v>26.524290000000001</v>
      </c>
      <c r="G591">
        <v>206.7</v>
      </c>
      <c r="H591">
        <v>360.99829999999997</v>
      </c>
      <c r="I591">
        <v>64.3</v>
      </c>
      <c r="J591">
        <v>430</v>
      </c>
      <c r="L591">
        <v>0</v>
      </c>
    </row>
    <row r="592" spans="1:12" x14ac:dyDescent="0.35">
      <c r="A592" s="1">
        <v>44774</v>
      </c>
      <c r="B592" t="s">
        <v>10</v>
      </c>
      <c r="C592" t="s">
        <v>12</v>
      </c>
      <c r="D592">
        <f>AVERAGE(1900,1892,1839,1817,1808)</f>
        <v>1851.2</v>
      </c>
      <c r="E592">
        <v>1</v>
      </c>
      <c r="F592">
        <v>27.177292000000001</v>
      </c>
      <c r="G592">
        <v>261.39999999999998</v>
      </c>
      <c r="H592">
        <v>360.99829999999997</v>
      </c>
      <c r="I592">
        <v>64.3</v>
      </c>
      <c r="J592">
        <v>430</v>
      </c>
      <c r="L592">
        <v>0</v>
      </c>
    </row>
    <row r="593" spans="1:12" x14ac:dyDescent="0.35">
      <c r="A593" s="1">
        <v>44774</v>
      </c>
      <c r="B593" t="s">
        <v>10</v>
      </c>
      <c r="C593" t="s">
        <v>13</v>
      </c>
      <c r="D593">
        <f>AVERAGE(1740,1780,1780,1790,1860)</f>
        <v>1790</v>
      </c>
      <c r="E593">
        <v>1</v>
      </c>
      <c r="F593">
        <v>17.783177999999999</v>
      </c>
      <c r="G593">
        <v>381.5</v>
      </c>
      <c r="H593">
        <v>360.99829999999997</v>
      </c>
      <c r="I593">
        <v>64.3</v>
      </c>
      <c r="J593">
        <v>430</v>
      </c>
      <c r="L593">
        <v>0</v>
      </c>
    </row>
    <row r="594" spans="1:12" x14ac:dyDescent="0.35">
      <c r="A594" s="1">
        <v>44774</v>
      </c>
      <c r="B594" t="s">
        <v>10</v>
      </c>
      <c r="C594" t="s">
        <v>14</v>
      </c>
      <c r="D594">
        <f>AVERAGE(1900,1816,1850,1750,1766)</f>
        <v>1816.4</v>
      </c>
      <c r="E594">
        <v>1</v>
      </c>
      <c r="F594">
        <v>28.018806000000001</v>
      </c>
      <c r="G594">
        <v>328.2</v>
      </c>
      <c r="H594">
        <v>360.99829999999997</v>
      </c>
      <c r="I594">
        <v>64.3</v>
      </c>
      <c r="J594">
        <v>430</v>
      </c>
      <c r="L594">
        <v>0</v>
      </c>
    </row>
    <row r="595" spans="1:12" x14ac:dyDescent="0.35">
      <c r="A595" s="1">
        <v>44774</v>
      </c>
      <c r="B595" t="s">
        <v>10</v>
      </c>
      <c r="C595" t="s">
        <v>15</v>
      </c>
      <c r="D595">
        <f>AVERAGE(1722,1700,1810,1862,1852)</f>
        <v>1789.2</v>
      </c>
      <c r="E595">
        <v>1</v>
      </c>
      <c r="F595">
        <v>28.324614</v>
      </c>
      <c r="G595">
        <v>376.1</v>
      </c>
      <c r="H595">
        <v>360.99829999999997</v>
      </c>
      <c r="I595">
        <v>64.3</v>
      </c>
      <c r="J595">
        <v>430</v>
      </c>
      <c r="L595">
        <v>0</v>
      </c>
    </row>
    <row r="596" spans="1:12" x14ac:dyDescent="0.35">
      <c r="A596" s="1">
        <v>44774</v>
      </c>
      <c r="B596" t="s">
        <v>10</v>
      </c>
      <c r="C596" t="s">
        <v>16</v>
      </c>
      <c r="D596">
        <f>AVERAGE(1766,1841,1825,1800,1766)</f>
        <v>1799.6</v>
      </c>
      <c r="E596">
        <v>1</v>
      </c>
      <c r="F596">
        <v>28.503775000000001</v>
      </c>
      <c r="G596">
        <v>145.40001000000001</v>
      </c>
      <c r="H596">
        <v>360.99829999999997</v>
      </c>
      <c r="I596">
        <v>64.3</v>
      </c>
      <c r="J596">
        <v>430</v>
      </c>
      <c r="L596">
        <v>0</v>
      </c>
    </row>
    <row r="597" spans="1:12" x14ac:dyDescent="0.35">
      <c r="A597" s="1">
        <v>44774</v>
      </c>
      <c r="B597" t="s">
        <v>10</v>
      </c>
      <c r="C597" t="s">
        <v>17</v>
      </c>
      <c r="D597">
        <f>AVERAGE(1850,1867,1833,1833,1867)</f>
        <v>1850</v>
      </c>
      <c r="E597">
        <v>1</v>
      </c>
      <c r="F597">
        <v>28.976969</v>
      </c>
      <c r="G597">
        <v>219.1</v>
      </c>
      <c r="H597">
        <v>360.99829999999997</v>
      </c>
      <c r="I597">
        <v>64.3</v>
      </c>
      <c r="J597">
        <v>430</v>
      </c>
      <c r="L597">
        <v>0</v>
      </c>
    </row>
    <row r="598" spans="1:12" x14ac:dyDescent="0.35">
      <c r="A598" s="1">
        <v>44774</v>
      </c>
      <c r="B598" t="s">
        <v>10</v>
      </c>
      <c r="C598" t="s">
        <v>18</v>
      </c>
      <c r="D598">
        <f>AVERAGE(1738,1725,1700,1713,1650)</f>
        <v>1705.2</v>
      </c>
      <c r="E598">
        <v>1</v>
      </c>
      <c r="F598">
        <v>27.959484</v>
      </c>
      <c r="G598">
        <v>314.3</v>
      </c>
      <c r="H598">
        <v>360.99829999999997</v>
      </c>
      <c r="I598">
        <v>64.3</v>
      </c>
      <c r="J598">
        <v>430</v>
      </c>
      <c r="L598">
        <v>0</v>
      </c>
    </row>
    <row r="599" spans="1:12" x14ac:dyDescent="0.35">
      <c r="A599" s="1">
        <v>44774</v>
      </c>
      <c r="B599" t="s">
        <v>10</v>
      </c>
      <c r="C599" t="s">
        <v>19</v>
      </c>
      <c r="D599">
        <f>AVERAGE(1780,1800,1850,1860,1860)</f>
        <v>1830</v>
      </c>
      <c r="E599">
        <v>1</v>
      </c>
      <c r="F599">
        <v>28.501127</v>
      </c>
      <c r="G599">
        <v>278.7</v>
      </c>
      <c r="H599">
        <v>360.99829999999997</v>
      </c>
      <c r="I599">
        <v>64.3</v>
      </c>
      <c r="J599">
        <v>430</v>
      </c>
      <c r="L599">
        <v>0</v>
      </c>
    </row>
    <row r="600" spans="1:12" x14ac:dyDescent="0.35">
      <c r="A600" s="1">
        <v>44774</v>
      </c>
      <c r="B600" t="s">
        <v>10</v>
      </c>
      <c r="C600" t="s">
        <v>20</v>
      </c>
      <c r="D600">
        <f>AVERAGE(1790,1790,1790,1700,1700)</f>
        <v>1754</v>
      </c>
      <c r="E600">
        <v>1</v>
      </c>
      <c r="F600">
        <v>28.136710000000001</v>
      </c>
      <c r="G600">
        <v>304.30002000000002</v>
      </c>
      <c r="H600">
        <v>360.99829999999997</v>
      </c>
      <c r="I600">
        <v>64.3</v>
      </c>
      <c r="J600">
        <v>430</v>
      </c>
      <c r="L600">
        <v>0</v>
      </c>
    </row>
    <row r="601" spans="1:12" x14ac:dyDescent="0.35">
      <c r="A601" s="1">
        <v>44774</v>
      </c>
      <c r="B601" t="s">
        <v>10</v>
      </c>
      <c r="C601" t="s">
        <v>21</v>
      </c>
      <c r="D601">
        <f>AVERAGE(1725,1700,1800,1850,1900)</f>
        <v>1795</v>
      </c>
      <c r="E601">
        <v>1</v>
      </c>
      <c r="F601">
        <v>27.931614</v>
      </c>
      <c r="G601">
        <v>264.2</v>
      </c>
      <c r="H601">
        <v>360.99829999999997</v>
      </c>
      <c r="I601">
        <v>64.3</v>
      </c>
      <c r="J601">
        <v>430</v>
      </c>
      <c r="L601">
        <v>0</v>
      </c>
    </row>
    <row r="602" spans="1:12" x14ac:dyDescent="0.35">
      <c r="A602" s="1">
        <v>44774</v>
      </c>
      <c r="B602" t="s">
        <v>10</v>
      </c>
      <c r="C602" t="s">
        <v>22</v>
      </c>
      <c r="D602">
        <f>AVERAGE(1893,1916,1821,1750,1757)</f>
        <v>1827.4</v>
      </c>
      <c r="E602">
        <v>1</v>
      </c>
      <c r="F602">
        <v>27.078742999999999</v>
      </c>
      <c r="G602">
        <v>130.1</v>
      </c>
      <c r="H602">
        <v>360.99829999999997</v>
      </c>
      <c r="I602">
        <v>64.3</v>
      </c>
      <c r="J602">
        <v>430</v>
      </c>
      <c r="L602">
        <v>0</v>
      </c>
    </row>
    <row r="603" spans="1:12" x14ac:dyDescent="0.35">
      <c r="A603" s="1">
        <v>44774</v>
      </c>
      <c r="B603" t="s">
        <v>10</v>
      </c>
      <c r="C603" t="s">
        <v>23</v>
      </c>
      <c r="D603">
        <f>AVERAGE(1730,1685,1735,1860,1860)</f>
        <v>1774</v>
      </c>
      <c r="E603">
        <v>1</v>
      </c>
      <c r="F603">
        <v>31.088515999999998</v>
      </c>
      <c r="G603">
        <v>61.3</v>
      </c>
      <c r="H603">
        <v>360.99829999999997</v>
      </c>
      <c r="I603">
        <v>64.3</v>
      </c>
      <c r="J603">
        <v>430</v>
      </c>
      <c r="L603">
        <v>0</v>
      </c>
    </row>
    <row r="604" spans="1:12" x14ac:dyDescent="0.35">
      <c r="A604" s="1">
        <v>44774</v>
      </c>
      <c r="B604" t="s">
        <v>10</v>
      </c>
      <c r="C604" t="s">
        <v>24</v>
      </c>
      <c r="D604">
        <f>AVERAGE(1825,1860,1884,1790,1752)</f>
        <v>1822.2</v>
      </c>
      <c r="E604">
        <v>1</v>
      </c>
      <c r="F604">
        <v>32.583416</v>
      </c>
      <c r="G604">
        <v>134.5</v>
      </c>
      <c r="H604">
        <v>360.99829999999997</v>
      </c>
      <c r="I604">
        <v>64.3</v>
      </c>
      <c r="J604">
        <v>430</v>
      </c>
      <c r="L604">
        <v>0</v>
      </c>
    </row>
    <row r="605" spans="1:12" x14ac:dyDescent="0.35">
      <c r="A605" s="1">
        <v>44774</v>
      </c>
      <c r="B605" t="s">
        <v>25</v>
      </c>
      <c r="C605" t="s">
        <v>11</v>
      </c>
      <c r="D605">
        <f>AVERAGE(2458,2500,2563,2461,2500)</f>
        <v>2496.4</v>
      </c>
      <c r="E605">
        <v>1</v>
      </c>
      <c r="F605">
        <v>26.524290000000001</v>
      </c>
      <c r="G605">
        <v>206.7</v>
      </c>
      <c r="H605">
        <v>360.99829999999997</v>
      </c>
      <c r="I605">
        <v>64.3</v>
      </c>
      <c r="J605">
        <v>430</v>
      </c>
      <c r="L605">
        <v>0</v>
      </c>
    </row>
    <row r="606" spans="1:12" x14ac:dyDescent="0.35">
      <c r="A606" s="1">
        <v>44774</v>
      </c>
      <c r="B606" t="s">
        <v>25</v>
      </c>
      <c r="C606" t="s">
        <v>12</v>
      </c>
      <c r="D606">
        <f>AVERAGE(2800,3000,3017,2988,3000)</f>
        <v>2961</v>
      </c>
      <c r="E606">
        <v>1</v>
      </c>
      <c r="F606">
        <v>27.177292000000001</v>
      </c>
      <c r="G606">
        <v>261.39999999999998</v>
      </c>
      <c r="H606">
        <v>360.99829999999997</v>
      </c>
      <c r="I606">
        <v>64.3</v>
      </c>
      <c r="J606">
        <v>430</v>
      </c>
      <c r="L606">
        <v>0</v>
      </c>
    </row>
    <row r="607" spans="1:12" x14ac:dyDescent="0.35">
      <c r="A607" s="1">
        <v>44774</v>
      </c>
      <c r="B607" t="s">
        <v>25</v>
      </c>
      <c r="C607" t="s">
        <v>14</v>
      </c>
      <c r="D607">
        <f>AVERAGE(3000,2200,2333,2300)</f>
        <v>2458.25</v>
      </c>
      <c r="E607">
        <v>1</v>
      </c>
      <c r="F607">
        <v>28.018806000000001</v>
      </c>
      <c r="G607">
        <v>328.2</v>
      </c>
      <c r="H607">
        <v>360.99829999999997</v>
      </c>
      <c r="I607">
        <v>64.3</v>
      </c>
      <c r="J607">
        <v>430</v>
      </c>
      <c r="L607">
        <v>0</v>
      </c>
    </row>
    <row r="608" spans="1:12" x14ac:dyDescent="0.35">
      <c r="A608" s="1">
        <v>44774</v>
      </c>
      <c r="B608" t="s">
        <v>25</v>
      </c>
      <c r="C608" t="s">
        <v>16</v>
      </c>
      <c r="D608">
        <f>AVERAGE(2450,2333,2350,2275,2467)</f>
        <v>2375</v>
      </c>
      <c r="E608">
        <v>1</v>
      </c>
      <c r="F608">
        <v>28.503775000000001</v>
      </c>
      <c r="G608">
        <v>145.40001000000001</v>
      </c>
      <c r="H608">
        <v>360.99829999999997</v>
      </c>
      <c r="I608">
        <v>64.3</v>
      </c>
      <c r="J608">
        <v>430</v>
      </c>
      <c r="L608">
        <v>0</v>
      </c>
    </row>
    <row r="609" spans="1:12" x14ac:dyDescent="0.35">
      <c r="A609" s="1">
        <v>44774</v>
      </c>
      <c r="B609" t="s">
        <v>25</v>
      </c>
      <c r="C609" t="s">
        <v>24</v>
      </c>
      <c r="D609">
        <f>AVERAGE(2850,2720,2840,2750,2790)</f>
        <v>2790</v>
      </c>
      <c r="E609">
        <v>1</v>
      </c>
      <c r="F609">
        <v>32.583416</v>
      </c>
      <c r="G609">
        <v>134.5</v>
      </c>
      <c r="H609">
        <v>360.99829999999997</v>
      </c>
      <c r="I609">
        <v>64.3</v>
      </c>
      <c r="J609">
        <v>430</v>
      </c>
      <c r="L609">
        <v>0</v>
      </c>
    </row>
    <row r="610" spans="1:12" x14ac:dyDescent="0.35">
      <c r="A610" s="1">
        <v>44805</v>
      </c>
      <c r="B610" t="s">
        <v>10</v>
      </c>
      <c r="C610" t="s">
        <v>11</v>
      </c>
      <c r="D610">
        <f>AVERAGE(1777,1750,1752,1746)</f>
        <v>1756.25</v>
      </c>
      <c r="E610">
        <v>0</v>
      </c>
      <c r="F610">
        <v>27.196332999999999</v>
      </c>
      <c r="G610">
        <v>84.2</v>
      </c>
      <c r="H610">
        <v>362.38260000000002</v>
      </c>
      <c r="I610">
        <v>69.8</v>
      </c>
      <c r="J610">
        <v>415</v>
      </c>
      <c r="L610">
        <v>0</v>
      </c>
    </row>
    <row r="611" spans="1:12" x14ac:dyDescent="0.35">
      <c r="A611" s="1">
        <v>44805</v>
      </c>
      <c r="B611" t="s">
        <v>10</v>
      </c>
      <c r="C611" t="s">
        <v>12</v>
      </c>
      <c r="D611">
        <f>AVERAGE(1783,1800,1809,1846)</f>
        <v>1809.5</v>
      </c>
      <c r="E611">
        <v>0</v>
      </c>
      <c r="F611">
        <v>27.679333</v>
      </c>
      <c r="G611">
        <v>103.2</v>
      </c>
      <c r="H611">
        <v>362.38260000000002</v>
      </c>
      <c r="I611">
        <v>69.8</v>
      </c>
      <c r="J611">
        <v>415</v>
      </c>
      <c r="L611">
        <v>0</v>
      </c>
    </row>
    <row r="612" spans="1:12" x14ac:dyDescent="0.35">
      <c r="A612" s="1">
        <v>44805</v>
      </c>
      <c r="B612" t="s">
        <v>10</v>
      </c>
      <c r="C612" t="s">
        <v>13</v>
      </c>
      <c r="D612">
        <f>AVERAGE(1780,1780,1790,1700)</f>
        <v>1762.5</v>
      </c>
      <c r="E612">
        <v>0</v>
      </c>
      <c r="F612">
        <v>18.743500000000001</v>
      </c>
      <c r="G612">
        <v>158.6</v>
      </c>
      <c r="H612">
        <v>362.38260000000002</v>
      </c>
      <c r="I612">
        <v>69.8</v>
      </c>
      <c r="J612">
        <v>415</v>
      </c>
      <c r="L612">
        <v>0</v>
      </c>
    </row>
    <row r="613" spans="1:12" x14ac:dyDescent="0.35">
      <c r="A613" s="1">
        <v>44805</v>
      </c>
      <c r="B613" t="s">
        <v>10</v>
      </c>
      <c r="C613" t="s">
        <v>14</v>
      </c>
      <c r="D613">
        <f>AVERAGE(1733,1666,1800,1750)</f>
        <v>1737.25</v>
      </c>
      <c r="E613">
        <v>0</v>
      </c>
      <c r="F613">
        <v>28.656334000000001</v>
      </c>
      <c r="G613">
        <v>115.90000999999999</v>
      </c>
      <c r="H613">
        <v>362.38260000000002</v>
      </c>
      <c r="I613">
        <v>69.8</v>
      </c>
      <c r="J613">
        <v>415</v>
      </c>
      <c r="L613">
        <v>0</v>
      </c>
    </row>
    <row r="614" spans="1:12" x14ac:dyDescent="0.35">
      <c r="A614" s="1">
        <v>44805</v>
      </c>
      <c r="B614" t="s">
        <v>10</v>
      </c>
      <c r="C614" t="s">
        <v>15</v>
      </c>
      <c r="D614">
        <f>AVERAGE(1840,1840,1770,1775)</f>
        <v>1806.25</v>
      </c>
      <c r="E614">
        <v>0</v>
      </c>
      <c r="F614">
        <v>28.759668000000001</v>
      </c>
      <c r="G614">
        <v>232</v>
      </c>
      <c r="H614">
        <v>362.38260000000002</v>
      </c>
      <c r="I614">
        <v>69.8</v>
      </c>
      <c r="J614">
        <v>415</v>
      </c>
      <c r="L614">
        <v>0</v>
      </c>
    </row>
    <row r="615" spans="1:12" x14ac:dyDescent="0.35">
      <c r="A615" s="1">
        <v>44805</v>
      </c>
      <c r="B615" t="s">
        <v>10</v>
      </c>
      <c r="C615" t="s">
        <v>16</v>
      </c>
      <c r="D615">
        <f>AVERAGE(1791,1791,1772,1795)</f>
        <v>1787.25</v>
      </c>
      <c r="E615">
        <v>0</v>
      </c>
      <c r="F615">
        <v>28.873664999999999</v>
      </c>
      <c r="G615">
        <v>130.5</v>
      </c>
      <c r="H615">
        <v>362.38260000000002</v>
      </c>
      <c r="I615">
        <v>69.8</v>
      </c>
      <c r="J615">
        <v>415</v>
      </c>
      <c r="L615">
        <v>0</v>
      </c>
    </row>
    <row r="616" spans="1:12" x14ac:dyDescent="0.35">
      <c r="A616" s="1">
        <v>44805</v>
      </c>
      <c r="B616" t="s">
        <v>10</v>
      </c>
      <c r="C616" t="s">
        <v>17</v>
      </c>
      <c r="D616">
        <f>AVERAGE(1833,1750,1783,1750)</f>
        <v>1779</v>
      </c>
      <c r="E616">
        <v>0</v>
      </c>
      <c r="F616">
        <v>29.689333000000001</v>
      </c>
      <c r="G616">
        <v>81</v>
      </c>
      <c r="H616">
        <v>362.38260000000002</v>
      </c>
      <c r="I616">
        <v>69.8</v>
      </c>
      <c r="J616">
        <v>415</v>
      </c>
      <c r="L616">
        <v>0</v>
      </c>
    </row>
    <row r="617" spans="1:12" x14ac:dyDescent="0.35">
      <c r="A617" s="1">
        <v>44805</v>
      </c>
      <c r="B617" t="s">
        <v>10</v>
      </c>
      <c r="C617" t="s">
        <v>18</v>
      </c>
      <c r="D617">
        <f>AVERAGE(1663,1675,1700,1750)</f>
        <v>1697</v>
      </c>
      <c r="E617">
        <v>0</v>
      </c>
      <c r="F617">
        <v>28.285667</v>
      </c>
      <c r="G617">
        <v>178.4</v>
      </c>
      <c r="H617">
        <v>362.38260000000002</v>
      </c>
      <c r="I617">
        <v>69.8</v>
      </c>
      <c r="J617">
        <v>415</v>
      </c>
      <c r="L617">
        <v>0</v>
      </c>
    </row>
    <row r="618" spans="1:12" x14ac:dyDescent="0.35">
      <c r="A618" s="1">
        <v>44805</v>
      </c>
      <c r="B618" t="s">
        <v>10</v>
      </c>
      <c r="C618" t="s">
        <v>19</v>
      </c>
      <c r="D618">
        <f>AVERAGE(1810,1790,1770,1800)</f>
        <v>1792.5</v>
      </c>
      <c r="E618">
        <v>0</v>
      </c>
      <c r="F618">
        <v>28.906668</v>
      </c>
      <c r="G618">
        <v>164.5</v>
      </c>
      <c r="H618">
        <v>362.38260000000002</v>
      </c>
      <c r="I618">
        <v>69.8</v>
      </c>
      <c r="J618">
        <v>415</v>
      </c>
      <c r="L618">
        <v>0</v>
      </c>
    </row>
    <row r="619" spans="1:12" x14ac:dyDescent="0.35">
      <c r="A619" s="1">
        <v>44805</v>
      </c>
      <c r="B619" t="s">
        <v>10</v>
      </c>
      <c r="C619" t="s">
        <v>20</v>
      </c>
      <c r="D619">
        <f>AVERAGE(1700,1650,1650,1700)</f>
        <v>1675</v>
      </c>
      <c r="E619">
        <v>0</v>
      </c>
      <c r="F619">
        <v>28.404667</v>
      </c>
      <c r="G619">
        <v>176.2</v>
      </c>
      <c r="H619">
        <v>362.38260000000002</v>
      </c>
      <c r="I619">
        <v>69.8</v>
      </c>
      <c r="J619">
        <v>415</v>
      </c>
      <c r="L619">
        <v>0</v>
      </c>
    </row>
    <row r="620" spans="1:12" x14ac:dyDescent="0.35">
      <c r="A620" s="1">
        <v>44805</v>
      </c>
      <c r="B620" t="s">
        <v>10</v>
      </c>
      <c r="C620" t="s">
        <v>21</v>
      </c>
      <c r="D620">
        <f>AVERAGE(1725,1725,1820,1785)</f>
        <v>1763.75</v>
      </c>
      <c r="E620">
        <v>0</v>
      </c>
      <c r="F620">
        <v>28.135000000000002</v>
      </c>
      <c r="G620">
        <v>183.8</v>
      </c>
      <c r="H620">
        <v>362.38260000000002</v>
      </c>
      <c r="I620">
        <v>69.8</v>
      </c>
      <c r="J620">
        <v>415</v>
      </c>
      <c r="L620">
        <v>0</v>
      </c>
    </row>
    <row r="621" spans="1:12" x14ac:dyDescent="0.35">
      <c r="A621" s="1">
        <v>44805</v>
      </c>
      <c r="B621" t="s">
        <v>10</v>
      </c>
      <c r="C621" t="s">
        <v>22</v>
      </c>
      <c r="D621">
        <f>AVERAGE(1834,1786,1747,1759)</f>
        <v>1781.5</v>
      </c>
      <c r="E621">
        <v>0</v>
      </c>
      <c r="F621">
        <v>27.466000000000001</v>
      </c>
      <c r="G621">
        <v>110.50001</v>
      </c>
      <c r="H621">
        <v>362.38260000000002</v>
      </c>
      <c r="I621">
        <v>69.8</v>
      </c>
      <c r="J621">
        <v>415</v>
      </c>
      <c r="L621">
        <v>0</v>
      </c>
    </row>
    <row r="622" spans="1:12" x14ac:dyDescent="0.35">
      <c r="A622" s="1">
        <v>44805</v>
      </c>
      <c r="B622" t="s">
        <v>10</v>
      </c>
      <c r="C622" t="s">
        <v>23</v>
      </c>
      <c r="D622">
        <f>AVERAGE(1746,1750,1796,1850)</f>
        <v>1785.5</v>
      </c>
      <c r="E622">
        <v>0</v>
      </c>
      <c r="F622">
        <v>31.115666999999998</v>
      </c>
      <c r="G622">
        <v>33.799999999999997</v>
      </c>
      <c r="H622">
        <v>362.38260000000002</v>
      </c>
      <c r="I622">
        <v>69.8</v>
      </c>
      <c r="J622">
        <v>415</v>
      </c>
      <c r="L622">
        <v>0</v>
      </c>
    </row>
    <row r="623" spans="1:12" x14ac:dyDescent="0.35">
      <c r="A623" s="1">
        <v>44805</v>
      </c>
      <c r="B623" t="s">
        <v>10</v>
      </c>
      <c r="C623" t="s">
        <v>24</v>
      </c>
      <c r="D623">
        <f>AVERAGE(1820,1825,1775,1800)</f>
        <v>1805</v>
      </c>
      <c r="E623">
        <v>0</v>
      </c>
      <c r="F623">
        <v>33.992663999999998</v>
      </c>
      <c r="G623">
        <v>47.3</v>
      </c>
      <c r="H623">
        <v>362.38260000000002</v>
      </c>
      <c r="I623">
        <v>69.8</v>
      </c>
      <c r="J623">
        <v>415</v>
      </c>
      <c r="L623">
        <v>0</v>
      </c>
    </row>
    <row r="624" spans="1:12" x14ac:dyDescent="0.35">
      <c r="A624" s="1">
        <v>44805</v>
      </c>
      <c r="B624" t="s">
        <v>25</v>
      </c>
      <c r="C624" t="s">
        <v>11</v>
      </c>
      <c r="D624">
        <f>AVERAGE(2841,2700,2500,2500)</f>
        <v>2635.25</v>
      </c>
      <c r="E624">
        <v>0</v>
      </c>
      <c r="F624">
        <v>27.196332999999999</v>
      </c>
      <c r="G624">
        <v>84.2</v>
      </c>
      <c r="H624">
        <v>362.38260000000002</v>
      </c>
      <c r="I624">
        <v>69.8</v>
      </c>
      <c r="J624">
        <v>415</v>
      </c>
      <c r="L624">
        <v>0</v>
      </c>
    </row>
    <row r="625" spans="1:12" x14ac:dyDescent="0.35">
      <c r="A625" s="1">
        <v>44805</v>
      </c>
      <c r="B625" t="s">
        <v>25</v>
      </c>
      <c r="C625" t="s">
        <v>12</v>
      </c>
      <c r="D625">
        <f>AVERAGE(2817,2992,2917,3025)</f>
        <v>2937.75</v>
      </c>
      <c r="E625">
        <v>0</v>
      </c>
      <c r="F625">
        <v>27.679333</v>
      </c>
      <c r="G625">
        <v>103.2</v>
      </c>
      <c r="H625">
        <v>362.38260000000002</v>
      </c>
      <c r="I625">
        <v>69.8</v>
      </c>
      <c r="J625">
        <v>415</v>
      </c>
      <c r="L625">
        <v>0</v>
      </c>
    </row>
    <row r="626" spans="1:12" x14ac:dyDescent="0.35">
      <c r="A626" s="1">
        <v>44805</v>
      </c>
      <c r="B626" t="s">
        <v>25</v>
      </c>
      <c r="C626" t="s">
        <v>14</v>
      </c>
      <c r="D626">
        <f>AVERAGE(2350,2800,2400,2350)</f>
        <v>2475</v>
      </c>
      <c r="E626">
        <v>0</v>
      </c>
      <c r="F626">
        <v>28.656334000000001</v>
      </c>
      <c r="G626">
        <v>115.90000999999999</v>
      </c>
      <c r="H626">
        <v>362.38260000000002</v>
      </c>
      <c r="I626">
        <v>69.8</v>
      </c>
      <c r="J626">
        <v>415</v>
      </c>
      <c r="L626">
        <v>0</v>
      </c>
    </row>
    <row r="627" spans="1:12" x14ac:dyDescent="0.35">
      <c r="A627" s="1">
        <v>44805</v>
      </c>
      <c r="B627" t="s">
        <v>25</v>
      </c>
      <c r="C627" t="s">
        <v>16</v>
      </c>
      <c r="D627">
        <f>AVERAGE(2666,2683,2333,2383)</f>
        <v>2516.25</v>
      </c>
      <c r="E627">
        <v>0</v>
      </c>
      <c r="F627">
        <v>28.873664999999999</v>
      </c>
      <c r="G627">
        <v>130.5</v>
      </c>
      <c r="H627">
        <v>362.38260000000002</v>
      </c>
      <c r="I627">
        <v>69.8</v>
      </c>
      <c r="J627">
        <v>415</v>
      </c>
      <c r="L627">
        <v>0</v>
      </c>
    </row>
    <row r="628" spans="1:12" x14ac:dyDescent="0.35">
      <c r="A628" s="1">
        <v>44805</v>
      </c>
      <c r="B628" t="s">
        <v>25</v>
      </c>
      <c r="C628" t="s">
        <v>24</v>
      </c>
      <c r="D628">
        <f>AVERAGE(2783,2790,2790,2800)</f>
        <v>2790.75</v>
      </c>
      <c r="E628">
        <v>0</v>
      </c>
      <c r="F628">
        <v>33.992663999999998</v>
      </c>
      <c r="G628">
        <v>47.3</v>
      </c>
      <c r="H628">
        <v>362.38260000000002</v>
      </c>
      <c r="I628">
        <v>69.8</v>
      </c>
      <c r="J628">
        <v>415</v>
      </c>
      <c r="L628">
        <v>0</v>
      </c>
    </row>
    <row r="629" spans="1:12" x14ac:dyDescent="0.35">
      <c r="A629" s="1">
        <v>44835</v>
      </c>
      <c r="B629" t="s">
        <v>10</v>
      </c>
      <c r="C629" t="s">
        <v>11</v>
      </c>
      <c r="D629">
        <f>AVERAGE(1852,1808,1810,1819)</f>
        <v>1822.25</v>
      </c>
      <c r="E629">
        <v>0</v>
      </c>
      <c r="F629">
        <v>26.367840000000001</v>
      </c>
      <c r="G629">
        <v>293.10000000000002</v>
      </c>
      <c r="H629">
        <v>363.14839999999998</v>
      </c>
      <c r="I629">
        <v>66</v>
      </c>
      <c r="J629">
        <v>430</v>
      </c>
      <c r="L629">
        <v>0</v>
      </c>
    </row>
    <row r="630" spans="1:12" x14ac:dyDescent="0.35">
      <c r="A630" s="1">
        <v>44835</v>
      </c>
      <c r="B630" t="s">
        <v>10</v>
      </c>
      <c r="C630" t="s">
        <v>12</v>
      </c>
      <c r="D630">
        <f>AVERAGE(1871,1868,1863,1852)</f>
        <v>1863.5</v>
      </c>
      <c r="E630">
        <v>0</v>
      </c>
      <c r="F630">
        <v>27.062777000000001</v>
      </c>
      <c r="G630">
        <v>342.59998000000002</v>
      </c>
      <c r="H630">
        <v>363.14839999999998</v>
      </c>
      <c r="I630">
        <v>66</v>
      </c>
      <c r="J630">
        <v>430</v>
      </c>
      <c r="L630">
        <v>0</v>
      </c>
    </row>
    <row r="631" spans="1:12" x14ac:dyDescent="0.35">
      <c r="A631" s="1">
        <v>44835</v>
      </c>
      <c r="B631" t="s">
        <v>10</v>
      </c>
      <c r="C631" t="s">
        <v>13</v>
      </c>
      <c r="D631">
        <f>AVERAGE(1780,1790,1780,1780)</f>
        <v>1782.5</v>
      </c>
      <c r="E631">
        <v>0</v>
      </c>
      <c r="F631">
        <v>18.326725</v>
      </c>
      <c r="G631">
        <v>359.2</v>
      </c>
      <c r="H631">
        <v>363.14839999999998</v>
      </c>
      <c r="I631">
        <v>66</v>
      </c>
      <c r="J631">
        <v>430</v>
      </c>
      <c r="L631">
        <v>0</v>
      </c>
    </row>
    <row r="632" spans="1:12" x14ac:dyDescent="0.35">
      <c r="A632" s="1">
        <v>44835</v>
      </c>
      <c r="B632" t="s">
        <v>10</v>
      </c>
      <c r="C632" t="s">
        <v>14</v>
      </c>
      <c r="D632">
        <f>AVERAGE(1733,1783,1800,1766)</f>
        <v>1770.5</v>
      </c>
      <c r="E632">
        <v>0</v>
      </c>
      <c r="F632">
        <v>27.791388000000001</v>
      </c>
      <c r="G632">
        <v>499.09998000000002</v>
      </c>
      <c r="H632">
        <v>363.14839999999998</v>
      </c>
      <c r="I632">
        <v>66</v>
      </c>
      <c r="J632">
        <v>430</v>
      </c>
      <c r="L632">
        <v>0</v>
      </c>
    </row>
    <row r="633" spans="1:12" x14ac:dyDescent="0.35">
      <c r="A633" s="1">
        <v>44835</v>
      </c>
      <c r="B633" t="s">
        <v>10</v>
      </c>
      <c r="C633" t="s">
        <v>15</v>
      </c>
      <c r="D633">
        <f>AVERAGE(1845,1845,1805,1865)</f>
        <v>1840</v>
      </c>
      <c r="E633">
        <v>0</v>
      </c>
      <c r="F633">
        <v>28.019774999999999</v>
      </c>
      <c r="G633">
        <v>517.20000000000005</v>
      </c>
      <c r="H633">
        <v>363.14839999999998</v>
      </c>
      <c r="I633">
        <v>66</v>
      </c>
      <c r="J633">
        <v>430</v>
      </c>
      <c r="L633">
        <v>0</v>
      </c>
    </row>
    <row r="634" spans="1:12" x14ac:dyDescent="0.35">
      <c r="A634" s="1">
        <v>44835</v>
      </c>
      <c r="B634" t="s">
        <v>10</v>
      </c>
      <c r="C634" t="s">
        <v>16</v>
      </c>
      <c r="D634">
        <f>AVERAGE(1772,1829,1763,1750)</f>
        <v>1778.5</v>
      </c>
      <c r="E634">
        <v>0</v>
      </c>
      <c r="F634">
        <v>27.061838000000002</v>
      </c>
      <c r="G634">
        <v>304.3</v>
      </c>
      <c r="H634">
        <v>363.14839999999998</v>
      </c>
      <c r="I634">
        <v>66</v>
      </c>
      <c r="J634">
        <v>430</v>
      </c>
      <c r="L634">
        <v>0</v>
      </c>
    </row>
    <row r="635" spans="1:12" x14ac:dyDescent="0.35">
      <c r="A635" s="1">
        <v>44835</v>
      </c>
      <c r="B635" t="s">
        <v>10</v>
      </c>
      <c r="C635" t="s">
        <v>17</v>
      </c>
      <c r="D635">
        <f>AVERAGE(1900,1900,1867,1850)</f>
        <v>1879.25</v>
      </c>
      <c r="E635">
        <v>0</v>
      </c>
      <c r="F635">
        <v>28.764064999999999</v>
      </c>
      <c r="G635">
        <v>377.7</v>
      </c>
      <c r="H635">
        <v>363.14839999999998</v>
      </c>
      <c r="I635">
        <v>66</v>
      </c>
      <c r="J635">
        <v>430</v>
      </c>
      <c r="L635">
        <v>0</v>
      </c>
    </row>
    <row r="636" spans="1:12" x14ac:dyDescent="0.35">
      <c r="A636" s="1">
        <v>44835</v>
      </c>
      <c r="B636" t="s">
        <v>10</v>
      </c>
      <c r="C636" t="s">
        <v>18</v>
      </c>
      <c r="D636">
        <f>AVERAGE(1738,1713,1725,1738)</f>
        <v>1728.5</v>
      </c>
      <c r="E636">
        <v>0</v>
      </c>
      <c r="F636">
        <v>27.841743000000001</v>
      </c>
      <c r="G636">
        <v>431.3</v>
      </c>
      <c r="H636">
        <v>363.14839999999998</v>
      </c>
      <c r="I636">
        <v>66</v>
      </c>
      <c r="J636">
        <v>430</v>
      </c>
      <c r="L636">
        <v>0</v>
      </c>
    </row>
    <row r="637" spans="1:12" x14ac:dyDescent="0.35">
      <c r="A637" s="1">
        <v>44835</v>
      </c>
      <c r="B637" t="s">
        <v>10</v>
      </c>
      <c r="C637" t="s">
        <v>19</v>
      </c>
      <c r="D637">
        <f>AVERAGE(1785,1830,1830,1820)</f>
        <v>1816.25</v>
      </c>
      <c r="E637">
        <v>0</v>
      </c>
      <c r="F637">
        <v>28.56887</v>
      </c>
      <c r="G637">
        <v>422.2</v>
      </c>
      <c r="H637">
        <v>363.14839999999998</v>
      </c>
      <c r="I637">
        <v>66</v>
      </c>
      <c r="J637">
        <v>430</v>
      </c>
      <c r="L637">
        <v>0</v>
      </c>
    </row>
    <row r="638" spans="1:12" x14ac:dyDescent="0.35">
      <c r="A638" s="1">
        <v>44835</v>
      </c>
      <c r="B638" t="s">
        <v>10</v>
      </c>
      <c r="C638" t="s">
        <v>20</v>
      </c>
      <c r="D638">
        <f>AVERAGE(1700,1700,1750,1790)</f>
        <v>1735</v>
      </c>
      <c r="E638">
        <v>0</v>
      </c>
      <c r="F638">
        <v>28.115742000000001</v>
      </c>
      <c r="G638">
        <v>428.7</v>
      </c>
      <c r="H638">
        <v>363.14839999999998</v>
      </c>
      <c r="I638">
        <v>66</v>
      </c>
      <c r="J638">
        <v>430</v>
      </c>
      <c r="L638">
        <v>0</v>
      </c>
    </row>
    <row r="639" spans="1:12" x14ac:dyDescent="0.35">
      <c r="A639" s="1">
        <v>44835</v>
      </c>
      <c r="B639" t="s">
        <v>10</v>
      </c>
      <c r="C639" t="s">
        <v>21</v>
      </c>
      <c r="D639">
        <f>AVERAGE(1750,1810,1810,1810)</f>
        <v>1795</v>
      </c>
      <c r="E639">
        <v>0</v>
      </c>
      <c r="F639">
        <v>27.850967000000001</v>
      </c>
      <c r="G639">
        <v>368.6</v>
      </c>
      <c r="H639">
        <v>363.14839999999998</v>
      </c>
      <c r="I639">
        <v>66</v>
      </c>
      <c r="J639">
        <v>430</v>
      </c>
      <c r="L639">
        <v>0</v>
      </c>
    </row>
    <row r="640" spans="1:12" x14ac:dyDescent="0.35">
      <c r="A640" s="1">
        <v>44835</v>
      </c>
      <c r="B640" t="s">
        <v>10</v>
      </c>
      <c r="C640" t="s">
        <v>22</v>
      </c>
      <c r="D640">
        <f>AVERAGE(1817,1831,1821,1875)</f>
        <v>1836</v>
      </c>
      <c r="E640">
        <v>0</v>
      </c>
      <c r="F640">
        <v>27.440031000000001</v>
      </c>
      <c r="G640">
        <v>179.6</v>
      </c>
      <c r="H640">
        <v>363.14839999999998</v>
      </c>
      <c r="I640">
        <v>66</v>
      </c>
      <c r="J640">
        <v>430</v>
      </c>
      <c r="L640">
        <v>0</v>
      </c>
    </row>
    <row r="641" spans="1:12" x14ac:dyDescent="0.35">
      <c r="A641" s="1">
        <v>44835</v>
      </c>
      <c r="B641" t="s">
        <v>10</v>
      </c>
      <c r="C641" t="s">
        <v>23</v>
      </c>
      <c r="D641">
        <f>AVERAGE(1850,1850,1816,1850)</f>
        <v>1841.5</v>
      </c>
      <c r="E641">
        <v>0</v>
      </c>
      <c r="F641">
        <v>31.228838</v>
      </c>
      <c r="G641">
        <v>105.1</v>
      </c>
      <c r="H641">
        <v>363.14839999999998</v>
      </c>
      <c r="I641">
        <v>66</v>
      </c>
      <c r="J641">
        <v>430</v>
      </c>
      <c r="L641">
        <v>0</v>
      </c>
    </row>
    <row r="642" spans="1:12" x14ac:dyDescent="0.35">
      <c r="A642" s="1">
        <v>44835</v>
      </c>
      <c r="B642" t="s">
        <v>10</v>
      </c>
      <c r="C642" t="s">
        <v>24</v>
      </c>
      <c r="D642">
        <f>AVERAGE(1846,1800,1850,1850)</f>
        <v>1836.5</v>
      </c>
      <c r="E642">
        <v>0</v>
      </c>
      <c r="F642">
        <v>31.456</v>
      </c>
      <c r="G642">
        <v>309.10000000000002</v>
      </c>
      <c r="H642">
        <v>363.14839999999998</v>
      </c>
      <c r="I642">
        <v>66</v>
      </c>
      <c r="J642">
        <v>430</v>
      </c>
      <c r="L642">
        <v>0</v>
      </c>
    </row>
    <row r="643" spans="1:12" x14ac:dyDescent="0.35">
      <c r="A643" s="1">
        <v>44835</v>
      </c>
      <c r="B643" t="s">
        <v>25</v>
      </c>
      <c r="C643" t="s">
        <v>11</v>
      </c>
      <c r="D643">
        <f>AVERAGE(2789,2662,2458,2900)</f>
        <v>2702.25</v>
      </c>
      <c r="E643">
        <v>0</v>
      </c>
      <c r="F643">
        <v>26.367840000000001</v>
      </c>
      <c r="G643">
        <v>293.10000000000002</v>
      </c>
      <c r="H643">
        <v>363.14839999999998</v>
      </c>
      <c r="I643">
        <v>66</v>
      </c>
      <c r="J643">
        <v>430</v>
      </c>
      <c r="L643">
        <v>0</v>
      </c>
    </row>
    <row r="644" spans="1:12" x14ac:dyDescent="0.35">
      <c r="A644" s="1">
        <v>44835</v>
      </c>
      <c r="B644" t="s">
        <v>25</v>
      </c>
      <c r="C644" t="s">
        <v>12</v>
      </c>
      <c r="D644">
        <f>AVERAGE(2700,2994,3025,2890)</f>
        <v>2902.25</v>
      </c>
      <c r="E644">
        <v>0</v>
      </c>
      <c r="F644">
        <v>27.062777000000001</v>
      </c>
      <c r="G644">
        <v>342.59998000000002</v>
      </c>
      <c r="H644">
        <v>363.14839999999998</v>
      </c>
      <c r="I644">
        <v>66</v>
      </c>
      <c r="J644">
        <v>430</v>
      </c>
      <c r="L644">
        <v>0</v>
      </c>
    </row>
    <row r="645" spans="1:12" x14ac:dyDescent="0.35">
      <c r="A645" s="1">
        <v>44835</v>
      </c>
      <c r="B645" t="s">
        <v>25</v>
      </c>
      <c r="C645" t="s">
        <v>14</v>
      </c>
      <c r="D645">
        <f>AVERAGE(2333,2600,2800,2500)</f>
        <v>2558.25</v>
      </c>
      <c r="E645">
        <v>0</v>
      </c>
      <c r="F645">
        <v>27.791388000000001</v>
      </c>
      <c r="G645">
        <v>499.09998000000002</v>
      </c>
      <c r="H645">
        <v>363.14839999999998</v>
      </c>
      <c r="I645">
        <v>66</v>
      </c>
      <c r="J645">
        <v>430</v>
      </c>
      <c r="L645">
        <v>0</v>
      </c>
    </row>
    <row r="646" spans="1:12" x14ac:dyDescent="0.35">
      <c r="A646" s="1">
        <v>44835</v>
      </c>
      <c r="B646" t="s">
        <v>25</v>
      </c>
      <c r="C646" t="s">
        <v>16</v>
      </c>
      <c r="D646">
        <f>AVERAGE(2625,2584,2692,2666)</f>
        <v>2641.75</v>
      </c>
      <c r="E646">
        <v>0</v>
      </c>
      <c r="F646">
        <v>27.061838000000002</v>
      </c>
      <c r="G646">
        <v>304.3</v>
      </c>
      <c r="H646">
        <v>363.14839999999998</v>
      </c>
      <c r="I646">
        <v>66</v>
      </c>
      <c r="J646">
        <v>430</v>
      </c>
      <c r="L646">
        <v>0</v>
      </c>
    </row>
    <row r="647" spans="1:12" x14ac:dyDescent="0.35">
      <c r="A647" s="1">
        <v>44835</v>
      </c>
      <c r="B647" t="s">
        <v>25</v>
      </c>
      <c r="C647" t="s">
        <v>24</v>
      </c>
      <c r="D647">
        <f>AVERAGE(2813,2880,2883,2960)</f>
        <v>2884</v>
      </c>
      <c r="E647">
        <v>0</v>
      </c>
      <c r="F647">
        <v>31.456</v>
      </c>
      <c r="G647">
        <v>309.10000000000002</v>
      </c>
      <c r="H647">
        <v>363.14839999999998</v>
      </c>
      <c r="I647">
        <v>66</v>
      </c>
      <c r="J647">
        <v>430</v>
      </c>
      <c r="L647">
        <v>0</v>
      </c>
    </row>
    <row r="648" spans="1:12" x14ac:dyDescent="0.35">
      <c r="A648" s="1">
        <v>44866</v>
      </c>
      <c r="B648" t="s">
        <v>10</v>
      </c>
      <c r="C648" t="s">
        <v>11</v>
      </c>
      <c r="D648">
        <f>AVERAGE(1805,1798,1810,1815,1833)</f>
        <v>1812.2</v>
      </c>
      <c r="E648">
        <v>1</v>
      </c>
      <c r="F648">
        <v>26.608000000000001</v>
      </c>
      <c r="G648">
        <v>154.1</v>
      </c>
      <c r="H648">
        <v>363.39400000000001</v>
      </c>
      <c r="I648">
        <v>61</v>
      </c>
      <c r="J648">
        <v>420</v>
      </c>
      <c r="L648">
        <v>0</v>
      </c>
    </row>
    <row r="649" spans="1:12" x14ac:dyDescent="0.35">
      <c r="A649" s="1">
        <v>44866</v>
      </c>
      <c r="B649" t="s">
        <v>10</v>
      </c>
      <c r="C649" t="s">
        <v>12</v>
      </c>
      <c r="D649">
        <f>AVERAGE(1861,1858,1842,1840,1790)</f>
        <v>1838.2</v>
      </c>
      <c r="E649">
        <v>1</v>
      </c>
      <c r="F649">
        <v>27.812666</v>
      </c>
      <c r="G649">
        <v>244.9</v>
      </c>
      <c r="H649">
        <v>363.39400000000001</v>
      </c>
      <c r="I649">
        <v>61</v>
      </c>
      <c r="J649">
        <v>420</v>
      </c>
      <c r="L649">
        <v>0</v>
      </c>
    </row>
    <row r="650" spans="1:12" x14ac:dyDescent="0.35">
      <c r="A650" s="1">
        <v>44866</v>
      </c>
      <c r="B650" t="s">
        <v>10</v>
      </c>
      <c r="C650" t="s">
        <v>13</v>
      </c>
      <c r="D650">
        <f>AVERAGE(1780,1780,1780,1800,1790)</f>
        <v>1786</v>
      </c>
      <c r="E650">
        <v>1</v>
      </c>
      <c r="F650">
        <v>18.936831999999999</v>
      </c>
      <c r="G650">
        <v>140.80000000000001</v>
      </c>
      <c r="H650">
        <v>363.39400000000001</v>
      </c>
      <c r="I650">
        <v>61</v>
      </c>
      <c r="J650">
        <v>420</v>
      </c>
      <c r="L650">
        <v>0</v>
      </c>
    </row>
    <row r="651" spans="1:12" x14ac:dyDescent="0.35">
      <c r="A651" s="1">
        <v>44866</v>
      </c>
      <c r="B651" t="s">
        <v>10</v>
      </c>
      <c r="C651" t="s">
        <v>14</v>
      </c>
      <c r="D651">
        <f>AVERAGE(1783,1783,1683,1766,1600)</f>
        <v>1723</v>
      </c>
      <c r="E651">
        <v>1</v>
      </c>
      <c r="F651">
        <v>28.748000000000001</v>
      </c>
      <c r="G651">
        <v>265.3</v>
      </c>
      <c r="H651">
        <v>363.39400000000001</v>
      </c>
      <c r="I651">
        <v>61</v>
      </c>
      <c r="J651">
        <v>420</v>
      </c>
      <c r="L651">
        <v>0</v>
      </c>
    </row>
    <row r="652" spans="1:12" x14ac:dyDescent="0.35">
      <c r="A652" s="1">
        <v>44866</v>
      </c>
      <c r="B652" t="s">
        <v>10</v>
      </c>
      <c r="C652" t="s">
        <v>15</v>
      </c>
      <c r="D652">
        <f>AVERAGE(1500,1700,1720,1830,1830)</f>
        <v>1716</v>
      </c>
      <c r="E652">
        <v>1</v>
      </c>
      <c r="F652">
        <v>29.032999</v>
      </c>
      <c r="G652">
        <v>269.60000000000002</v>
      </c>
      <c r="H652">
        <v>363.39400000000001</v>
      </c>
      <c r="I652">
        <v>61</v>
      </c>
      <c r="J652">
        <v>420</v>
      </c>
      <c r="L652">
        <v>0</v>
      </c>
    </row>
    <row r="653" spans="1:12" x14ac:dyDescent="0.35">
      <c r="A653" s="1">
        <v>44866</v>
      </c>
      <c r="B653" t="s">
        <v>10</v>
      </c>
      <c r="C653" t="s">
        <v>16</v>
      </c>
      <c r="D653">
        <f>AVERAGE(1796,1825,1829,1825,1809)</f>
        <v>1816.8</v>
      </c>
      <c r="E653">
        <v>1</v>
      </c>
      <c r="F653">
        <v>25.490331999999999</v>
      </c>
      <c r="G653">
        <v>228.20000999999999</v>
      </c>
      <c r="H653">
        <v>363.39400000000001</v>
      </c>
      <c r="I653">
        <v>61</v>
      </c>
      <c r="J653">
        <v>420</v>
      </c>
      <c r="L653">
        <v>0</v>
      </c>
    </row>
    <row r="654" spans="1:12" x14ac:dyDescent="0.35">
      <c r="A654" s="1">
        <v>44866</v>
      </c>
      <c r="B654" t="s">
        <v>10</v>
      </c>
      <c r="C654" t="s">
        <v>17</v>
      </c>
      <c r="D654">
        <f>AVERAGE(1800,1800,1850,1833,1833)</f>
        <v>1823.2</v>
      </c>
      <c r="E654">
        <v>1</v>
      </c>
      <c r="F654">
        <v>29.431000000000001</v>
      </c>
      <c r="G654">
        <v>266.8</v>
      </c>
      <c r="H654">
        <v>363.39400000000001</v>
      </c>
      <c r="I654">
        <v>61</v>
      </c>
      <c r="J654">
        <v>420</v>
      </c>
      <c r="L654">
        <v>0</v>
      </c>
    </row>
    <row r="655" spans="1:12" x14ac:dyDescent="0.35">
      <c r="A655" s="1">
        <v>44866</v>
      </c>
      <c r="B655" t="s">
        <v>10</v>
      </c>
      <c r="C655" t="s">
        <v>18</v>
      </c>
      <c r="D655">
        <f>AVERAGE(1713,1763,1775,1638,1550)</f>
        <v>1687.8</v>
      </c>
      <c r="E655">
        <v>1</v>
      </c>
      <c r="F655">
        <v>28.719000000000001</v>
      </c>
      <c r="G655">
        <v>231.3</v>
      </c>
      <c r="H655">
        <v>363.39400000000001</v>
      </c>
      <c r="I655">
        <v>61</v>
      </c>
      <c r="J655">
        <v>420</v>
      </c>
      <c r="L655">
        <v>0</v>
      </c>
    </row>
    <row r="656" spans="1:12" x14ac:dyDescent="0.35">
      <c r="A656" s="1">
        <v>44866</v>
      </c>
      <c r="B656" t="s">
        <v>10</v>
      </c>
      <c r="C656" t="s">
        <v>19</v>
      </c>
      <c r="D656">
        <f>AVERAGE(1500,1800,1820,1780,1780)</f>
        <v>1736</v>
      </c>
      <c r="E656">
        <v>1</v>
      </c>
      <c r="F656">
        <v>29.698333999999999</v>
      </c>
      <c r="G656">
        <v>245</v>
      </c>
      <c r="H656">
        <v>363.39400000000001</v>
      </c>
      <c r="I656">
        <v>61</v>
      </c>
      <c r="J656">
        <v>420</v>
      </c>
      <c r="L656">
        <v>0</v>
      </c>
    </row>
    <row r="657" spans="1:12" x14ac:dyDescent="0.35">
      <c r="A657" s="1">
        <v>44866</v>
      </c>
      <c r="B657" t="s">
        <v>10</v>
      </c>
      <c r="C657" t="s">
        <v>20</v>
      </c>
      <c r="D657">
        <f>AVERAGE(1780,1800,1800,1650,1600)</f>
        <v>1726</v>
      </c>
      <c r="E657">
        <v>1</v>
      </c>
      <c r="F657">
        <v>28.942999</v>
      </c>
      <c r="G657">
        <v>198.90001000000001</v>
      </c>
      <c r="H657">
        <v>363.39400000000001</v>
      </c>
      <c r="I657">
        <v>61</v>
      </c>
      <c r="J657">
        <v>420</v>
      </c>
      <c r="L657">
        <v>0</v>
      </c>
    </row>
    <row r="658" spans="1:12" x14ac:dyDescent="0.35">
      <c r="A658" s="1">
        <v>44866</v>
      </c>
      <c r="B658" t="s">
        <v>10</v>
      </c>
      <c r="C658" t="s">
        <v>21</v>
      </c>
      <c r="D658">
        <f>AVERAGE(1400,1500,1625,1700,1780)</f>
        <v>1601</v>
      </c>
      <c r="E658">
        <v>1</v>
      </c>
      <c r="F658">
        <v>28.668333000000001</v>
      </c>
      <c r="G658">
        <v>192.5</v>
      </c>
      <c r="H658">
        <v>363.39400000000001</v>
      </c>
      <c r="I658">
        <v>61</v>
      </c>
      <c r="J658">
        <v>420</v>
      </c>
      <c r="L658">
        <v>0</v>
      </c>
    </row>
    <row r="659" spans="1:12" x14ac:dyDescent="0.35">
      <c r="A659" s="1">
        <v>44866</v>
      </c>
      <c r="B659" t="s">
        <v>10</v>
      </c>
      <c r="C659" t="s">
        <v>22</v>
      </c>
      <c r="D659">
        <f>AVERAGE(1756,1737,1663,1520,1310)</f>
        <v>1597.2</v>
      </c>
      <c r="E659">
        <v>1</v>
      </c>
      <c r="F659">
        <v>28.061</v>
      </c>
      <c r="G659">
        <v>164.6</v>
      </c>
      <c r="H659">
        <v>363.39400000000001</v>
      </c>
      <c r="I659">
        <v>61</v>
      </c>
      <c r="J659">
        <v>420</v>
      </c>
      <c r="L659">
        <v>0</v>
      </c>
    </row>
    <row r="660" spans="1:12" x14ac:dyDescent="0.35">
      <c r="A660" s="1">
        <v>44866</v>
      </c>
      <c r="B660" t="s">
        <v>10</v>
      </c>
      <c r="C660" t="s">
        <v>23</v>
      </c>
      <c r="D660">
        <f>AVERAGE(1733,1733,1717,1817,1817)</f>
        <v>1763.4</v>
      </c>
      <c r="E660">
        <v>1</v>
      </c>
      <c r="F660">
        <v>30.024000000000001</v>
      </c>
      <c r="G660">
        <v>215.1</v>
      </c>
      <c r="H660">
        <v>363.39400000000001</v>
      </c>
      <c r="I660">
        <v>61</v>
      </c>
      <c r="J660">
        <v>420</v>
      </c>
      <c r="L660">
        <v>0</v>
      </c>
    </row>
    <row r="661" spans="1:12" x14ac:dyDescent="0.35">
      <c r="A661" s="1">
        <v>44866</v>
      </c>
      <c r="B661" t="s">
        <v>10</v>
      </c>
      <c r="C661" t="s">
        <v>24</v>
      </c>
      <c r="D661">
        <f>AVERAGE(1800,1800,1814,1800,1805)</f>
        <v>1803.8</v>
      </c>
      <c r="E661">
        <v>1</v>
      </c>
      <c r="F661">
        <v>29.404333000000001</v>
      </c>
      <c r="G661">
        <v>258.2</v>
      </c>
      <c r="H661">
        <v>363.39400000000001</v>
      </c>
      <c r="I661">
        <v>61</v>
      </c>
      <c r="J661">
        <v>420</v>
      </c>
      <c r="L661">
        <v>0</v>
      </c>
    </row>
    <row r="662" spans="1:12" x14ac:dyDescent="0.35">
      <c r="A662" s="1">
        <v>44866</v>
      </c>
      <c r="B662" t="s">
        <v>25</v>
      </c>
      <c r="C662" t="s">
        <v>11</v>
      </c>
      <c r="D662">
        <f>AVERAGE(2700,2633,2625,2667,2618)</f>
        <v>2648.6</v>
      </c>
      <c r="E662">
        <v>1</v>
      </c>
      <c r="F662">
        <v>26.608000000000001</v>
      </c>
      <c r="G662">
        <v>154.1</v>
      </c>
      <c r="H662">
        <v>363.39400000000001</v>
      </c>
      <c r="I662">
        <v>61</v>
      </c>
      <c r="J662">
        <v>420</v>
      </c>
      <c r="L662">
        <v>0</v>
      </c>
    </row>
    <row r="663" spans="1:12" x14ac:dyDescent="0.35">
      <c r="A663" s="1">
        <v>44866</v>
      </c>
      <c r="B663" t="s">
        <v>25</v>
      </c>
      <c r="C663" t="s">
        <v>12</v>
      </c>
      <c r="D663">
        <f>AVERAGE(2917,3050,2920,3017,3000)</f>
        <v>2980.8</v>
      </c>
      <c r="E663">
        <v>1</v>
      </c>
      <c r="F663">
        <v>27.812666</v>
      </c>
      <c r="G663">
        <v>244.9</v>
      </c>
      <c r="H663">
        <v>363.39400000000001</v>
      </c>
      <c r="I663">
        <v>61</v>
      </c>
      <c r="J663">
        <v>420</v>
      </c>
      <c r="L663">
        <v>0</v>
      </c>
    </row>
    <row r="664" spans="1:12" x14ac:dyDescent="0.35">
      <c r="A664" s="1">
        <v>44866</v>
      </c>
      <c r="B664" t="s">
        <v>25</v>
      </c>
      <c r="C664" t="s">
        <v>14</v>
      </c>
      <c r="D664">
        <f>AVERAGE(2800,2150,2625,2500,2100)</f>
        <v>2435</v>
      </c>
      <c r="E664">
        <v>1</v>
      </c>
      <c r="F664">
        <v>28.748000000000001</v>
      </c>
      <c r="G664">
        <v>265.3</v>
      </c>
      <c r="H664">
        <v>363.39400000000001</v>
      </c>
      <c r="I664">
        <v>61</v>
      </c>
      <c r="J664">
        <v>420</v>
      </c>
      <c r="L664">
        <v>0</v>
      </c>
    </row>
    <row r="665" spans="1:12" x14ac:dyDescent="0.35">
      <c r="A665" s="1">
        <v>44866</v>
      </c>
      <c r="B665" t="s">
        <v>25</v>
      </c>
      <c r="C665" t="s">
        <v>16</v>
      </c>
      <c r="D665">
        <f>AVERAGE(2584,2550,2550,2650,2667)</f>
        <v>2600.1999999999998</v>
      </c>
      <c r="E665">
        <v>1</v>
      </c>
      <c r="F665">
        <v>25.490331999999999</v>
      </c>
      <c r="G665">
        <v>228.20000999999999</v>
      </c>
      <c r="H665">
        <v>363.39400000000001</v>
      </c>
      <c r="I665">
        <v>61</v>
      </c>
      <c r="J665">
        <v>420</v>
      </c>
      <c r="L665">
        <v>0</v>
      </c>
    </row>
    <row r="666" spans="1:12" x14ac:dyDescent="0.35">
      <c r="A666" s="1">
        <v>44866</v>
      </c>
      <c r="B666" t="s">
        <v>25</v>
      </c>
      <c r="C666" t="s">
        <v>24</v>
      </c>
      <c r="D666">
        <f>AVERAGE(2880,2850,2863,2750,2885)</f>
        <v>2845.6</v>
      </c>
      <c r="E666">
        <v>1</v>
      </c>
      <c r="F666">
        <v>29.404333000000001</v>
      </c>
      <c r="G666">
        <v>258.2</v>
      </c>
      <c r="H666">
        <v>363.39400000000001</v>
      </c>
      <c r="I666">
        <v>61</v>
      </c>
      <c r="J666">
        <v>420</v>
      </c>
      <c r="L666">
        <v>0</v>
      </c>
    </row>
    <row r="667" spans="1:12" x14ac:dyDescent="0.35">
      <c r="A667" s="1">
        <v>44896</v>
      </c>
      <c r="B667" t="s">
        <v>10</v>
      </c>
      <c r="C667" t="s">
        <v>11</v>
      </c>
      <c r="D667">
        <f>AVERAGE(1773,1783,1610,1678)</f>
        <v>1711</v>
      </c>
      <c r="E667">
        <v>1</v>
      </c>
      <c r="F667">
        <v>26.133967999999999</v>
      </c>
      <c r="G667">
        <v>190.5</v>
      </c>
      <c r="H667">
        <v>363.16520000000003</v>
      </c>
      <c r="I667">
        <v>57.2</v>
      </c>
      <c r="J667">
        <v>420</v>
      </c>
      <c r="L667">
        <v>0</v>
      </c>
    </row>
    <row r="668" spans="1:12" x14ac:dyDescent="0.35">
      <c r="A668" s="1">
        <v>44896</v>
      </c>
      <c r="B668" t="s">
        <v>10</v>
      </c>
      <c r="C668" t="s">
        <v>12</v>
      </c>
      <c r="D668">
        <f>AVERAGE(1761,1763,1813,1793)</f>
        <v>1782.5</v>
      </c>
      <c r="E668">
        <v>1</v>
      </c>
      <c r="F668">
        <v>26.756325</v>
      </c>
      <c r="G668">
        <v>216.5</v>
      </c>
      <c r="H668">
        <v>363.16520000000003</v>
      </c>
      <c r="I668">
        <v>57.2</v>
      </c>
      <c r="J668">
        <v>420</v>
      </c>
      <c r="L668">
        <v>0</v>
      </c>
    </row>
    <row r="669" spans="1:12" x14ac:dyDescent="0.35">
      <c r="A669" s="1">
        <v>44896</v>
      </c>
      <c r="B669" t="s">
        <v>10</v>
      </c>
      <c r="C669" t="s">
        <v>13</v>
      </c>
      <c r="D669">
        <f>AVERAGE(1750,1780,1780,1780)</f>
        <v>1772.5</v>
      </c>
      <c r="E669">
        <v>1</v>
      </c>
      <c r="F669">
        <v>18.133177</v>
      </c>
      <c r="G669">
        <v>153.69999999999999</v>
      </c>
      <c r="H669">
        <v>363.16520000000003</v>
      </c>
      <c r="I669">
        <v>57.2</v>
      </c>
      <c r="J669">
        <v>420</v>
      </c>
      <c r="L669">
        <v>0</v>
      </c>
    </row>
    <row r="670" spans="1:12" x14ac:dyDescent="0.35">
      <c r="A670" s="1">
        <v>44896</v>
      </c>
      <c r="B670" t="s">
        <v>10</v>
      </c>
      <c r="C670" t="s">
        <v>14</v>
      </c>
      <c r="D670">
        <f>AVERAGE(1500,1466,1566,1500)</f>
        <v>1508</v>
      </c>
      <c r="E670">
        <v>1</v>
      </c>
      <c r="F670">
        <v>28.160741999999999</v>
      </c>
      <c r="G670">
        <v>227.6</v>
      </c>
      <c r="H670">
        <v>363.16520000000003</v>
      </c>
      <c r="I670">
        <v>57.2</v>
      </c>
      <c r="J670">
        <v>420</v>
      </c>
      <c r="L670">
        <v>0</v>
      </c>
    </row>
    <row r="671" spans="1:12" x14ac:dyDescent="0.35">
      <c r="A671" s="1">
        <v>44896</v>
      </c>
      <c r="B671" t="s">
        <v>10</v>
      </c>
      <c r="C671" t="s">
        <v>15</v>
      </c>
      <c r="D671">
        <f>AVERAGE(1742,1680,1740,1670)</f>
        <v>1708</v>
      </c>
      <c r="E671">
        <v>1</v>
      </c>
      <c r="F671">
        <v>28.656872</v>
      </c>
      <c r="G671">
        <v>202</v>
      </c>
      <c r="H671">
        <v>363.16520000000003</v>
      </c>
      <c r="I671">
        <v>57.2</v>
      </c>
      <c r="J671">
        <v>420</v>
      </c>
      <c r="L671">
        <v>0</v>
      </c>
    </row>
    <row r="672" spans="1:12" x14ac:dyDescent="0.35">
      <c r="A672" s="1">
        <v>44896</v>
      </c>
      <c r="B672" t="s">
        <v>10</v>
      </c>
      <c r="C672" t="s">
        <v>16</v>
      </c>
      <c r="D672">
        <f>AVERAGE(1775,1750,1800,1800)</f>
        <v>1781.25</v>
      </c>
      <c r="E672">
        <v>1</v>
      </c>
      <c r="F672">
        <v>24.448934999999999</v>
      </c>
      <c r="G672">
        <v>234.8</v>
      </c>
      <c r="H672">
        <v>363.16520000000003</v>
      </c>
      <c r="I672">
        <v>57.2</v>
      </c>
      <c r="J672">
        <v>420</v>
      </c>
      <c r="L672">
        <v>0</v>
      </c>
    </row>
    <row r="673" spans="1:12" x14ac:dyDescent="0.35">
      <c r="A673" s="1">
        <v>44896</v>
      </c>
      <c r="B673" t="s">
        <v>10</v>
      </c>
      <c r="C673" t="s">
        <v>17</v>
      </c>
      <c r="D673">
        <f>AVERAGE(1600,1500,1533,1567)</f>
        <v>1550</v>
      </c>
      <c r="E673">
        <v>1</v>
      </c>
      <c r="F673">
        <v>28.456</v>
      </c>
      <c r="G673">
        <v>222.7</v>
      </c>
      <c r="H673">
        <v>363.16520000000003</v>
      </c>
      <c r="I673">
        <v>57.2</v>
      </c>
      <c r="J673">
        <v>420</v>
      </c>
      <c r="L673">
        <v>0</v>
      </c>
    </row>
    <row r="674" spans="1:12" x14ac:dyDescent="0.35">
      <c r="A674" s="1">
        <v>44896</v>
      </c>
      <c r="B674" t="s">
        <v>10</v>
      </c>
      <c r="C674" t="s">
        <v>18</v>
      </c>
      <c r="D674">
        <f>AVERAGE(1513,1438,1438,1488)</f>
        <v>1469.25</v>
      </c>
      <c r="E674">
        <v>1</v>
      </c>
      <c r="F674">
        <v>28.69013</v>
      </c>
      <c r="G674">
        <v>195.90001000000001</v>
      </c>
      <c r="H674">
        <v>363.16520000000003</v>
      </c>
      <c r="I674">
        <v>57.2</v>
      </c>
      <c r="J674">
        <v>420</v>
      </c>
      <c r="L674">
        <v>0</v>
      </c>
    </row>
    <row r="675" spans="1:12" x14ac:dyDescent="0.35">
      <c r="A675" s="1">
        <v>44896</v>
      </c>
      <c r="B675" t="s">
        <v>10</v>
      </c>
      <c r="C675" t="s">
        <v>19</v>
      </c>
      <c r="D675">
        <f>AVERAGE(1650,1650,1560,1510)</f>
        <v>1592.5</v>
      </c>
      <c r="E675">
        <v>1</v>
      </c>
      <c r="F675">
        <v>29.380161000000001</v>
      </c>
      <c r="G675">
        <v>164.79999000000001</v>
      </c>
      <c r="H675">
        <v>363.16520000000003</v>
      </c>
      <c r="I675">
        <v>57.2</v>
      </c>
      <c r="J675">
        <v>420</v>
      </c>
      <c r="L675">
        <v>0</v>
      </c>
    </row>
    <row r="676" spans="1:12" x14ac:dyDescent="0.35">
      <c r="A676" s="1">
        <v>44896</v>
      </c>
      <c r="B676" t="s">
        <v>10</v>
      </c>
      <c r="C676" t="s">
        <v>20</v>
      </c>
      <c r="D676">
        <f>AVERAGE(1300,1500,1500,1500)</f>
        <v>1450</v>
      </c>
      <c r="E676">
        <v>1</v>
      </c>
      <c r="F676">
        <v>28.791550000000001</v>
      </c>
      <c r="G676">
        <v>145.1</v>
      </c>
      <c r="H676">
        <v>363.16520000000003</v>
      </c>
      <c r="I676">
        <v>57.2</v>
      </c>
      <c r="J676">
        <v>420</v>
      </c>
      <c r="L676">
        <v>0</v>
      </c>
    </row>
    <row r="677" spans="1:12" x14ac:dyDescent="0.35">
      <c r="A677" s="1">
        <v>44896</v>
      </c>
      <c r="B677" t="s">
        <v>10</v>
      </c>
      <c r="C677" t="s">
        <v>21</v>
      </c>
      <c r="D677">
        <f>AVERAGE(1600,1500,1600,1425)</f>
        <v>1531.25</v>
      </c>
      <c r="E677">
        <v>1</v>
      </c>
      <c r="F677">
        <v>28.178387000000001</v>
      </c>
      <c r="G677">
        <v>207.50002000000001</v>
      </c>
      <c r="H677">
        <v>363.16520000000003</v>
      </c>
      <c r="I677">
        <v>57.2</v>
      </c>
      <c r="J677">
        <v>420</v>
      </c>
      <c r="L677">
        <v>0</v>
      </c>
    </row>
    <row r="678" spans="1:12" x14ac:dyDescent="0.35">
      <c r="A678" s="1">
        <v>44896</v>
      </c>
      <c r="B678" t="s">
        <v>10</v>
      </c>
      <c r="C678" t="s">
        <v>22</v>
      </c>
      <c r="D678">
        <f>AVERAGE(1385,1524,1640,1647)</f>
        <v>1549</v>
      </c>
      <c r="E678">
        <v>1</v>
      </c>
      <c r="F678">
        <v>27.423902999999999</v>
      </c>
      <c r="G678">
        <v>187.7</v>
      </c>
      <c r="H678">
        <v>363.16520000000003</v>
      </c>
      <c r="I678">
        <v>57.2</v>
      </c>
      <c r="J678">
        <v>420</v>
      </c>
      <c r="L678">
        <v>0</v>
      </c>
    </row>
    <row r="679" spans="1:12" x14ac:dyDescent="0.35">
      <c r="A679" s="1">
        <v>44896</v>
      </c>
      <c r="B679" t="s">
        <v>10</v>
      </c>
      <c r="C679" t="s">
        <v>23</v>
      </c>
      <c r="D679">
        <f>AVERAGE(1715,1820,1765,1733)</f>
        <v>1758.25</v>
      </c>
      <c r="E679">
        <v>1</v>
      </c>
      <c r="F679">
        <v>29.314323000000002</v>
      </c>
      <c r="G679">
        <v>193.5</v>
      </c>
      <c r="H679">
        <v>363.16520000000003</v>
      </c>
      <c r="I679">
        <v>57.2</v>
      </c>
      <c r="J679">
        <v>420</v>
      </c>
      <c r="L679">
        <v>0</v>
      </c>
    </row>
    <row r="680" spans="1:12" x14ac:dyDescent="0.35">
      <c r="A680" s="1">
        <v>44896</v>
      </c>
      <c r="B680" t="s">
        <v>10</v>
      </c>
      <c r="C680" t="s">
        <v>24</v>
      </c>
      <c r="D680">
        <f>AVERAGE(1800,1800,1804,1812)</f>
        <v>1804</v>
      </c>
      <c r="E680">
        <v>1</v>
      </c>
      <c r="F680">
        <v>28.368901999999999</v>
      </c>
      <c r="G680">
        <v>208.20000999999999</v>
      </c>
      <c r="H680">
        <v>363.16520000000003</v>
      </c>
      <c r="I680">
        <v>57.2</v>
      </c>
      <c r="J680">
        <v>420</v>
      </c>
      <c r="L680">
        <v>0</v>
      </c>
    </row>
    <row r="681" spans="1:12" x14ac:dyDescent="0.35">
      <c r="A681" s="1">
        <v>44896</v>
      </c>
      <c r="B681" t="s">
        <v>25</v>
      </c>
      <c r="C681" t="s">
        <v>11</v>
      </c>
      <c r="D681">
        <f>AVERAGE(2617,2617,2650,2683)</f>
        <v>2641.75</v>
      </c>
      <c r="E681">
        <v>1</v>
      </c>
      <c r="F681">
        <v>26.133967999999999</v>
      </c>
      <c r="G681">
        <v>190.5</v>
      </c>
      <c r="H681">
        <v>363.16520000000003</v>
      </c>
      <c r="I681">
        <v>57.2</v>
      </c>
      <c r="J681">
        <v>420</v>
      </c>
      <c r="L681">
        <v>0</v>
      </c>
    </row>
    <row r="682" spans="1:12" x14ac:dyDescent="0.35">
      <c r="A682" s="1">
        <v>44896</v>
      </c>
      <c r="B682" t="s">
        <v>25</v>
      </c>
      <c r="C682" t="s">
        <v>12</v>
      </c>
      <c r="D682">
        <f>AVERAGE(3000,3000,2913,2808)</f>
        <v>2930.25</v>
      </c>
      <c r="E682">
        <v>1</v>
      </c>
      <c r="F682">
        <v>26.756325</v>
      </c>
      <c r="G682">
        <v>216.5</v>
      </c>
      <c r="H682">
        <v>363.16520000000003</v>
      </c>
      <c r="I682">
        <v>57.2</v>
      </c>
      <c r="J682">
        <v>420</v>
      </c>
      <c r="L682">
        <v>0</v>
      </c>
    </row>
    <row r="683" spans="1:12" x14ac:dyDescent="0.35">
      <c r="A683" s="1">
        <v>44896</v>
      </c>
      <c r="B683" t="s">
        <v>25</v>
      </c>
      <c r="C683" t="s">
        <v>14</v>
      </c>
      <c r="D683">
        <f>AVERAGE(2500,2466,2700)</f>
        <v>2555.3333333333335</v>
      </c>
      <c r="E683">
        <v>1</v>
      </c>
      <c r="F683">
        <v>28.160741999999999</v>
      </c>
      <c r="G683">
        <v>227.6</v>
      </c>
      <c r="H683">
        <v>363.16520000000003</v>
      </c>
      <c r="I683">
        <v>57.2</v>
      </c>
      <c r="J683">
        <v>420</v>
      </c>
      <c r="L683">
        <v>0</v>
      </c>
    </row>
    <row r="684" spans="1:12" x14ac:dyDescent="0.35">
      <c r="A684" s="1">
        <v>44896</v>
      </c>
      <c r="B684" t="s">
        <v>25</v>
      </c>
      <c r="C684" t="s">
        <v>16</v>
      </c>
      <c r="D684">
        <f>AVERAGE(2533,2533,2766,2616)</f>
        <v>2612</v>
      </c>
      <c r="E684">
        <v>1</v>
      </c>
      <c r="F684">
        <v>24.448934999999999</v>
      </c>
      <c r="G684">
        <v>234.8</v>
      </c>
      <c r="H684">
        <v>363.16520000000003</v>
      </c>
      <c r="I684">
        <v>57.2</v>
      </c>
      <c r="J684">
        <v>420</v>
      </c>
      <c r="L684">
        <v>0</v>
      </c>
    </row>
    <row r="685" spans="1:12" x14ac:dyDescent="0.35">
      <c r="A685" s="1">
        <v>44896</v>
      </c>
      <c r="B685" t="s">
        <v>25</v>
      </c>
      <c r="C685" t="s">
        <v>24</v>
      </c>
      <c r="D685">
        <f>AVERAGE(2880,2880,2890,2820)</f>
        <v>2867.5</v>
      </c>
      <c r="E685">
        <v>1</v>
      </c>
      <c r="F685">
        <v>28.368901999999999</v>
      </c>
      <c r="G685">
        <v>208.20000999999999</v>
      </c>
      <c r="H685">
        <v>363.16520000000003</v>
      </c>
      <c r="I685">
        <v>57.2</v>
      </c>
      <c r="J685">
        <v>420</v>
      </c>
      <c r="L685">
        <v>0</v>
      </c>
    </row>
    <row r="686" spans="1:12" x14ac:dyDescent="0.35">
      <c r="A686" s="1">
        <v>44927</v>
      </c>
      <c r="B686" t="s">
        <v>10</v>
      </c>
      <c r="C686" t="s">
        <v>11</v>
      </c>
      <c r="D686">
        <f>AVERAGE(1690,1683,1718,1735,1768)</f>
        <v>1718.8</v>
      </c>
      <c r="E686">
        <v>1</v>
      </c>
      <c r="F686">
        <v>26.459773999999999</v>
      </c>
      <c r="G686">
        <v>44.4</v>
      </c>
      <c r="H686">
        <v>362.4228</v>
      </c>
      <c r="I686">
        <v>51.7</v>
      </c>
      <c r="J686">
        <v>405</v>
      </c>
      <c r="L686">
        <v>0</v>
      </c>
    </row>
    <row r="687" spans="1:12" x14ac:dyDescent="0.35">
      <c r="A687" s="1">
        <v>44927</v>
      </c>
      <c r="B687" t="s">
        <v>10</v>
      </c>
      <c r="C687" t="s">
        <v>12</v>
      </c>
      <c r="D687">
        <f>AVERAGE(1810,1817,1812,1835,1784)</f>
        <v>1811.6</v>
      </c>
      <c r="E687">
        <v>1</v>
      </c>
      <c r="F687">
        <v>27.230516000000001</v>
      </c>
      <c r="G687">
        <v>61.5</v>
      </c>
      <c r="H687">
        <v>362.4228</v>
      </c>
      <c r="I687">
        <v>51.7</v>
      </c>
      <c r="J687">
        <v>405</v>
      </c>
      <c r="L687">
        <v>0</v>
      </c>
    </row>
    <row r="688" spans="1:12" x14ac:dyDescent="0.35">
      <c r="A688" s="1">
        <v>44927</v>
      </c>
      <c r="B688" t="s">
        <v>10</v>
      </c>
      <c r="C688" t="s">
        <v>13</v>
      </c>
      <c r="D688">
        <f>AVERAGE(1640,1770,1730,1740,1740)</f>
        <v>1724</v>
      </c>
      <c r="E688">
        <v>1</v>
      </c>
      <c r="F688">
        <v>18.878337999999999</v>
      </c>
      <c r="G688">
        <v>72.200005000000004</v>
      </c>
      <c r="H688">
        <v>362.4228</v>
      </c>
      <c r="I688">
        <v>51.7</v>
      </c>
      <c r="J688">
        <v>405</v>
      </c>
      <c r="L688">
        <v>0</v>
      </c>
    </row>
    <row r="689" spans="1:12" x14ac:dyDescent="0.35">
      <c r="A689" s="1">
        <v>44927</v>
      </c>
      <c r="B689" t="s">
        <v>10</v>
      </c>
      <c r="C689" t="s">
        <v>14</v>
      </c>
      <c r="D689">
        <f>AVERAGE(1633,1566,1666,1650,1661)</f>
        <v>1635.2</v>
      </c>
      <c r="E689">
        <v>1</v>
      </c>
      <c r="F689">
        <v>29.012353999999998</v>
      </c>
      <c r="G689">
        <v>92.8</v>
      </c>
      <c r="H689">
        <v>362.4228</v>
      </c>
      <c r="I689">
        <v>51.7</v>
      </c>
      <c r="J689">
        <v>405</v>
      </c>
      <c r="L689">
        <v>0</v>
      </c>
    </row>
    <row r="690" spans="1:12" x14ac:dyDescent="0.35">
      <c r="A690" s="1">
        <v>44927</v>
      </c>
      <c r="B690" t="s">
        <v>10</v>
      </c>
      <c r="C690" t="s">
        <v>15</v>
      </c>
      <c r="D690">
        <f>AVERAGE(1750,1750,1725,1755,1732)</f>
        <v>1742.4</v>
      </c>
      <c r="E690">
        <v>1</v>
      </c>
      <c r="F690">
        <v>29.037517999999999</v>
      </c>
      <c r="G690">
        <v>134.5</v>
      </c>
      <c r="H690">
        <v>362.4228</v>
      </c>
      <c r="I690">
        <v>51.7</v>
      </c>
      <c r="J690">
        <v>405</v>
      </c>
      <c r="L690">
        <v>0</v>
      </c>
    </row>
    <row r="691" spans="1:12" x14ac:dyDescent="0.35">
      <c r="A691" s="1">
        <v>44927</v>
      </c>
      <c r="B691" t="s">
        <v>10</v>
      </c>
      <c r="C691" t="s">
        <v>16</v>
      </c>
      <c r="D691">
        <f>AVERAGE(1791,1804,1766,1816,1816)</f>
        <v>1798.6</v>
      </c>
      <c r="E691">
        <v>1</v>
      </c>
      <c r="F691">
        <v>23.703773000000002</v>
      </c>
      <c r="G691">
        <v>201</v>
      </c>
      <c r="H691">
        <v>362.4228</v>
      </c>
      <c r="I691">
        <v>51.7</v>
      </c>
      <c r="J691">
        <v>405</v>
      </c>
      <c r="L691">
        <v>0</v>
      </c>
    </row>
    <row r="692" spans="1:12" x14ac:dyDescent="0.35">
      <c r="A692" s="1">
        <v>44927</v>
      </c>
      <c r="B692" t="s">
        <v>10</v>
      </c>
      <c r="C692" t="s">
        <v>17</v>
      </c>
      <c r="D692">
        <f>AVERAGE(1650,1607,1558,1550,1567)</f>
        <v>1586.4</v>
      </c>
      <c r="E692">
        <v>1</v>
      </c>
      <c r="F692">
        <v>29.007614</v>
      </c>
      <c r="G692">
        <v>70.400000000000006</v>
      </c>
      <c r="H692">
        <v>362.4228</v>
      </c>
      <c r="I692">
        <v>51.7</v>
      </c>
      <c r="J692">
        <v>405</v>
      </c>
      <c r="L692">
        <v>0</v>
      </c>
    </row>
    <row r="693" spans="1:12" x14ac:dyDescent="0.35">
      <c r="A693" s="1">
        <v>44927</v>
      </c>
      <c r="B693" t="s">
        <v>10</v>
      </c>
      <c r="C693" t="s">
        <v>18</v>
      </c>
      <c r="D693">
        <f>AVERAGE(1463,1500,1513,1500,1525)</f>
        <v>1500.2</v>
      </c>
      <c r="E693">
        <v>1</v>
      </c>
      <c r="F693">
        <v>29.585290000000001</v>
      </c>
      <c r="G693">
        <v>89</v>
      </c>
      <c r="H693">
        <v>362.4228</v>
      </c>
      <c r="I693">
        <v>51.7</v>
      </c>
      <c r="J693">
        <v>405</v>
      </c>
      <c r="L693">
        <v>0</v>
      </c>
    </row>
    <row r="694" spans="1:12" x14ac:dyDescent="0.35">
      <c r="A694" s="1">
        <v>44927</v>
      </c>
      <c r="B694" t="s">
        <v>10</v>
      </c>
      <c r="C694" t="s">
        <v>19</v>
      </c>
      <c r="D694">
        <f>AVERAGE(1668,1650,1620,1615,1605)</f>
        <v>1631.6</v>
      </c>
      <c r="E694">
        <v>1</v>
      </c>
      <c r="F694">
        <v>30.293064000000001</v>
      </c>
      <c r="G694">
        <v>116.5</v>
      </c>
      <c r="H694">
        <v>362.4228</v>
      </c>
      <c r="I694">
        <v>51.7</v>
      </c>
      <c r="J694">
        <v>405</v>
      </c>
      <c r="L694">
        <v>0</v>
      </c>
    </row>
    <row r="695" spans="1:12" x14ac:dyDescent="0.35">
      <c r="A695" s="1">
        <v>44927</v>
      </c>
      <c r="B695" t="s">
        <v>10</v>
      </c>
      <c r="C695" t="s">
        <v>20</v>
      </c>
      <c r="D695">
        <f>AVERAGE(1500,1500,1500,1570,1600)</f>
        <v>1534</v>
      </c>
      <c r="E695">
        <v>1</v>
      </c>
      <c r="F695">
        <v>29.148</v>
      </c>
      <c r="G695">
        <v>82.6</v>
      </c>
      <c r="H695">
        <v>362.4228</v>
      </c>
      <c r="I695">
        <v>51.7</v>
      </c>
      <c r="J695">
        <v>405</v>
      </c>
      <c r="L695">
        <v>0</v>
      </c>
    </row>
    <row r="696" spans="1:12" x14ac:dyDescent="0.35">
      <c r="A696" s="1">
        <v>44927</v>
      </c>
      <c r="B696" t="s">
        <v>10</v>
      </c>
      <c r="C696" t="s">
        <v>21</v>
      </c>
      <c r="D696">
        <f>AVERAGE(1610,1625,1625,1610,1640)</f>
        <v>1622</v>
      </c>
      <c r="E696">
        <v>1</v>
      </c>
      <c r="F696">
        <v>27.975159999999999</v>
      </c>
      <c r="G696">
        <v>127.1</v>
      </c>
      <c r="H696">
        <v>362.4228</v>
      </c>
      <c r="I696">
        <v>51.7</v>
      </c>
      <c r="J696">
        <v>405</v>
      </c>
      <c r="L696">
        <v>0</v>
      </c>
    </row>
    <row r="697" spans="1:12" x14ac:dyDescent="0.35">
      <c r="A697" s="1">
        <v>44927</v>
      </c>
      <c r="B697" t="s">
        <v>10</v>
      </c>
      <c r="C697" t="s">
        <v>22</v>
      </c>
      <c r="D697">
        <f>AVERAGE(1609,1631,1633,1633,1639)</f>
        <v>1629</v>
      </c>
      <c r="E697">
        <v>1</v>
      </c>
      <c r="F697">
        <v>27.586807</v>
      </c>
      <c r="G697">
        <v>72.099999999999994</v>
      </c>
      <c r="H697">
        <v>362.4228</v>
      </c>
      <c r="I697">
        <v>51.7</v>
      </c>
      <c r="J697">
        <v>405</v>
      </c>
      <c r="L697">
        <v>0</v>
      </c>
    </row>
    <row r="698" spans="1:12" x14ac:dyDescent="0.35">
      <c r="A698" s="1">
        <v>44927</v>
      </c>
      <c r="B698" t="s">
        <v>10</v>
      </c>
      <c r="C698" t="s">
        <v>23</v>
      </c>
      <c r="D698">
        <f>AVERAGE(1783,1783,1800,1710,1710)</f>
        <v>1757.2</v>
      </c>
      <c r="E698">
        <v>1</v>
      </c>
      <c r="F698">
        <v>30.288516999999999</v>
      </c>
      <c r="G698">
        <v>78.900000000000006</v>
      </c>
      <c r="H698">
        <v>362.4228</v>
      </c>
      <c r="I698">
        <v>51.7</v>
      </c>
      <c r="J698">
        <v>405</v>
      </c>
      <c r="L698">
        <v>0</v>
      </c>
    </row>
    <row r="699" spans="1:12" x14ac:dyDescent="0.35">
      <c r="A699" s="1">
        <v>44927</v>
      </c>
      <c r="B699" t="s">
        <v>10</v>
      </c>
      <c r="C699" t="s">
        <v>24</v>
      </c>
      <c r="D699">
        <f>AVERAGE(1800,1810,1826,1824,1810)</f>
        <v>1814</v>
      </c>
      <c r="E699">
        <v>1</v>
      </c>
      <c r="F699">
        <v>28.252773000000001</v>
      </c>
      <c r="G699">
        <v>89.6</v>
      </c>
      <c r="H699">
        <v>362.4228</v>
      </c>
      <c r="I699">
        <v>51.7</v>
      </c>
      <c r="J699">
        <v>405</v>
      </c>
      <c r="L699">
        <v>0</v>
      </c>
    </row>
    <row r="700" spans="1:12" x14ac:dyDescent="0.35">
      <c r="A700" s="1">
        <v>44927</v>
      </c>
      <c r="B700" t="s">
        <v>25</v>
      </c>
      <c r="C700" t="s">
        <v>11</v>
      </c>
      <c r="D700">
        <f>AVERAGE(2739,2832,2691,2739,3056)</f>
        <v>2811.4</v>
      </c>
      <c r="E700">
        <v>1</v>
      </c>
      <c r="F700">
        <v>26.459773999999999</v>
      </c>
      <c r="G700">
        <v>44.4</v>
      </c>
      <c r="H700">
        <v>362.4228</v>
      </c>
      <c r="I700">
        <v>51.7</v>
      </c>
      <c r="J700">
        <v>405</v>
      </c>
      <c r="L700">
        <v>0</v>
      </c>
    </row>
    <row r="701" spans="1:12" x14ac:dyDescent="0.35">
      <c r="A701" s="1">
        <v>44927</v>
      </c>
      <c r="B701" t="s">
        <v>25</v>
      </c>
      <c r="C701" t="s">
        <v>12</v>
      </c>
      <c r="D701">
        <f>AVERAGE(2783,2717,2800,2825,2821)</f>
        <v>2789.2</v>
      </c>
      <c r="E701">
        <v>1</v>
      </c>
      <c r="F701">
        <v>27.230516000000001</v>
      </c>
      <c r="G701">
        <v>61.5</v>
      </c>
      <c r="H701">
        <v>362.4228</v>
      </c>
      <c r="I701">
        <v>51.7</v>
      </c>
      <c r="J701">
        <v>405</v>
      </c>
      <c r="L701">
        <v>0</v>
      </c>
    </row>
    <row r="702" spans="1:12" x14ac:dyDescent="0.35">
      <c r="A702" s="1">
        <v>44927</v>
      </c>
      <c r="B702" t="s">
        <v>25</v>
      </c>
      <c r="C702" t="s">
        <v>14</v>
      </c>
      <c r="D702">
        <f>AVERAGE(2266,2500,2400,2500,2230)</f>
        <v>2379.1999999999998</v>
      </c>
      <c r="E702">
        <v>1</v>
      </c>
      <c r="F702">
        <v>29.012353999999998</v>
      </c>
      <c r="G702">
        <v>92.8</v>
      </c>
      <c r="H702">
        <v>362.4228</v>
      </c>
      <c r="I702">
        <v>51.7</v>
      </c>
      <c r="J702">
        <v>405</v>
      </c>
      <c r="L702">
        <v>0</v>
      </c>
    </row>
    <row r="703" spans="1:12" x14ac:dyDescent="0.35">
      <c r="A703" s="1">
        <v>44927</v>
      </c>
      <c r="B703" t="s">
        <v>25</v>
      </c>
      <c r="C703" t="s">
        <v>16</v>
      </c>
      <c r="D703">
        <f>AVERAGE(2733,2466,2733,2358,2683)</f>
        <v>2594.6</v>
      </c>
      <c r="E703">
        <v>1</v>
      </c>
      <c r="F703">
        <v>23.703773000000002</v>
      </c>
      <c r="G703">
        <v>201</v>
      </c>
      <c r="H703">
        <v>362.4228</v>
      </c>
      <c r="I703">
        <v>51.7</v>
      </c>
      <c r="J703">
        <v>405</v>
      </c>
      <c r="L703">
        <v>0</v>
      </c>
    </row>
    <row r="704" spans="1:12" x14ac:dyDescent="0.35">
      <c r="A704" s="1">
        <v>44927</v>
      </c>
      <c r="B704" t="s">
        <v>25</v>
      </c>
      <c r="C704" t="s">
        <v>24</v>
      </c>
      <c r="D704">
        <f>AVERAGE(2880,2870,2950,2830,2860)</f>
        <v>2878</v>
      </c>
      <c r="E704">
        <v>1</v>
      </c>
      <c r="F704">
        <v>28.252773000000001</v>
      </c>
      <c r="G704">
        <v>89.6</v>
      </c>
      <c r="H704">
        <v>362.4228</v>
      </c>
      <c r="I704">
        <v>51.7</v>
      </c>
      <c r="J704">
        <v>405</v>
      </c>
      <c r="L704">
        <v>0</v>
      </c>
    </row>
    <row r="705" spans="1:12" x14ac:dyDescent="0.35">
      <c r="A705" s="1">
        <v>44958</v>
      </c>
      <c r="B705" t="s">
        <v>10</v>
      </c>
      <c r="C705" t="s">
        <v>11</v>
      </c>
      <c r="D705">
        <f>AVERAGE(1768,1735,1718,1683,1690)</f>
        <v>1718.8</v>
      </c>
      <c r="E705">
        <v>1</v>
      </c>
      <c r="F705">
        <v>27.627286999999999</v>
      </c>
      <c r="G705">
        <v>46.9</v>
      </c>
      <c r="H705">
        <v>361.97660000000002</v>
      </c>
      <c r="I705">
        <v>50.6</v>
      </c>
      <c r="J705">
        <v>405</v>
      </c>
      <c r="L705">
        <v>1</v>
      </c>
    </row>
    <row r="706" spans="1:12" x14ac:dyDescent="0.35">
      <c r="A706" s="1">
        <v>44958</v>
      </c>
      <c r="B706" t="s">
        <v>10</v>
      </c>
      <c r="C706" t="s">
        <v>12</v>
      </c>
      <c r="D706">
        <f>AVERAGE(1784,1835,1812,1817,1810)</f>
        <v>1811.6</v>
      </c>
      <c r="E706">
        <v>1</v>
      </c>
      <c r="F706">
        <v>28.774930000000001</v>
      </c>
      <c r="G706">
        <v>85</v>
      </c>
      <c r="H706">
        <v>361.97660000000002</v>
      </c>
      <c r="I706">
        <v>50.6</v>
      </c>
      <c r="J706">
        <v>405</v>
      </c>
      <c r="L706">
        <v>1</v>
      </c>
    </row>
    <row r="707" spans="1:12" x14ac:dyDescent="0.35">
      <c r="A707" s="1">
        <v>44958</v>
      </c>
      <c r="B707" t="s">
        <v>10</v>
      </c>
      <c r="C707" t="s">
        <v>13</v>
      </c>
      <c r="D707">
        <f>AVERAGE(1740,1740,1730,1770,1640)</f>
        <v>1724</v>
      </c>
      <c r="E707">
        <v>1</v>
      </c>
      <c r="F707">
        <v>19.543142</v>
      </c>
      <c r="G707">
        <v>86.8</v>
      </c>
      <c r="H707">
        <v>361.97660000000002</v>
      </c>
      <c r="I707">
        <v>50.6</v>
      </c>
      <c r="J707">
        <v>405</v>
      </c>
      <c r="L707">
        <v>1</v>
      </c>
    </row>
    <row r="708" spans="1:12" x14ac:dyDescent="0.35">
      <c r="A708" s="1">
        <v>44958</v>
      </c>
      <c r="B708" t="s">
        <v>10</v>
      </c>
      <c r="C708" t="s">
        <v>14</v>
      </c>
      <c r="D708">
        <f>AVERAGE(1661,1650,1666,1566,1633)</f>
        <v>1635.2</v>
      </c>
      <c r="E708">
        <v>1</v>
      </c>
      <c r="F708">
        <v>30.394787000000001</v>
      </c>
      <c r="G708">
        <v>70.8</v>
      </c>
      <c r="H708">
        <v>361.97660000000002</v>
      </c>
      <c r="I708">
        <v>50.6</v>
      </c>
      <c r="J708">
        <v>405</v>
      </c>
      <c r="L708">
        <v>1</v>
      </c>
    </row>
    <row r="709" spans="1:12" x14ac:dyDescent="0.35">
      <c r="A709" s="1">
        <v>44958</v>
      </c>
      <c r="B709" t="s">
        <v>10</v>
      </c>
      <c r="C709" t="s">
        <v>15</v>
      </c>
      <c r="D709">
        <f>AVERAGE(1732,1755,1750,1725,1750)</f>
        <v>1742.4</v>
      </c>
      <c r="E709">
        <v>1</v>
      </c>
      <c r="F709">
        <v>29.698</v>
      </c>
      <c r="G709">
        <v>162.20000999999999</v>
      </c>
      <c r="H709">
        <v>361.97660000000002</v>
      </c>
      <c r="I709">
        <v>50.6</v>
      </c>
      <c r="J709">
        <v>405</v>
      </c>
      <c r="L709">
        <v>1</v>
      </c>
    </row>
    <row r="710" spans="1:12" x14ac:dyDescent="0.35">
      <c r="A710" s="1">
        <v>44958</v>
      </c>
      <c r="B710" t="s">
        <v>10</v>
      </c>
      <c r="C710" t="s">
        <v>16</v>
      </c>
      <c r="D710">
        <f>AVERAGE(1816,1816,1766,1804,1791)</f>
        <v>1798.6</v>
      </c>
      <c r="E710">
        <v>1</v>
      </c>
      <c r="F710">
        <v>24.653427000000001</v>
      </c>
      <c r="G710">
        <v>198.90001000000001</v>
      </c>
      <c r="H710">
        <v>361.97660000000002</v>
      </c>
      <c r="I710">
        <v>50.6</v>
      </c>
      <c r="J710">
        <v>405</v>
      </c>
      <c r="L710">
        <v>1</v>
      </c>
    </row>
    <row r="711" spans="1:12" x14ac:dyDescent="0.35">
      <c r="A711" s="1">
        <v>44958</v>
      </c>
      <c r="B711" t="s">
        <v>10</v>
      </c>
      <c r="C711" t="s">
        <v>17</v>
      </c>
      <c r="D711">
        <f>AVERAGE(1567,1550,1558,1607,1650)</f>
        <v>1586.4</v>
      </c>
      <c r="E711">
        <v>1</v>
      </c>
      <c r="F711">
        <v>30.607786000000001</v>
      </c>
      <c r="G711">
        <v>86.3</v>
      </c>
      <c r="H711">
        <v>361.97660000000002</v>
      </c>
      <c r="I711">
        <v>50.6</v>
      </c>
      <c r="J711">
        <v>405</v>
      </c>
      <c r="L711">
        <v>1</v>
      </c>
    </row>
    <row r="712" spans="1:12" x14ac:dyDescent="0.35">
      <c r="A712" s="1">
        <v>44958</v>
      </c>
      <c r="B712" t="s">
        <v>10</v>
      </c>
      <c r="C712" t="s">
        <v>18</v>
      </c>
      <c r="D712">
        <f>AVERAGE(1525,1500,1513,1500,1463)</f>
        <v>1500.2</v>
      </c>
      <c r="E712">
        <v>1</v>
      </c>
      <c r="F712">
        <v>29.815073000000002</v>
      </c>
      <c r="G712">
        <v>68.900000000000006</v>
      </c>
      <c r="H712">
        <v>361.97660000000002</v>
      </c>
      <c r="I712">
        <v>50.6</v>
      </c>
      <c r="J712">
        <v>405</v>
      </c>
      <c r="L712">
        <v>1</v>
      </c>
    </row>
    <row r="713" spans="1:12" x14ac:dyDescent="0.35">
      <c r="A713" s="1">
        <v>44958</v>
      </c>
      <c r="B713" t="s">
        <v>10</v>
      </c>
      <c r="C713" t="s">
        <v>19</v>
      </c>
      <c r="D713">
        <f>AVERAGE(1605,1615,1620,1650,1668)</f>
        <v>1631.6</v>
      </c>
      <c r="E713">
        <v>1</v>
      </c>
      <c r="F713">
        <v>31.233215000000001</v>
      </c>
      <c r="G713">
        <v>101.5</v>
      </c>
      <c r="H713">
        <v>361.97660000000002</v>
      </c>
      <c r="I713">
        <v>50.6</v>
      </c>
      <c r="J713">
        <v>405</v>
      </c>
      <c r="L713">
        <v>1</v>
      </c>
    </row>
    <row r="714" spans="1:12" x14ac:dyDescent="0.35">
      <c r="A714" s="1">
        <v>44958</v>
      </c>
      <c r="B714" t="s">
        <v>10</v>
      </c>
      <c r="C714" t="s">
        <v>20</v>
      </c>
      <c r="D714">
        <f>AVERAGE(1600,1570,1500,1500,1500)</f>
        <v>1534</v>
      </c>
      <c r="E714">
        <v>1</v>
      </c>
      <c r="F714">
        <v>29.2605</v>
      </c>
      <c r="G714">
        <v>82.4</v>
      </c>
      <c r="H714">
        <v>361.97660000000002</v>
      </c>
      <c r="I714">
        <v>50.6</v>
      </c>
      <c r="J714">
        <v>405</v>
      </c>
      <c r="L714">
        <v>1</v>
      </c>
    </row>
    <row r="715" spans="1:12" x14ac:dyDescent="0.35">
      <c r="A715" s="1">
        <v>44958</v>
      </c>
      <c r="B715" t="s">
        <v>10</v>
      </c>
      <c r="C715" t="s">
        <v>21</v>
      </c>
      <c r="D715">
        <f>AVERAGE(1610,1640,1625,1625,1610)</f>
        <v>1622</v>
      </c>
      <c r="E715">
        <v>1</v>
      </c>
      <c r="F715">
        <v>29.160357000000001</v>
      </c>
      <c r="G715">
        <v>164.9</v>
      </c>
      <c r="H715">
        <v>361.97660000000002</v>
      </c>
      <c r="I715">
        <v>50.6</v>
      </c>
      <c r="J715">
        <v>405</v>
      </c>
      <c r="L715">
        <v>1</v>
      </c>
    </row>
    <row r="716" spans="1:12" x14ac:dyDescent="0.35">
      <c r="A716" s="1">
        <v>44958</v>
      </c>
      <c r="B716" t="s">
        <v>10</v>
      </c>
      <c r="C716" t="s">
        <v>22</v>
      </c>
      <c r="D716">
        <f>AVERAGE(1633,1633,1639,1631,1609)</f>
        <v>1629</v>
      </c>
      <c r="E716">
        <v>1</v>
      </c>
      <c r="F716">
        <v>28.228857000000001</v>
      </c>
      <c r="G716">
        <v>95.9</v>
      </c>
      <c r="H716">
        <v>361.97660000000002</v>
      </c>
      <c r="I716">
        <v>50.6</v>
      </c>
      <c r="J716">
        <v>405</v>
      </c>
      <c r="L716">
        <v>1</v>
      </c>
    </row>
    <row r="717" spans="1:12" x14ac:dyDescent="0.35">
      <c r="A717" s="1">
        <v>44958</v>
      </c>
      <c r="B717" t="s">
        <v>10</v>
      </c>
      <c r="C717" t="s">
        <v>23</v>
      </c>
      <c r="D717">
        <f>AVERAGE(1710,1710,1800,1783,1783)</f>
        <v>1757.2</v>
      </c>
      <c r="E717">
        <v>1</v>
      </c>
      <c r="F717">
        <v>30.85793</v>
      </c>
      <c r="G717">
        <v>81</v>
      </c>
      <c r="H717">
        <v>361.97660000000002</v>
      </c>
      <c r="I717">
        <v>50.6</v>
      </c>
      <c r="J717">
        <v>405</v>
      </c>
      <c r="L717">
        <v>1</v>
      </c>
    </row>
    <row r="718" spans="1:12" x14ac:dyDescent="0.35">
      <c r="A718" s="1">
        <v>44958</v>
      </c>
      <c r="B718" t="s">
        <v>10</v>
      </c>
      <c r="C718" t="s">
        <v>24</v>
      </c>
      <c r="D718">
        <f>AVERAGE(1810,1810,1824,1826,1800)</f>
        <v>1814</v>
      </c>
      <c r="E718">
        <v>1</v>
      </c>
      <c r="F718">
        <v>28.548857000000002</v>
      </c>
      <c r="G718">
        <v>134.20000999999999</v>
      </c>
      <c r="H718">
        <v>361.97660000000002</v>
      </c>
      <c r="I718">
        <v>50.6</v>
      </c>
      <c r="J718">
        <v>405</v>
      </c>
      <c r="L718">
        <v>1</v>
      </c>
    </row>
    <row r="719" spans="1:12" x14ac:dyDescent="0.35">
      <c r="A719" s="1">
        <v>44958</v>
      </c>
      <c r="B719" t="s">
        <v>25</v>
      </c>
      <c r="C719" t="s">
        <v>11</v>
      </c>
      <c r="D719">
        <f>AVERAGE(3056,2739,2691,2832,2739)</f>
        <v>2811.4</v>
      </c>
      <c r="E719">
        <v>1</v>
      </c>
      <c r="F719">
        <v>27.627286999999999</v>
      </c>
      <c r="G719">
        <v>46.9</v>
      </c>
      <c r="H719">
        <v>361.97660000000002</v>
      </c>
      <c r="I719">
        <v>50.6</v>
      </c>
      <c r="J719">
        <v>405</v>
      </c>
      <c r="L719">
        <v>1</v>
      </c>
    </row>
    <row r="720" spans="1:12" x14ac:dyDescent="0.35">
      <c r="A720" s="1">
        <v>44958</v>
      </c>
      <c r="B720" t="s">
        <v>25</v>
      </c>
      <c r="C720" t="s">
        <v>12</v>
      </c>
      <c r="D720">
        <f>AVERAGE(2821,2825,2800,2717,2783)</f>
        <v>2789.2</v>
      </c>
      <c r="E720">
        <v>1</v>
      </c>
      <c r="F720">
        <v>28.774930000000001</v>
      </c>
      <c r="G720">
        <v>85</v>
      </c>
      <c r="H720">
        <v>361.97660000000002</v>
      </c>
      <c r="I720">
        <v>50.6</v>
      </c>
      <c r="J720">
        <v>405</v>
      </c>
      <c r="L720">
        <v>1</v>
      </c>
    </row>
    <row r="721" spans="1:12" x14ac:dyDescent="0.35">
      <c r="A721" s="1">
        <v>44958</v>
      </c>
      <c r="B721" t="s">
        <v>25</v>
      </c>
      <c r="C721" t="s">
        <v>14</v>
      </c>
      <c r="D721">
        <f>AVERAGE(2230,2500,2400,2500,2266)</f>
        <v>2379.1999999999998</v>
      </c>
      <c r="E721">
        <v>1</v>
      </c>
      <c r="F721">
        <v>30.394787000000001</v>
      </c>
      <c r="G721">
        <v>70.8</v>
      </c>
      <c r="H721">
        <v>361.97660000000002</v>
      </c>
      <c r="I721">
        <v>50.6</v>
      </c>
      <c r="J721">
        <v>405</v>
      </c>
      <c r="L721">
        <v>1</v>
      </c>
    </row>
    <row r="722" spans="1:12" x14ac:dyDescent="0.35">
      <c r="A722" s="1">
        <v>44958</v>
      </c>
      <c r="B722" t="s">
        <v>25</v>
      </c>
      <c r="C722" t="s">
        <v>16</v>
      </c>
      <c r="D722">
        <f>AVERAGE(2683,2358,2733,2466,2733)</f>
        <v>2594.6</v>
      </c>
      <c r="E722">
        <v>1</v>
      </c>
      <c r="F722">
        <v>24.653427000000001</v>
      </c>
      <c r="G722">
        <v>198.90001000000001</v>
      </c>
      <c r="H722">
        <v>361.97660000000002</v>
      </c>
      <c r="I722">
        <v>50.6</v>
      </c>
      <c r="J722">
        <v>405</v>
      </c>
      <c r="L722">
        <v>1</v>
      </c>
    </row>
    <row r="723" spans="1:12" x14ac:dyDescent="0.35">
      <c r="A723" s="1">
        <v>44958</v>
      </c>
      <c r="B723" t="s">
        <v>25</v>
      </c>
      <c r="C723" t="s">
        <v>24</v>
      </c>
      <c r="D723">
        <f>AVERAGE(2860,2830,2950,2870,2880)</f>
        <v>2878</v>
      </c>
      <c r="E723">
        <v>1</v>
      </c>
      <c r="F723">
        <v>28.548857000000002</v>
      </c>
      <c r="G723">
        <v>134.20000999999999</v>
      </c>
      <c r="H723">
        <v>361.97660000000002</v>
      </c>
      <c r="I723">
        <v>50.6</v>
      </c>
      <c r="J723">
        <v>405</v>
      </c>
      <c r="L723">
        <v>1</v>
      </c>
    </row>
    <row r="724" spans="1:12" x14ac:dyDescent="0.35">
      <c r="A724" s="1">
        <v>44986</v>
      </c>
      <c r="B724" t="s">
        <v>10</v>
      </c>
      <c r="C724" t="s">
        <v>11</v>
      </c>
      <c r="D724">
        <f>AVERAGE(1672,1653,1659,1668)</f>
        <v>1663</v>
      </c>
      <c r="E724">
        <v>1</v>
      </c>
      <c r="F724">
        <v>30.150096999999999</v>
      </c>
      <c r="G724">
        <v>49.6</v>
      </c>
      <c r="H724">
        <v>329.47089999999997</v>
      </c>
      <c r="I724">
        <v>50.3</v>
      </c>
      <c r="J724">
        <v>325</v>
      </c>
      <c r="L724">
        <v>1</v>
      </c>
    </row>
    <row r="725" spans="1:12" x14ac:dyDescent="0.35">
      <c r="A725" s="1">
        <v>44986</v>
      </c>
      <c r="B725" t="s">
        <v>10</v>
      </c>
      <c r="C725" t="s">
        <v>12</v>
      </c>
      <c r="D725">
        <f>AVERAGE(1784,1790,1758,1767)</f>
        <v>1774.75</v>
      </c>
      <c r="E725">
        <v>1</v>
      </c>
      <c r="F725">
        <v>31.120840000000001</v>
      </c>
      <c r="G725">
        <v>84.700005000000004</v>
      </c>
      <c r="H725">
        <v>329.47089999999997</v>
      </c>
      <c r="I725">
        <v>50.3</v>
      </c>
      <c r="J725">
        <v>325</v>
      </c>
      <c r="L725">
        <v>1</v>
      </c>
    </row>
    <row r="726" spans="1:12" x14ac:dyDescent="0.35">
      <c r="A726" s="1">
        <v>44986</v>
      </c>
      <c r="B726" t="s">
        <v>10</v>
      </c>
      <c r="C726" t="s">
        <v>13</v>
      </c>
      <c r="D726">
        <f>AVERAGE(1640,1640,1635,1725)</f>
        <v>1660</v>
      </c>
      <c r="E726">
        <v>1</v>
      </c>
      <c r="F726">
        <v>20.191240000000001</v>
      </c>
      <c r="G726">
        <v>90.9</v>
      </c>
      <c r="H726">
        <v>329.47089999999997</v>
      </c>
      <c r="I726">
        <v>50.3</v>
      </c>
      <c r="J726">
        <v>325</v>
      </c>
      <c r="L726">
        <v>1</v>
      </c>
    </row>
    <row r="727" spans="1:12" x14ac:dyDescent="0.35">
      <c r="A727" s="1">
        <v>44986</v>
      </c>
      <c r="B727" t="s">
        <v>10</v>
      </c>
      <c r="C727" t="s">
        <v>14</v>
      </c>
      <c r="D727">
        <f>AVERAGE(1675,1691,1693,1706)</f>
        <v>1691.25</v>
      </c>
      <c r="E727">
        <v>1</v>
      </c>
      <c r="F727">
        <v>32.088160000000002</v>
      </c>
      <c r="G727">
        <v>110.6</v>
      </c>
      <c r="H727">
        <v>329.47089999999997</v>
      </c>
      <c r="I727">
        <v>50.3</v>
      </c>
      <c r="J727">
        <v>325</v>
      </c>
      <c r="L727">
        <v>1</v>
      </c>
    </row>
    <row r="728" spans="1:12" x14ac:dyDescent="0.35">
      <c r="A728" s="1">
        <v>44986</v>
      </c>
      <c r="B728" t="s">
        <v>10</v>
      </c>
      <c r="C728" t="s">
        <v>15</v>
      </c>
      <c r="D728">
        <f>AVERAGE(1678,1642,1635,1725)</f>
        <v>1670</v>
      </c>
      <c r="E728">
        <v>1</v>
      </c>
      <c r="F728">
        <v>31.224613000000002</v>
      </c>
      <c r="G728">
        <v>95.8</v>
      </c>
      <c r="H728">
        <v>329.47089999999997</v>
      </c>
      <c r="I728">
        <v>50.3</v>
      </c>
      <c r="J728">
        <v>325</v>
      </c>
      <c r="L728">
        <v>1</v>
      </c>
    </row>
    <row r="729" spans="1:12" x14ac:dyDescent="0.35">
      <c r="A729" s="1">
        <v>44986</v>
      </c>
      <c r="B729" t="s">
        <v>10</v>
      </c>
      <c r="C729" t="s">
        <v>16</v>
      </c>
      <c r="D729">
        <f>AVERAGE(1758,1750,1775,1700)</f>
        <v>1745.75</v>
      </c>
      <c r="E729">
        <v>1</v>
      </c>
      <c r="F729">
        <v>26.476355000000002</v>
      </c>
      <c r="G729">
        <v>118.3</v>
      </c>
      <c r="H729">
        <v>329.47089999999997</v>
      </c>
      <c r="I729">
        <v>50.3</v>
      </c>
      <c r="J729">
        <v>325</v>
      </c>
      <c r="L729">
        <v>1</v>
      </c>
    </row>
    <row r="730" spans="1:12" x14ac:dyDescent="0.35">
      <c r="A730" s="1">
        <v>44986</v>
      </c>
      <c r="B730" t="s">
        <v>10</v>
      </c>
      <c r="C730" t="s">
        <v>17</v>
      </c>
      <c r="D730">
        <f>AVERAGE(1677,1717,1667,1616)</f>
        <v>1669.25</v>
      </c>
      <c r="E730">
        <v>1</v>
      </c>
      <c r="F730">
        <v>32.918903</v>
      </c>
      <c r="G730">
        <v>116.4</v>
      </c>
      <c r="H730">
        <v>329.47089999999997</v>
      </c>
      <c r="I730">
        <v>50.3</v>
      </c>
      <c r="J730">
        <v>325</v>
      </c>
      <c r="L730">
        <v>1</v>
      </c>
    </row>
    <row r="731" spans="1:12" x14ac:dyDescent="0.35">
      <c r="A731" s="1">
        <v>44986</v>
      </c>
      <c r="B731" t="s">
        <v>10</v>
      </c>
      <c r="C731" t="s">
        <v>18</v>
      </c>
      <c r="D731">
        <f>AVERAGE(1550,1525,1550,1538)</f>
        <v>1540.75</v>
      </c>
      <c r="E731">
        <v>1</v>
      </c>
      <c r="F731">
        <v>30.244968</v>
      </c>
      <c r="G731">
        <v>137</v>
      </c>
      <c r="H731">
        <v>329.47089999999997</v>
      </c>
      <c r="I731">
        <v>50.3</v>
      </c>
      <c r="J731">
        <v>325</v>
      </c>
      <c r="L731">
        <v>1</v>
      </c>
    </row>
    <row r="732" spans="1:12" x14ac:dyDescent="0.35">
      <c r="A732" s="1">
        <v>44986</v>
      </c>
      <c r="B732" t="s">
        <v>10</v>
      </c>
      <c r="C732" t="s">
        <v>19</v>
      </c>
      <c r="D732">
        <f>AVERAGE(1685,1600,1635,1620)</f>
        <v>1635</v>
      </c>
      <c r="E732">
        <v>1</v>
      </c>
      <c r="F732">
        <v>31.530159999999999</v>
      </c>
      <c r="G732">
        <v>179</v>
      </c>
      <c r="H732">
        <v>329.47089999999997</v>
      </c>
      <c r="I732">
        <v>50.3</v>
      </c>
      <c r="J732">
        <v>325</v>
      </c>
      <c r="L732">
        <v>1</v>
      </c>
    </row>
    <row r="733" spans="1:12" x14ac:dyDescent="0.35">
      <c r="A733" s="1">
        <v>44986</v>
      </c>
      <c r="B733" t="s">
        <v>10</v>
      </c>
      <c r="C733" t="s">
        <v>20</v>
      </c>
      <c r="D733">
        <f>AVERAGE(1570,1600,1540,1600)</f>
        <v>1577.5</v>
      </c>
      <c r="E733">
        <v>1</v>
      </c>
      <c r="F733">
        <v>30.094774000000001</v>
      </c>
      <c r="G733">
        <v>138.1</v>
      </c>
      <c r="H733">
        <v>329.47089999999997</v>
      </c>
      <c r="I733">
        <v>50.3</v>
      </c>
      <c r="J733">
        <v>325</v>
      </c>
      <c r="L733">
        <v>1</v>
      </c>
    </row>
    <row r="734" spans="1:12" x14ac:dyDescent="0.35">
      <c r="A734" s="1">
        <v>44986</v>
      </c>
      <c r="B734" t="s">
        <v>10</v>
      </c>
      <c r="C734" t="s">
        <v>21</v>
      </c>
      <c r="D734">
        <f>AVERAGE(1650,1625,1610,1610)</f>
        <v>1623.75</v>
      </c>
      <c r="E734">
        <v>1</v>
      </c>
      <c r="F734">
        <v>29.61871</v>
      </c>
      <c r="G734">
        <v>140.30000000000001</v>
      </c>
      <c r="H734">
        <v>329.47089999999997</v>
      </c>
      <c r="I734">
        <v>50.3</v>
      </c>
      <c r="J734">
        <v>325</v>
      </c>
      <c r="L734">
        <v>1</v>
      </c>
    </row>
    <row r="735" spans="1:12" x14ac:dyDescent="0.35">
      <c r="A735" s="1">
        <v>44986</v>
      </c>
      <c r="B735" t="s">
        <v>10</v>
      </c>
      <c r="C735" t="s">
        <v>22</v>
      </c>
      <c r="D735">
        <f>AVERAGE(1625,1624,1607,1667)</f>
        <v>1630.75</v>
      </c>
      <c r="E735">
        <v>1</v>
      </c>
      <c r="F735">
        <v>28.548098</v>
      </c>
      <c r="G735">
        <v>111.6</v>
      </c>
      <c r="H735">
        <v>329.47089999999997</v>
      </c>
      <c r="I735">
        <v>50.3</v>
      </c>
      <c r="J735">
        <v>325</v>
      </c>
      <c r="L735">
        <v>1</v>
      </c>
    </row>
    <row r="736" spans="1:12" x14ac:dyDescent="0.35">
      <c r="A736" s="1">
        <v>44986</v>
      </c>
      <c r="B736" t="s">
        <v>10</v>
      </c>
      <c r="C736" t="s">
        <v>23</v>
      </c>
      <c r="D736">
        <f>AVERAGE(1700,1650,1650,1783)</f>
        <v>1695.75</v>
      </c>
      <c r="E736">
        <v>1</v>
      </c>
      <c r="F736">
        <v>31.006260000000001</v>
      </c>
      <c r="G736">
        <v>88.899994000000007</v>
      </c>
      <c r="H736">
        <v>329.47089999999997</v>
      </c>
      <c r="I736">
        <v>50.3</v>
      </c>
      <c r="J736">
        <v>325</v>
      </c>
      <c r="L736">
        <v>1</v>
      </c>
    </row>
    <row r="737" spans="1:12" x14ac:dyDescent="0.35">
      <c r="A737" s="1">
        <v>44986</v>
      </c>
      <c r="B737" t="s">
        <v>10</v>
      </c>
      <c r="C737" t="s">
        <v>24</v>
      </c>
      <c r="D737">
        <f>AVERAGE(1810,1814,1790,1710)</f>
        <v>1781</v>
      </c>
      <c r="E737">
        <v>1</v>
      </c>
      <c r="F737">
        <v>30.202774000000002</v>
      </c>
      <c r="G737">
        <v>128.9</v>
      </c>
      <c r="H737">
        <v>329.47089999999997</v>
      </c>
      <c r="I737">
        <v>50.3</v>
      </c>
      <c r="J737">
        <v>325</v>
      </c>
      <c r="L737">
        <v>1</v>
      </c>
    </row>
    <row r="738" spans="1:12" x14ac:dyDescent="0.35">
      <c r="A738" s="1">
        <v>44986</v>
      </c>
      <c r="B738" t="s">
        <v>25</v>
      </c>
      <c r="C738" t="s">
        <v>11</v>
      </c>
      <c r="D738">
        <f>AVERAGE(2900,3083,2817,2794)</f>
        <v>2898.5</v>
      </c>
      <c r="E738">
        <v>1</v>
      </c>
      <c r="F738">
        <v>30.150096999999999</v>
      </c>
      <c r="G738">
        <v>49.6</v>
      </c>
      <c r="H738">
        <v>329.47089999999997</v>
      </c>
      <c r="I738">
        <v>50.3</v>
      </c>
      <c r="J738">
        <v>325</v>
      </c>
      <c r="L738">
        <v>1</v>
      </c>
    </row>
    <row r="739" spans="1:12" x14ac:dyDescent="0.35">
      <c r="A739" s="1">
        <v>44986</v>
      </c>
      <c r="B739" t="s">
        <v>25</v>
      </c>
      <c r="C739" t="s">
        <v>12</v>
      </c>
      <c r="D739">
        <f>AVERAGE(2874,2833,2880,2892)</f>
        <v>2869.75</v>
      </c>
      <c r="E739">
        <v>1</v>
      </c>
      <c r="F739">
        <v>31.120840000000001</v>
      </c>
      <c r="G739">
        <v>84.700005000000004</v>
      </c>
      <c r="H739">
        <v>329.47089999999997</v>
      </c>
      <c r="I739">
        <v>50.3</v>
      </c>
      <c r="J739">
        <v>325</v>
      </c>
      <c r="L739">
        <v>1</v>
      </c>
    </row>
    <row r="740" spans="1:12" x14ac:dyDescent="0.35">
      <c r="A740" s="1">
        <v>44986</v>
      </c>
      <c r="B740" t="s">
        <v>25</v>
      </c>
      <c r="C740" t="s">
        <v>14</v>
      </c>
      <c r="D740">
        <f>AVERAGE(2600,2500,2400)</f>
        <v>2500</v>
      </c>
      <c r="E740">
        <v>1</v>
      </c>
      <c r="F740">
        <v>32.088160000000002</v>
      </c>
      <c r="G740">
        <v>110.6</v>
      </c>
      <c r="H740">
        <v>329.47089999999997</v>
      </c>
      <c r="I740">
        <v>50.3</v>
      </c>
      <c r="J740">
        <v>325</v>
      </c>
      <c r="L740">
        <v>1</v>
      </c>
    </row>
    <row r="741" spans="1:12" x14ac:dyDescent="0.35">
      <c r="A741" s="1">
        <v>44986</v>
      </c>
      <c r="B741" t="s">
        <v>25</v>
      </c>
      <c r="C741" t="s">
        <v>16</v>
      </c>
      <c r="D741">
        <f>AVERAGE(2466,2600,2650,2583)</f>
        <v>2574.75</v>
      </c>
      <c r="E741">
        <v>1</v>
      </c>
      <c r="F741">
        <v>26.476355000000002</v>
      </c>
      <c r="G741">
        <v>118.3</v>
      </c>
      <c r="H741">
        <v>329.47089999999997</v>
      </c>
      <c r="I741">
        <v>50.3</v>
      </c>
      <c r="J741">
        <v>325</v>
      </c>
      <c r="L741">
        <v>1</v>
      </c>
    </row>
    <row r="742" spans="1:12" x14ac:dyDescent="0.35">
      <c r="A742" s="1">
        <v>44986</v>
      </c>
      <c r="B742" t="s">
        <v>25</v>
      </c>
      <c r="C742" t="s">
        <v>24</v>
      </c>
      <c r="D742">
        <f>AVERAGE(2750,2850,2870,2850)</f>
        <v>2830</v>
      </c>
      <c r="E742">
        <v>1</v>
      </c>
      <c r="F742">
        <v>30.202774000000002</v>
      </c>
      <c r="G742">
        <v>128.9</v>
      </c>
      <c r="H742">
        <v>329.47089999999997</v>
      </c>
      <c r="I742">
        <v>50.3</v>
      </c>
      <c r="J742">
        <v>325</v>
      </c>
      <c r="L742">
        <v>1</v>
      </c>
    </row>
    <row r="743" spans="1:12" x14ac:dyDescent="0.35">
      <c r="A743" s="1">
        <v>45017</v>
      </c>
      <c r="B743" t="s">
        <v>10</v>
      </c>
      <c r="C743" t="s">
        <v>11</v>
      </c>
      <c r="D743">
        <f>AVERAGE(1480,1501,1326,1300)</f>
        <v>1401.75</v>
      </c>
      <c r="E743">
        <v>0</v>
      </c>
      <c r="F743">
        <v>31.099667</v>
      </c>
      <c r="G743">
        <v>145.1</v>
      </c>
      <c r="H743">
        <v>321.42439999999999</v>
      </c>
      <c r="I743">
        <v>35.299999999999997</v>
      </c>
      <c r="J743">
        <v>310</v>
      </c>
      <c r="L743">
        <v>1</v>
      </c>
    </row>
    <row r="744" spans="1:12" x14ac:dyDescent="0.35">
      <c r="A744" s="1">
        <v>45017</v>
      </c>
      <c r="B744" t="s">
        <v>10</v>
      </c>
      <c r="C744" t="s">
        <v>12</v>
      </c>
      <c r="D744">
        <f>AVERAGE(1500,1322,1433,1450)</f>
        <v>1426.25</v>
      </c>
      <c r="E744">
        <v>0</v>
      </c>
      <c r="F744">
        <v>31.977667</v>
      </c>
      <c r="G744">
        <v>209.2</v>
      </c>
      <c r="H744">
        <v>321.42439999999999</v>
      </c>
      <c r="I744">
        <v>35.299999999999997</v>
      </c>
      <c r="J744">
        <v>310</v>
      </c>
      <c r="L744">
        <v>1</v>
      </c>
    </row>
    <row r="745" spans="1:12" x14ac:dyDescent="0.35">
      <c r="A745" s="1">
        <v>45017</v>
      </c>
      <c r="B745" t="s">
        <v>10</v>
      </c>
      <c r="C745" t="s">
        <v>13</v>
      </c>
      <c r="D745">
        <f>AVERAGE(1390,1380,1290,1490)</f>
        <v>1387.5</v>
      </c>
      <c r="E745">
        <v>0</v>
      </c>
      <c r="F745">
        <v>21.353497999999998</v>
      </c>
      <c r="G745">
        <v>141.69999999999999</v>
      </c>
      <c r="H745">
        <v>321.42439999999999</v>
      </c>
      <c r="I745">
        <v>35.299999999999997</v>
      </c>
      <c r="J745">
        <v>310</v>
      </c>
      <c r="L745">
        <v>1</v>
      </c>
    </row>
    <row r="746" spans="1:12" x14ac:dyDescent="0.35">
      <c r="A746" s="1">
        <v>45017</v>
      </c>
      <c r="B746" t="s">
        <v>10</v>
      </c>
      <c r="C746" t="s">
        <v>14</v>
      </c>
      <c r="D746">
        <f>AVERAGE(1333,1383,1533,1400)</f>
        <v>1412.25</v>
      </c>
      <c r="E746">
        <v>0</v>
      </c>
      <c r="F746">
        <v>32.626330000000003</v>
      </c>
      <c r="G746">
        <v>131.69999999999999</v>
      </c>
      <c r="H746">
        <v>321.42439999999999</v>
      </c>
      <c r="I746">
        <v>35.299999999999997</v>
      </c>
      <c r="J746">
        <v>310</v>
      </c>
      <c r="L746">
        <v>1</v>
      </c>
    </row>
    <row r="747" spans="1:12" x14ac:dyDescent="0.35">
      <c r="A747" s="1">
        <v>45017</v>
      </c>
      <c r="B747" t="s">
        <v>10</v>
      </c>
      <c r="C747" t="s">
        <v>15</v>
      </c>
      <c r="D747">
        <f>AVERAGE(1425,1450,1362,1250)</f>
        <v>1371.75</v>
      </c>
      <c r="E747">
        <v>0</v>
      </c>
      <c r="F747">
        <v>32.329666000000003</v>
      </c>
      <c r="G747">
        <v>193.5</v>
      </c>
      <c r="H747">
        <v>321.42439999999999</v>
      </c>
      <c r="I747">
        <v>35.299999999999997</v>
      </c>
      <c r="J747">
        <v>310</v>
      </c>
      <c r="L747">
        <v>1</v>
      </c>
    </row>
    <row r="748" spans="1:12" x14ac:dyDescent="0.35">
      <c r="A748" s="1">
        <v>45017</v>
      </c>
      <c r="B748" t="s">
        <v>10</v>
      </c>
      <c r="C748" t="s">
        <v>16</v>
      </c>
      <c r="D748">
        <f>AVERAGE(1650,1316,1558,1317)</f>
        <v>1460.25</v>
      </c>
      <c r="E748">
        <v>0</v>
      </c>
      <c r="F748">
        <v>27.931999999999999</v>
      </c>
      <c r="G748">
        <v>138.19999999999999</v>
      </c>
      <c r="H748">
        <v>321.42439999999999</v>
      </c>
      <c r="I748">
        <v>35.299999999999997</v>
      </c>
      <c r="J748">
        <v>310</v>
      </c>
      <c r="L748">
        <v>1</v>
      </c>
    </row>
    <row r="749" spans="1:12" x14ac:dyDescent="0.35">
      <c r="A749" s="1">
        <v>45017</v>
      </c>
      <c r="B749" t="s">
        <v>10</v>
      </c>
      <c r="C749" t="s">
        <v>17</v>
      </c>
      <c r="D749">
        <f>AVERAGE(1483,1433,1350,1583)</f>
        <v>1462.25</v>
      </c>
      <c r="E749">
        <v>0</v>
      </c>
      <c r="F749">
        <v>33.652664000000001</v>
      </c>
      <c r="G749">
        <v>176.7</v>
      </c>
      <c r="H749">
        <v>321.42439999999999</v>
      </c>
      <c r="I749">
        <v>35.299999999999997</v>
      </c>
      <c r="J749">
        <v>310</v>
      </c>
      <c r="L749">
        <v>1</v>
      </c>
    </row>
    <row r="750" spans="1:12" x14ac:dyDescent="0.35">
      <c r="A750" s="1">
        <v>45017</v>
      </c>
      <c r="B750" t="s">
        <v>10</v>
      </c>
      <c r="C750" t="s">
        <v>18</v>
      </c>
      <c r="D750">
        <f>AVERAGE(1513,1300,1313,1300)</f>
        <v>1356.5</v>
      </c>
      <c r="E750">
        <v>0</v>
      </c>
      <c r="F750">
        <v>31.079000000000001</v>
      </c>
      <c r="G750">
        <v>164.7</v>
      </c>
      <c r="H750">
        <v>321.42439999999999</v>
      </c>
      <c r="I750">
        <v>35.299999999999997</v>
      </c>
      <c r="J750">
        <v>310</v>
      </c>
      <c r="L750">
        <v>1</v>
      </c>
    </row>
    <row r="751" spans="1:12" x14ac:dyDescent="0.35">
      <c r="A751" s="1">
        <v>45017</v>
      </c>
      <c r="B751" t="s">
        <v>10</v>
      </c>
      <c r="C751" t="s">
        <v>19</v>
      </c>
      <c r="D751">
        <f>AVERAGE(1440,1470,1370,1450)</f>
        <v>1432.5</v>
      </c>
      <c r="E751">
        <v>0</v>
      </c>
      <c r="F751">
        <v>31.81</v>
      </c>
      <c r="G751">
        <v>208.4</v>
      </c>
      <c r="H751">
        <v>321.42439999999999</v>
      </c>
      <c r="I751">
        <v>35.299999999999997</v>
      </c>
      <c r="J751">
        <v>310</v>
      </c>
      <c r="L751">
        <v>1</v>
      </c>
    </row>
    <row r="752" spans="1:12" x14ac:dyDescent="0.35">
      <c r="A752" s="1">
        <v>45017</v>
      </c>
      <c r="B752" t="s">
        <v>10</v>
      </c>
      <c r="C752" t="s">
        <v>20</v>
      </c>
      <c r="D752">
        <f>AVERAGE(1600,1200,1400,1320)</f>
        <v>1380</v>
      </c>
      <c r="E752">
        <v>0</v>
      </c>
      <c r="F752">
        <v>30.768000000000001</v>
      </c>
      <c r="G752">
        <v>172.4</v>
      </c>
      <c r="H752">
        <v>321.42439999999999</v>
      </c>
      <c r="I752">
        <v>35.299999999999997</v>
      </c>
      <c r="J752">
        <v>310</v>
      </c>
      <c r="L752">
        <v>1</v>
      </c>
    </row>
    <row r="753" spans="1:12" x14ac:dyDescent="0.35">
      <c r="A753" s="1">
        <v>45017</v>
      </c>
      <c r="B753" t="s">
        <v>10</v>
      </c>
      <c r="C753" t="s">
        <v>21</v>
      </c>
      <c r="D753">
        <f>AVERAGE(1450,1400,1300,1425)</f>
        <v>1393.75</v>
      </c>
      <c r="E753">
        <v>0</v>
      </c>
      <c r="F753">
        <v>30.054998000000001</v>
      </c>
      <c r="G753">
        <v>150.4</v>
      </c>
      <c r="H753">
        <v>321.42439999999999</v>
      </c>
      <c r="I753">
        <v>35.299999999999997</v>
      </c>
      <c r="J753">
        <v>310</v>
      </c>
      <c r="L753">
        <v>1</v>
      </c>
    </row>
    <row r="754" spans="1:12" x14ac:dyDescent="0.35">
      <c r="A754" s="1">
        <v>45017</v>
      </c>
      <c r="B754" t="s">
        <v>10</v>
      </c>
      <c r="C754" t="s">
        <v>22</v>
      </c>
      <c r="D754">
        <f>AVERAGE(1500,1356,1425,1417)</f>
        <v>1424.5</v>
      </c>
      <c r="E754">
        <v>0</v>
      </c>
      <c r="F754">
        <v>28.997667</v>
      </c>
      <c r="G754">
        <v>108.2</v>
      </c>
      <c r="H754">
        <v>321.42439999999999</v>
      </c>
      <c r="I754">
        <v>35.299999999999997</v>
      </c>
      <c r="J754">
        <v>310</v>
      </c>
      <c r="L754">
        <v>1</v>
      </c>
    </row>
    <row r="755" spans="1:12" x14ac:dyDescent="0.35">
      <c r="A755" s="1">
        <v>45017</v>
      </c>
      <c r="B755" t="s">
        <v>10</v>
      </c>
      <c r="C755" t="s">
        <v>23</v>
      </c>
      <c r="D755">
        <f>AVERAGE(1400,1466,1333,1367)</f>
        <v>1391.5</v>
      </c>
      <c r="E755">
        <v>0</v>
      </c>
      <c r="F755">
        <v>31.507334</v>
      </c>
      <c r="G755">
        <v>105.5</v>
      </c>
      <c r="H755">
        <v>321.42439999999999</v>
      </c>
      <c r="I755">
        <v>35.299999999999997</v>
      </c>
      <c r="J755">
        <v>310</v>
      </c>
      <c r="L755">
        <v>1</v>
      </c>
    </row>
    <row r="756" spans="1:12" x14ac:dyDescent="0.35">
      <c r="A756" s="1">
        <v>45017</v>
      </c>
      <c r="B756" t="s">
        <v>10</v>
      </c>
      <c r="C756" t="s">
        <v>24</v>
      </c>
      <c r="D756">
        <f>AVERAGE(1483,1300,1480,1450)</f>
        <v>1428.25</v>
      </c>
      <c r="E756">
        <v>0</v>
      </c>
      <c r="F756">
        <v>32.161000000000001</v>
      </c>
      <c r="G756">
        <v>162.69999999999999</v>
      </c>
      <c r="H756">
        <v>321.42439999999999</v>
      </c>
      <c r="I756">
        <v>35.299999999999997</v>
      </c>
      <c r="J756">
        <v>310</v>
      </c>
      <c r="L756">
        <v>1</v>
      </c>
    </row>
    <row r="757" spans="1:12" x14ac:dyDescent="0.35">
      <c r="A757" s="1">
        <v>45017</v>
      </c>
      <c r="B757" t="s">
        <v>25</v>
      </c>
      <c r="C757" t="s">
        <v>11</v>
      </c>
      <c r="D757">
        <f>AVERAGE(1958,1922,2100,2089)</f>
        <v>2017.25</v>
      </c>
      <c r="E757">
        <v>0</v>
      </c>
      <c r="F757">
        <v>31.099667</v>
      </c>
      <c r="G757">
        <v>145.1</v>
      </c>
      <c r="H757">
        <v>321.42439999999999</v>
      </c>
      <c r="I757">
        <v>35.299999999999997</v>
      </c>
      <c r="J757">
        <v>310</v>
      </c>
      <c r="L757">
        <v>1</v>
      </c>
    </row>
    <row r="758" spans="1:12" x14ac:dyDescent="0.35">
      <c r="A758" s="1">
        <v>45017</v>
      </c>
      <c r="B758" t="s">
        <v>25</v>
      </c>
      <c r="C758" t="s">
        <v>12</v>
      </c>
      <c r="D758">
        <f>AVERAGE(2500,2483,2492,2500)</f>
        <v>2493.75</v>
      </c>
      <c r="E758">
        <v>0</v>
      </c>
      <c r="F758">
        <v>31.977667</v>
      </c>
      <c r="G758">
        <v>209.2</v>
      </c>
      <c r="H758">
        <v>321.42439999999999</v>
      </c>
      <c r="I758">
        <v>35.299999999999997</v>
      </c>
      <c r="J758">
        <v>310</v>
      </c>
      <c r="L758">
        <v>1</v>
      </c>
    </row>
    <row r="759" spans="1:12" x14ac:dyDescent="0.35">
      <c r="A759" s="1">
        <v>45017</v>
      </c>
      <c r="B759" t="s">
        <v>25</v>
      </c>
      <c r="C759" t="s">
        <v>14</v>
      </c>
      <c r="D759">
        <f>AVERAGE(1750,2300,1900,2150)</f>
        <v>2025</v>
      </c>
      <c r="E759">
        <v>0</v>
      </c>
      <c r="F759">
        <v>32.626330000000003</v>
      </c>
      <c r="G759">
        <v>131.69999999999999</v>
      </c>
      <c r="H759">
        <v>321.42439999999999</v>
      </c>
      <c r="I759">
        <v>35.299999999999997</v>
      </c>
      <c r="J759">
        <v>310</v>
      </c>
      <c r="L759">
        <v>1</v>
      </c>
    </row>
    <row r="760" spans="1:12" x14ac:dyDescent="0.35">
      <c r="A760" s="1">
        <v>45017</v>
      </c>
      <c r="B760" t="s">
        <v>25</v>
      </c>
      <c r="C760" t="s">
        <v>16</v>
      </c>
      <c r="D760">
        <f>AVERAGE(2300,2400,2466,2675)</f>
        <v>2460.25</v>
      </c>
      <c r="E760">
        <v>0</v>
      </c>
      <c r="F760">
        <v>27.931999999999999</v>
      </c>
      <c r="G760">
        <v>138.19999999999999</v>
      </c>
      <c r="H760">
        <v>321.42439999999999</v>
      </c>
      <c r="I760">
        <v>35.299999999999997</v>
      </c>
      <c r="J760">
        <v>310</v>
      </c>
      <c r="L760">
        <v>1</v>
      </c>
    </row>
    <row r="761" spans="1:12" x14ac:dyDescent="0.35">
      <c r="A761" s="1">
        <v>45017</v>
      </c>
      <c r="B761" t="s">
        <v>25</v>
      </c>
      <c r="C761" t="s">
        <v>24</v>
      </c>
      <c r="D761">
        <f>AVERAGE(2400,2540,2350,2416)</f>
        <v>2426.5</v>
      </c>
      <c r="E761">
        <v>0</v>
      </c>
      <c r="F761">
        <v>32.161000000000001</v>
      </c>
      <c r="G761">
        <v>162.69999999999999</v>
      </c>
      <c r="H761">
        <v>321.42439999999999</v>
      </c>
      <c r="I761">
        <v>35.299999999999997</v>
      </c>
      <c r="J761">
        <v>310</v>
      </c>
      <c r="L761">
        <v>1</v>
      </c>
    </row>
    <row r="762" spans="1:12" x14ac:dyDescent="0.35">
      <c r="A762" s="1">
        <v>45047</v>
      </c>
      <c r="B762" t="s">
        <v>10</v>
      </c>
      <c r="C762" t="s">
        <v>11</v>
      </c>
      <c r="D762">
        <f>AVERAGE(1401,1439,1462,1446,1455)</f>
        <v>1440.6</v>
      </c>
      <c r="E762">
        <v>0</v>
      </c>
      <c r="F762">
        <v>28.825904999999999</v>
      </c>
      <c r="G762">
        <v>88.3</v>
      </c>
      <c r="H762">
        <v>310.16390000000001</v>
      </c>
      <c r="I762">
        <v>25.2</v>
      </c>
      <c r="J762">
        <v>310</v>
      </c>
      <c r="L762">
        <v>0</v>
      </c>
    </row>
    <row r="763" spans="1:12" x14ac:dyDescent="0.35">
      <c r="A763" s="1">
        <v>45047</v>
      </c>
      <c r="B763" t="s">
        <v>10</v>
      </c>
      <c r="C763" t="s">
        <v>12</v>
      </c>
      <c r="D763">
        <f>AVERAGE(1438,1475,1465,1400,1433)</f>
        <v>1442.2</v>
      </c>
      <c r="E763">
        <v>0</v>
      </c>
      <c r="F763">
        <v>29.346644999999999</v>
      </c>
      <c r="G763">
        <v>142.4</v>
      </c>
      <c r="H763">
        <v>310.16390000000001</v>
      </c>
      <c r="I763">
        <v>25.2</v>
      </c>
      <c r="J763">
        <v>310</v>
      </c>
      <c r="L763">
        <v>0</v>
      </c>
    </row>
    <row r="764" spans="1:12" x14ac:dyDescent="0.35">
      <c r="A764" s="1">
        <v>45047</v>
      </c>
      <c r="B764" t="s">
        <v>10</v>
      </c>
      <c r="C764" t="s">
        <v>13</v>
      </c>
      <c r="D764">
        <f>AVERAGE(1443,1453,1460,1450,1440)</f>
        <v>1449.2</v>
      </c>
      <c r="E764">
        <v>0</v>
      </c>
      <c r="F764">
        <v>20.533177999999999</v>
      </c>
      <c r="G764">
        <v>99.299994999999996</v>
      </c>
      <c r="H764">
        <v>310.16390000000001</v>
      </c>
      <c r="I764">
        <v>25.2</v>
      </c>
      <c r="J764">
        <v>310</v>
      </c>
      <c r="L764">
        <v>0</v>
      </c>
    </row>
    <row r="765" spans="1:12" x14ac:dyDescent="0.35">
      <c r="A765" s="1">
        <v>45047</v>
      </c>
      <c r="B765" t="s">
        <v>10</v>
      </c>
      <c r="C765" t="s">
        <v>14</v>
      </c>
      <c r="D765">
        <f>AVERAGE(1483,1516,1490,1383,1366)</f>
        <v>1447.6</v>
      </c>
      <c r="E765">
        <v>0</v>
      </c>
      <c r="F765">
        <v>30.015581000000001</v>
      </c>
      <c r="G765">
        <v>170.7</v>
      </c>
      <c r="H765">
        <v>310.16390000000001</v>
      </c>
      <c r="I765">
        <v>25.2</v>
      </c>
      <c r="J765">
        <v>310</v>
      </c>
      <c r="L765">
        <v>0</v>
      </c>
    </row>
    <row r="766" spans="1:12" x14ac:dyDescent="0.35">
      <c r="A766" s="1">
        <v>45047</v>
      </c>
      <c r="B766" t="s">
        <v>10</v>
      </c>
      <c r="C766" t="s">
        <v>15</v>
      </c>
      <c r="D766">
        <f>AVERAGE(1250,1350,1440,1465,1472)</f>
        <v>1395.4</v>
      </c>
      <c r="E766">
        <v>0</v>
      </c>
      <c r="F766">
        <v>29.750419999999998</v>
      </c>
      <c r="G766">
        <v>302.5</v>
      </c>
      <c r="H766">
        <v>310.16390000000001</v>
      </c>
      <c r="I766">
        <v>25.2</v>
      </c>
      <c r="J766">
        <v>310</v>
      </c>
      <c r="L766">
        <v>0</v>
      </c>
    </row>
    <row r="767" spans="1:12" x14ac:dyDescent="0.35">
      <c r="A767" s="1">
        <v>45047</v>
      </c>
      <c r="B767" t="s">
        <v>10</v>
      </c>
      <c r="C767" t="s">
        <v>16</v>
      </c>
      <c r="D767">
        <f>AVERAGE(1483,1525,1500,1500,1333)</f>
        <v>1468.2</v>
      </c>
      <c r="E767">
        <v>0</v>
      </c>
      <c r="F767">
        <v>28.916677</v>
      </c>
      <c r="G767">
        <v>103</v>
      </c>
      <c r="H767">
        <v>310.16390000000001</v>
      </c>
      <c r="I767">
        <v>25.2</v>
      </c>
      <c r="J767">
        <v>310</v>
      </c>
      <c r="L767">
        <v>0</v>
      </c>
    </row>
    <row r="768" spans="1:12" x14ac:dyDescent="0.35">
      <c r="A768" s="1">
        <v>45047</v>
      </c>
      <c r="B768" t="s">
        <v>10</v>
      </c>
      <c r="C768" t="s">
        <v>17</v>
      </c>
      <c r="D768">
        <f>AVERAGE(1400,1417,1500,1500,1500)</f>
        <v>1463.4</v>
      </c>
      <c r="E768">
        <v>0</v>
      </c>
      <c r="F768">
        <v>30.925353999999999</v>
      </c>
      <c r="G768">
        <v>155.5</v>
      </c>
      <c r="H768">
        <v>310.16390000000001</v>
      </c>
      <c r="I768">
        <v>25.2</v>
      </c>
      <c r="J768">
        <v>310</v>
      </c>
      <c r="L768">
        <v>0</v>
      </c>
    </row>
    <row r="769" spans="1:12" x14ac:dyDescent="0.35">
      <c r="A769" s="1">
        <v>45047</v>
      </c>
      <c r="B769" t="s">
        <v>10</v>
      </c>
      <c r="C769" t="s">
        <v>18</v>
      </c>
      <c r="D769">
        <f>AVERAGE(1350,1413,1363,1363,1338)</f>
        <v>1365.4</v>
      </c>
      <c r="E769">
        <v>0</v>
      </c>
      <c r="F769">
        <v>29.741743</v>
      </c>
      <c r="G769">
        <v>221.4</v>
      </c>
      <c r="H769">
        <v>310.16390000000001</v>
      </c>
      <c r="I769">
        <v>25.2</v>
      </c>
      <c r="J769">
        <v>310</v>
      </c>
      <c r="L769">
        <v>0</v>
      </c>
    </row>
    <row r="770" spans="1:12" x14ac:dyDescent="0.35">
      <c r="A770" s="1">
        <v>45047</v>
      </c>
      <c r="B770" t="s">
        <v>10</v>
      </c>
      <c r="C770" t="s">
        <v>19</v>
      </c>
      <c r="D770">
        <f>AVERAGE(1330,1400,1450,1500,1510)</f>
        <v>1438</v>
      </c>
      <c r="E770">
        <v>0</v>
      </c>
      <c r="F770">
        <v>30.310805999999999</v>
      </c>
      <c r="G770">
        <v>210.8</v>
      </c>
      <c r="H770">
        <v>310.16390000000001</v>
      </c>
      <c r="I770">
        <v>25.2</v>
      </c>
      <c r="J770">
        <v>310</v>
      </c>
      <c r="L770">
        <v>0</v>
      </c>
    </row>
    <row r="771" spans="1:12" x14ac:dyDescent="0.35">
      <c r="A771" s="1">
        <v>45047</v>
      </c>
      <c r="B771" t="s">
        <v>10</v>
      </c>
      <c r="C771" t="s">
        <v>20</v>
      </c>
      <c r="D771">
        <f>AVERAGE(1430,1430,1370,1320,1200)</f>
        <v>1350</v>
      </c>
      <c r="E771">
        <v>0</v>
      </c>
      <c r="F771">
        <v>29.625419999999998</v>
      </c>
      <c r="G771">
        <v>234.2</v>
      </c>
      <c r="H771">
        <v>310.16390000000001</v>
      </c>
      <c r="I771">
        <v>25.2</v>
      </c>
      <c r="J771">
        <v>310</v>
      </c>
      <c r="L771">
        <v>0</v>
      </c>
    </row>
    <row r="772" spans="1:12" x14ac:dyDescent="0.35">
      <c r="A772" s="1">
        <v>45047</v>
      </c>
      <c r="B772" t="s">
        <v>10</v>
      </c>
      <c r="C772" t="s">
        <v>21</v>
      </c>
      <c r="D772">
        <f>AVERAGE(1240,1300,1435,1435,1410)</f>
        <v>1364</v>
      </c>
      <c r="E772">
        <v>0</v>
      </c>
      <c r="F772">
        <v>29.30903</v>
      </c>
      <c r="G772">
        <v>205.9</v>
      </c>
      <c r="H772">
        <v>310.16390000000001</v>
      </c>
      <c r="I772">
        <v>25.2</v>
      </c>
      <c r="J772">
        <v>310</v>
      </c>
      <c r="L772">
        <v>0</v>
      </c>
    </row>
    <row r="773" spans="1:12" x14ac:dyDescent="0.35">
      <c r="A773" s="1">
        <v>45047</v>
      </c>
      <c r="B773" t="s">
        <v>10</v>
      </c>
      <c r="C773" t="s">
        <v>22</v>
      </c>
      <c r="D773">
        <f>AVERAGE(1393,1430,1439,1359,1293)</f>
        <v>1382.8</v>
      </c>
      <c r="E773">
        <v>0</v>
      </c>
      <c r="F773">
        <v>28.810998999999999</v>
      </c>
      <c r="G773">
        <v>119.5</v>
      </c>
      <c r="H773">
        <v>310.16390000000001</v>
      </c>
      <c r="I773">
        <v>25.2</v>
      </c>
      <c r="J773">
        <v>310</v>
      </c>
      <c r="L773">
        <v>0</v>
      </c>
    </row>
    <row r="774" spans="1:12" x14ac:dyDescent="0.35">
      <c r="A774" s="1">
        <v>45047</v>
      </c>
      <c r="B774" t="s">
        <v>10</v>
      </c>
      <c r="C774" t="s">
        <v>23</v>
      </c>
      <c r="D774">
        <f>AVERAGE(1273,1286,1370,1410,1475)</f>
        <v>1362.8</v>
      </c>
      <c r="E774">
        <v>0</v>
      </c>
      <c r="F774">
        <v>31.454644999999999</v>
      </c>
      <c r="G774">
        <v>67.599999999999994</v>
      </c>
      <c r="H774">
        <v>310.16390000000001</v>
      </c>
      <c r="I774">
        <v>25.2</v>
      </c>
      <c r="J774">
        <v>310</v>
      </c>
      <c r="L774">
        <v>0</v>
      </c>
    </row>
    <row r="775" spans="1:12" x14ac:dyDescent="0.35">
      <c r="A775" s="1">
        <v>45047</v>
      </c>
      <c r="B775" t="s">
        <v>10</v>
      </c>
      <c r="C775" t="s">
        <v>24</v>
      </c>
      <c r="D775">
        <f>AVERAGE(1425,1450,1480,1407,1400)</f>
        <v>1432.4</v>
      </c>
      <c r="E775">
        <v>0</v>
      </c>
      <c r="F775">
        <v>32.588256999999999</v>
      </c>
      <c r="G775">
        <v>126.4</v>
      </c>
      <c r="H775">
        <v>310.16390000000001</v>
      </c>
      <c r="I775">
        <v>25.2</v>
      </c>
      <c r="J775">
        <v>310</v>
      </c>
      <c r="L775">
        <v>0</v>
      </c>
    </row>
    <row r="776" spans="1:12" x14ac:dyDescent="0.35">
      <c r="A776" s="1">
        <v>45047</v>
      </c>
      <c r="B776" t="s">
        <v>25</v>
      </c>
      <c r="C776" t="s">
        <v>11</v>
      </c>
      <c r="D776">
        <f>AVERAGE(2425,2334,2383,2317,2161)</f>
        <v>2324</v>
      </c>
      <c r="E776">
        <v>0</v>
      </c>
      <c r="F776">
        <v>28.825904999999999</v>
      </c>
      <c r="G776">
        <v>88.3</v>
      </c>
      <c r="H776">
        <v>310.16390000000001</v>
      </c>
      <c r="I776">
        <v>25.2</v>
      </c>
      <c r="J776">
        <v>310</v>
      </c>
      <c r="L776">
        <v>0</v>
      </c>
    </row>
    <row r="777" spans="1:12" x14ac:dyDescent="0.35">
      <c r="A777" s="1">
        <v>45047</v>
      </c>
      <c r="B777" t="s">
        <v>25</v>
      </c>
      <c r="C777" t="s">
        <v>12</v>
      </c>
      <c r="D777">
        <f>AVERAGE(2192,2783,2575,2733,2530)</f>
        <v>2562.6</v>
      </c>
      <c r="E777">
        <v>0</v>
      </c>
      <c r="F777">
        <v>29.346644999999999</v>
      </c>
      <c r="G777">
        <v>142.4</v>
      </c>
      <c r="H777">
        <v>310.16390000000001</v>
      </c>
      <c r="I777">
        <v>25.2</v>
      </c>
      <c r="J777">
        <v>310</v>
      </c>
      <c r="L777">
        <v>0</v>
      </c>
    </row>
    <row r="778" spans="1:12" x14ac:dyDescent="0.35">
      <c r="A778" s="1">
        <v>45047</v>
      </c>
      <c r="B778" t="s">
        <v>25</v>
      </c>
      <c r="C778" t="s">
        <v>14</v>
      </c>
      <c r="D778">
        <f>AVERAGE(2116,2200,2500,2000,1966)</f>
        <v>2156.4</v>
      </c>
      <c r="E778">
        <v>0</v>
      </c>
      <c r="F778">
        <v>30.015581000000001</v>
      </c>
      <c r="G778">
        <v>170.7</v>
      </c>
      <c r="H778">
        <v>310.16390000000001</v>
      </c>
      <c r="I778">
        <v>25.2</v>
      </c>
      <c r="J778">
        <v>310</v>
      </c>
      <c r="L778">
        <v>0</v>
      </c>
    </row>
    <row r="779" spans="1:12" x14ac:dyDescent="0.35">
      <c r="A779" s="1">
        <v>45047</v>
      </c>
      <c r="B779" t="s">
        <v>25</v>
      </c>
      <c r="C779" t="s">
        <v>16</v>
      </c>
      <c r="D779">
        <f>AVERAGE(2000,2350,2250,2033,2366)</f>
        <v>2199.8000000000002</v>
      </c>
      <c r="E779">
        <v>0</v>
      </c>
      <c r="F779">
        <v>28.916677</v>
      </c>
      <c r="G779">
        <v>103</v>
      </c>
      <c r="H779">
        <v>310.16390000000001</v>
      </c>
      <c r="I779">
        <v>25.2</v>
      </c>
      <c r="J779">
        <v>310</v>
      </c>
      <c r="L779">
        <v>0</v>
      </c>
    </row>
    <row r="780" spans="1:12" x14ac:dyDescent="0.35">
      <c r="A780" s="1">
        <v>45047</v>
      </c>
      <c r="B780" t="s">
        <v>25</v>
      </c>
      <c r="C780" t="s">
        <v>24</v>
      </c>
      <c r="D780">
        <f>AVERAGE(2160,2200,2388,2366,2480)</f>
        <v>2318.8000000000002</v>
      </c>
      <c r="E780">
        <v>0</v>
      </c>
      <c r="F780">
        <v>32.588256999999999</v>
      </c>
      <c r="G780">
        <v>126.4</v>
      </c>
      <c r="H780">
        <v>310.16390000000001</v>
      </c>
      <c r="I780">
        <v>25.2</v>
      </c>
      <c r="J780">
        <v>310</v>
      </c>
      <c r="L780">
        <v>0</v>
      </c>
    </row>
    <row r="781" spans="1:12" x14ac:dyDescent="0.35">
      <c r="A781" s="1">
        <v>45078</v>
      </c>
      <c r="B781" t="s">
        <v>10</v>
      </c>
      <c r="C781" t="s">
        <v>11</v>
      </c>
      <c r="D781">
        <f>AVERAGE(1381,1375,1352,1342)</f>
        <v>1362.5</v>
      </c>
      <c r="E781">
        <v>1</v>
      </c>
      <c r="F781">
        <v>28.839666000000001</v>
      </c>
      <c r="G781">
        <v>73.5</v>
      </c>
      <c r="H781">
        <v>301.26119999999997</v>
      </c>
      <c r="I781">
        <v>12</v>
      </c>
      <c r="J781">
        <v>308</v>
      </c>
      <c r="L781">
        <v>0</v>
      </c>
    </row>
    <row r="782" spans="1:12" x14ac:dyDescent="0.35">
      <c r="A782" s="1">
        <v>45078</v>
      </c>
      <c r="B782" t="s">
        <v>10</v>
      </c>
      <c r="C782" t="s">
        <v>12</v>
      </c>
      <c r="D782">
        <f>AVERAGE(1325,1333,1383,1422)</f>
        <v>1365.75</v>
      </c>
      <c r="E782">
        <v>1</v>
      </c>
      <c r="F782">
        <v>28.861000000000001</v>
      </c>
      <c r="G782">
        <v>81.599999999999994</v>
      </c>
      <c r="H782">
        <v>301.26119999999997</v>
      </c>
      <c r="I782">
        <v>12</v>
      </c>
      <c r="J782">
        <v>308</v>
      </c>
      <c r="L782">
        <v>0</v>
      </c>
    </row>
    <row r="783" spans="1:12" x14ac:dyDescent="0.35">
      <c r="A783" s="1">
        <v>45078</v>
      </c>
      <c r="B783" t="s">
        <v>10</v>
      </c>
      <c r="C783" t="s">
        <v>13</v>
      </c>
      <c r="D783">
        <f>AVERAGE(1303,1400,1410,1443)</f>
        <v>1389</v>
      </c>
      <c r="E783">
        <v>1</v>
      </c>
      <c r="F783">
        <v>19.350166000000002</v>
      </c>
      <c r="G783">
        <v>98.2</v>
      </c>
      <c r="H783">
        <v>301.26119999999997</v>
      </c>
      <c r="I783">
        <v>12</v>
      </c>
      <c r="J783">
        <v>308</v>
      </c>
      <c r="L783">
        <v>0</v>
      </c>
    </row>
    <row r="784" spans="1:12" x14ac:dyDescent="0.35">
      <c r="A784" s="1">
        <v>45078</v>
      </c>
      <c r="B784" t="s">
        <v>10</v>
      </c>
      <c r="C784" t="s">
        <v>14</v>
      </c>
      <c r="D784">
        <f>AVERAGE(1316,1350,1366,1400)</f>
        <v>1358</v>
      </c>
      <c r="E784">
        <v>1</v>
      </c>
      <c r="F784">
        <v>29.306334</v>
      </c>
      <c r="G784">
        <v>163.30000000000001</v>
      </c>
      <c r="H784">
        <v>301.26119999999997</v>
      </c>
      <c r="I784">
        <v>12</v>
      </c>
      <c r="J784">
        <v>308</v>
      </c>
      <c r="L784">
        <v>0</v>
      </c>
    </row>
    <row r="785" spans="1:12" x14ac:dyDescent="0.35">
      <c r="A785" s="1">
        <v>45078</v>
      </c>
      <c r="B785" t="s">
        <v>10</v>
      </c>
      <c r="C785" t="s">
        <v>15</v>
      </c>
      <c r="D785">
        <f>AVERAGE(1300,1322,1295,1282)</f>
        <v>1299.75</v>
      </c>
      <c r="E785">
        <v>1</v>
      </c>
      <c r="F785">
        <v>28.996334000000001</v>
      </c>
      <c r="G785">
        <v>388.5</v>
      </c>
      <c r="H785">
        <v>301.26119999999997</v>
      </c>
      <c r="I785">
        <v>12</v>
      </c>
      <c r="J785">
        <v>308</v>
      </c>
      <c r="L785">
        <v>0</v>
      </c>
    </row>
    <row r="786" spans="1:12" x14ac:dyDescent="0.35">
      <c r="A786" s="1">
        <v>45078</v>
      </c>
      <c r="B786" t="s">
        <v>10</v>
      </c>
      <c r="C786" t="s">
        <v>16</v>
      </c>
      <c r="D786">
        <f>AVERAGE(1434,1383,1350,1425)</f>
        <v>1398</v>
      </c>
      <c r="E786">
        <v>1</v>
      </c>
      <c r="F786">
        <v>30.012</v>
      </c>
      <c r="G786">
        <v>155.40001000000001</v>
      </c>
      <c r="H786">
        <v>301.26119999999997</v>
      </c>
      <c r="I786">
        <v>12</v>
      </c>
      <c r="J786">
        <v>308</v>
      </c>
      <c r="L786">
        <v>0</v>
      </c>
    </row>
    <row r="787" spans="1:12" x14ac:dyDescent="0.35">
      <c r="A787" s="1">
        <v>45078</v>
      </c>
      <c r="B787" t="s">
        <v>10</v>
      </c>
      <c r="C787" t="s">
        <v>17</v>
      </c>
      <c r="D787">
        <f>AVERAGE(1400,1367,1350,1317)</f>
        <v>1358.5</v>
      </c>
      <c r="E787">
        <v>1</v>
      </c>
      <c r="F787">
        <v>30.332666</v>
      </c>
      <c r="G787">
        <v>102.4</v>
      </c>
      <c r="H787">
        <v>301.26119999999997</v>
      </c>
      <c r="I787">
        <v>12</v>
      </c>
      <c r="J787">
        <v>308</v>
      </c>
      <c r="L787">
        <v>0</v>
      </c>
    </row>
    <row r="788" spans="1:12" x14ac:dyDescent="0.35">
      <c r="A788" s="1">
        <v>45078</v>
      </c>
      <c r="B788" t="s">
        <v>10</v>
      </c>
      <c r="C788" t="s">
        <v>18</v>
      </c>
      <c r="D788">
        <f>AVERAGE(1250,1266,1275,1263)</f>
        <v>1263.5</v>
      </c>
      <c r="E788">
        <v>1</v>
      </c>
      <c r="F788">
        <v>29.120667000000001</v>
      </c>
      <c r="G788">
        <v>378.30002000000002</v>
      </c>
      <c r="H788">
        <v>301.26119999999997</v>
      </c>
      <c r="I788">
        <v>12</v>
      </c>
      <c r="J788">
        <v>308</v>
      </c>
      <c r="L788">
        <v>0</v>
      </c>
    </row>
    <row r="789" spans="1:12" x14ac:dyDescent="0.35">
      <c r="A789" s="1">
        <v>45078</v>
      </c>
      <c r="B789" t="s">
        <v>10</v>
      </c>
      <c r="C789" t="s">
        <v>19</v>
      </c>
      <c r="D789">
        <f>AVERAGE(1360,1340,1390)</f>
        <v>1363.3333333333333</v>
      </c>
      <c r="E789">
        <v>1</v>
      </c>
      <c r="F789">
        <v>29.579998</v>
      </c>
      <c r="G789">
        <v>326.39999999999998</v>
      </c>
      <c r="H789">
        <v>301.26119999999997</v>
      </c>
      <c r="I789">
        <v>12</v>
      </c>
      <c r="J789">
        <v>308</v>
      </c>
      <c r="L789">
        <v>0</v>
      </c>
    </row>
    <row r="790" spans="1:12" x14ac:dyDescent="0.35">
      <c r="A790" s="1">
        <v>45078</v>
      </c>
      <c r="B790" t="s">
        <v>10</v>
      </c>
      <c r="C790" t="s">
        <v>20</v>
      </c>
      <c r="D790">
        <f>AVERAGE(1200,1200,1235,1230)</f>
        <v>1216.25</v>
      </c>
      <c r="E790">
        <v>1</v>
      </c>
      <c r="F790">
        <v>29.084665000000001</v>
      </c>
      <c r="G790">
        <v>348</v>
      </c>
      <c r="H790">
        <v>301.26119999999997</v>
      </c>
      <c r="I790">
        <v>12</v>
      </c>
      <c r="J790">
        <v>308</v>
      </c>
      <c r="L790">
        <v>0</v>
      </c>
    </row>
    <row r="791" spans="1:12" x14ac:dyDescent="0.35">
      <c r="A791" s="1">
        <v>45078</v>
      </c>
      <c r="B791" t="s">
        <v>10</v>
      </c>
      <c r="C791" t="s">
        <v>21</v>
      </c>
      <c r="D791">
        <f>AVERAGE(1310,1285,1275,1225)</f>
        <v>1273.75</v>
      </c>
      <c r="E791">
        <v>1</v>
      </c>
      <c r="F791">
        <v>28.883333</v>
      </c>
      <c r="G791">
        <v>280.2</v>
      </c>
      <c r="H791">
        <v>301.26119999999997</v>
      </c>
      <c r="I791">
        <v>12</v>
      </c>
      <c r="J791">
        <v>308</v>
      </c>
      <c r="L791">
        <v>0</v>
      </c>
    </row>
    <row r="792" spans="1:12" x14ac:dyDescent="0.35">
      <c r="A792" s="1">
        <v>45078</v>
      </c>
      <c r="B792" t="s">
        <v>10</v>
      </c>
      <c r="C792" t="s">
        <v>22</v>
      </c>
      <c r="D792">
        <f>AVERAGE(1275,1297,1323,1309)</f>
        <v>1301</v>
      </c>
      <c r="E792">
        <v>1</v>
      </c>
      <c r="F792">
        <v>28.419333999999999</v>
      </c>
      <c r="G792">
        <v>99.5</v>
      </c>
      <c r="H792">
        <v>301.26119999999997</v>
      </c>
      <c r="I792">
        <v>12</v>
      </c>
      <c r="J792">
        <v>308</v>
      </c>
      <c r="L792">
        <v>0</v>
      </c>
    </row>
    <row r="793" spans="1:12" x14ac:dyDescent="0.35">
      <c r="A793" s="1">
        <v>45078</v>
      </c>
      <c r="B793" t="s">
        <v>10</v>
      </c>
      <c r="C793" t="s">
        <v>23</v>
      </c>
      <c r="D793">
        <f>AVERAGE(1300)</f>
        <v>1300</v>
      </c>
      <c r="E793">
        <v>1</v>
      </c>
      <c r="F793">
        <v>32.522329999999997</v>
      </c>
      <c r="G793">
        <v>15.2</v>
      </c>
      <c r="H793">
        <v>301.26119999999997</v>
      </c>
      <c r="I793">
        <v>12</v>
      </c>
      <c r="J793">
        <v>308</v>
      </c>
      <c r="L793">
        <v>0</v>
      </c>
    </row>
    <row r="794" spans="1:12" x14ac:dyDescent="0.35">
      <c r="A794" s="1">
        <v>45078</v>
      </c>
      <c r="B794" t="s">
        <v>10</v>
      </c>
      <c r="C794" t="s">
        <v>24</v>
      </c>
      <c r="D794">
        <f>AVERAGE(1380,1408,1400,1446)</f>
        <v>1408.5</v>
      </c>
      <c r="E794">
        <v>1</v>
      </c>
      <c r="F794">
        <v>36.140999999999998</v>
      </c>
      <c r="G794">
        <v>40.4</v>
      </c>
      <c r="H794">
        <v>301.26119999999997</v>
      </c>
      <c r="I794">
        <v>12</v>
      </c>
      <c r="J794">
        <v>308</v>
      </c>
      <c r="L794">
        <v>0</v>
      </c>
    </row>
    <row r="795" spans="1:12" x14ac:dyDescent="0.35">
      <c r="A795" s="1">
        <v>45078</v>
      </c>
      <c r="B795" t="s">
        <v>25</v>
      </c>
      <c r="C795" t="s">
        <v>11</v>
      </c>
      <c r="D795" s="2">
        <f>AVERAGE(2178,2350,2417,2161)</f>
        <v>2276.5</v>
      </c>
      <c r="E795">
        <v>1</v>
      </c>
      <c r="F795">
        <v>28.839666000000001</v>
      </c>
      <c r="G795">
        <v>73.5</v>
      </c>
      <c r="H795">
        <v>301.26119999999997</v>
      </c>
      <c r="I795">
        <v>12</v>
      </c>
      <c r="J795">
        <v>308</v>
      </c>
      <c r="L795">
        <v>0</v>
      </c>
    </row>
    <row r="796" spans="1:12" x14ac:dyDescent="0.35">
      <c r="A796" s="1">
        <v>45078</v>
      </c>
      <c r="B796" t="s">
        <v>25</v>
      </c>
      <c r="C796" t="s">
        <v>12</v>
      </c>
      <c r="D796">
        <f>AVERAGE(2208,2233,2333,2247)</f>
        <v>2255.25</v>
      </c>
      <c r="E796">
        <v>1</v>
      </c>
      <c r="F796">
        <v>28.861000000000001</v>
      </c>
      <c r="G796">
        <v>81.599999999999994</v>
      </c>
      <c r="H796">
        <v>301.26119999999997</v>
      </c>
      <c r="I796">
        <v>12</v>
      </c>
      <c r="J796">
        <v>308</v>
      </c>
      <c r="L796">
        <v>0</v>
      </c>
    </row>
    <row r="797" spans="1:12" x14ac:dyDescent="0.35">
      <c r="A797" s="1">
        <v>45078</v>
      </c>
      <c r="B797" t="s">
        <v>25</v>
      </c>
      <c r="C797" t="s">
        <v>14</v>
      </c>
      <c r="D797">
        <f>AVERAGE(2083,2225,2083,2025)</f>
        <v>2104</v>
      </c>
      <c r="E797">
        <v>1</v>
      </c>
      <c r="F797">
        <v>29.306334</v>
      </c>
      <c r="G797">
        <v>163.30000000000001</v>
      </c>
      <c r="H797">
        <v>301.26119999999997</v>
      </c>
      <c r="I797">
        <v>12</v>
      </c>
      <c r="J797">
        <v>308</v>
      </c>
      <c r="L797">
        <v>0</v>
      </c>
    </row>
    <row r="798" spans="1:12" x14ac:dyDescent="0.35">
      <c r="A798" s="1">
        <v>45078</v>
      </c>
      <c r="B798" t="s">
        <v>25</v>
      </c>
      <c r="C798" t="s">
        <v>16</v>
      </c>
      <c r="D798">
        <f>AVERAGE(1900,1900,2279,2059)</f>
        <v>2034.5</v>
      </c>
      <c r="E798">
        <v>1</v>
      </c>
      <c r="F798">
        <v>30.012</v>
      </c>
      <c r="G798">
        <v>155.40001000000001</v>
      </c>
      <c r="H798">
        <v>301.26119999999997</v>
      </c>
      <c r="I798">
        <v>12</v>
      </c>
      <c r="J798">
        <v>308</v>
      </c>
      <c r="L798">
        <v>0</v>
      </c>
    </row>
    <row r="799" spans="1:12" x14ac:dyDescent="0.35">
      <c r="A799" s="1">
        <v>45078</v>
      </c>
      <c r="B799" t="s">
        <v>25</v>
      </c>
      <c r="C799" t="s">
        <v>24</v>
      </c>
      <c r="D799">
        <f>AVERAGE(2100,2140,2075,1940)</f>
        <v>2063.75</v>
      </c>
      <c r="E799">
        <v>1</v>
      </c>
      <c r="F799">
        <v>36.140999999999998</v>
      </c>
      <c r="G799">
        <v>40.4</v>
      </c>
      <c r="H799">
        <v>301.26119999999997</v>
      </c>
      <c r="I799">
        <v>12</v>
      </c>
      <c r="J799">
        <v>308</v>
      </c>
      <c r="L799">
        <v>0</v>
      </c>
    </row>
    <row r="800" spans="1:12" x14ac:dyDescent="0.35">
      <c r="A800" s="1">
        <v>45108</v>
      </c>
      <c r="B800" t="s">
        <v>10</v>
      </c>
      <c r="C800" t="s">
        <v>11</v>
      </c>
      <c r="D800">
        <f>AVERAGE(1713,1567,1436,1368,1332)</f>
        <v>1483.2</v>
      </c>
      <c r="E800">
        <v>1</v>
      </c>
      <c r="F800">
        <v>27.713000999999998</v>
      </c>
      <c r="G800">
        <v>135.90001000000001</v>
      </c>
      <c r="H800">
        <v>319.2903</v>
      </c>
      <c r="I800">
        <v>6.3</v>
      </c>
      <c r="J800">
        <v>306</v>
      </c>
      <c r="L800">
        <v>0</v>
      </c>
    </row>
    <row r="801" spans="1:12" x14ac:dyDescent="0.35">
      <c r="A801" s="1">
        <v>45108</v>
      </c>
      <c r="B801" t="s">
        <v>10</v>
      </c>
      <c r="C801" t="s">
        <v>12</v>
      </c>
      <c r="D801">
        <f>AVERAGE(1415,1452,1462,1700,1735)</f>
        <v>1552.8</v>
      </c>
      <c r="E801">
        <v>1</v>
      </c>
      <c r="F801">
        <v>28.062777000000001</v>
      </c>
      <c r="G801">
        <v>150</v>
      </c>
      <c r="H801">
        <v>319.2903</v>
      </c>
      <c r="I801">
        <v>6.3</v>
      </c>
      <c r="J801">
        <v>306</v>
      </c>
      <c r="L801">
        <v>0</v>
      </c>
    </row>
    <row r="802" spans="1:12" x14ac:dyDescent="0.35">
      <c r="A802" s="1">
        <v>45108</v>
      </c>
      <c r="B802" t="s">
        <v>10</v>
      </c>
      <c r="C802" t="s">
        <v>13</v>
      </c>
      <c r="D802">
        <f>AVERAGE(1746,1693,1353,1346,1313)</f>
        <v>1490.2</v>
      </c>
      <c r="E802">
        <v>1</v>
      </c>
      <c r="F802">
        <v>18.146080000000001</v>
      </c>
      <c r="G802">
        <v>210.3</v>
      </c>
      <c r="H802">
        <v>319.2903</v>
      </c>
      <c r="I802">
        <v>6.3</v>
      </c>
      <c r="J802">
        <v>306</v>
      </c>
      <c r="L802">
        <v>0</v>
      </c>
    </row>
    <row r="803" spans="1:12" x14ac:dyDescent="0.35">
      <c r="A803" s="1">
        <v>45108</v>
      </c>
      <c r="B803" t="s">
        <v>10</v>
      </c>
      <c r="C803" t="s">
        <v>14</v>
      </c>
      <c r="D803">
        <f>AVERAGE(1383,1400,1416,1566,1566)</f>
        <v>1466.2</v>
      </c>
      <c r="E803">
        <v>1</v>
      </c>
      <c r="F803">
        <v>28.789774000000001</v>
      </c>
      <c r="G803">
        <v>241.59998999999999</v>
      </c>
      <c r="H803">
        <v>319.2903</v>
      </c>
      <c r="I803">
        <v>6.3</v>
      </c>
      <c r="J803">
        <v>306</v>
      </c>
      <c r="L803">
        <v>0</v>
      </c>
    </row>
    <row r="804" spans="1:12" x14ac:dyDescent="0.35">
      <c r="A804" s="1">
        <v>45108</v>
      </c>
      <c r="B804" t="s">
        <v>10</v>
      </c>
      <c r="C804" t="s">
        <v>15</v>
      </c>
      <c r="D804">
        <f>AVERAGE(1755,1680,1438,1332,1305)</f>
        <v>1502</v>
      </c>
      <c r="E804">
        <v>1</v>
      </c>
      <c r="F804">
        <v>29.011710999999998</v>
      </c>
      <c r="G804">
        <v>363.30002000000002</v>
      </c>
      <c r="H804">
        <v>319.2903</v>
      </c>
      <c r="I804">
        <v>6.3</v>
      </c>
      <c r="J804">
        <v>306</v>
      </c>
      <c r="L804">
        <v>0</v>
      </c>
    </row>
    <row r="805" spans="1:12" x14ac:dyDescent="0.35">
      <c r="A805" s="1">
        <v>45108</v>
      </c>
      <c r="B805" t="s">
        <v>10</v>
      </c>
      <c r="C805" t="s">
        <v>16</v>
      </c>
      <c r="D805">
        <f>AVERAGE(1388,1304,1430,1558,1588)</f>
        <v>1453.6</v>
      </c>
      <c r="E805">
        <v>1</v>
      </c>
      <c r="F805">
        <v>30.219902000000001</v>
      </c>
      <c r="G805">
        <v>84.7</v>
      </c>
      <c r="H805">
        <v>319.2903</v>
      </c>
      <c r="I805">
        <v>6.3</v>
      </c>
      <c r="J805">
        <v>306</v>
      </c>
      <c r="L805">
        <v>0</v>
      </c>
    </row>
    <row r="806" spans="1:12" x14ac:dyDescent="0.35">
      <c r="A806" s="1">
        <v>45108</v>
      </c>
      <c r="B806" t="s">
        <v>10</v>
      </c>
      <c r="C806" t="s">
        <v>17</v>
      </c>
      <c r="D806">
        <f>AVERAGE(1600,1467,1383,1417,1367)</f>
        <v>1446.8</v>
      </c>
      <c r="E806">
        <v>1</v>
      </c>
      <c r="F806">
        <v>29.760840000000002</v>
      </c>
      <c r="G806">
        <v>158.80000000000001</v>
      </c>
      <c r="H806">
        <v>319.2903</v>
      </c>
      <c r="I806">
        <v>6.3</v>
      </c>
      <c r="J806">
        <v>306</v>
      </c>
      <c r="L806">
        <v>0</v>
      </c>
    </row>
    <row r="807" spans="1:12" x14ac:dyDescent="0.35">
      <c r="A807" s="1">
        <v>45108</v>
      </c>
      <c r="B807" t="s">
        <v>10</v>
      </c>
      <c r="C807" t="s">
        <v>18</v>
      </c>
      <c r="D807">
        <f>AVERAGE(1225,1275,1250,1590,1463)</f>
        <v>1360.6</v>
      </c>
      <c r="E807">
        <v>1</v>
      </c>
      <c r="F807">
        <v>28.762709999999998</v>
      </c>
      <c r="G807">
        <v>244.5</v>
      </c>
      <c r="H807">
        <v>319.2903</v>
      </c>
      <c r="I807">
        <v>6.3</v>
      </c>
      <c r="J807">
        <v>306</v>
      </c>
      <c r="L807">
        <v>0</v>
      </c>
    </row>
    <row r="808" spans="1:12" x14ac:dyDescent="0.35">
      <c r="A808" s="1">
        <v>45108</v>
      </c>
      <c r="B808" t="s">
        <v>10</v>
      </c>
      <c r="C808" t="s">
        <v>19</v>
      </c>
      <c r="D808">
        <f>AVERAGE(1690,1590,1390,1355,1335)</f>
        <v>1472</v>
      </c>
      <c r="E808">
        <v>1</v>
      </c>
      <c r="F808">
        <v>29.301127999999999</v>
      </c>
      <c r="G808">
        <v>247.1</v>
      </c>
      <c r="H808">
        <v>319.2903</v>
      </c>
      <c r="I808">
        <v>6.3</v>
      </c>
      <c r="J808">
        <v>306</v>
      </c>
      <c r="L808">
        <v>0</v>
      </c>
    </row>
    <row r="809" spans="1:12" x14ac:dyDescent="0.35">
      <c r="A809" s="1">
        <v>45108</v>
      </c>
      <c r="B809" t="s">
        <v>10</v>
      </c>
      <c r="C809" t="s">
        <v>20</v>
      </c>
      <c r="D809">
        <f>AVERAGE(1250,1250,1320,1340,1620)</f>
        <v>1356</v>
      </c>
      <c r="E809">
        <v>1</v>
      </c>
      <c r="F809">
        <v>28.846385999999999</v>
      </c>
      <c r="G809">
        <v>216.6</v>
      </c>
      <c r="H809">
        <v>319.2903</v>
      </c>
      <c r="I809">
        <v>6.3</v>
      </c>
      <c r="J809">
        <v>306</v>
      </c>
      <c r="L809">
        <v>0</v>
      </c>
    </row>
    <row r="810" spans="1:12" x14ac:dyDescent="0.35">
      <c r="A810" s="1">
        <v>45108</v>
      </c>
      <c r="B810" t="s">
        <v>10</v>
      </c>
      <c r="C810" t="s">
        <v>21</v>
      </c>
      <c r="D810">
        <f>AVERAGE(1610,1525,1350,1275,1225)</f>
        <v>1397</v>
      </c>
      <c r="E810">
        <v>1</v>
      </c>
      <c r="F810">
        <v>28.80903</v>
      </c>
      <c r="G810">
        <v>265.39999999999998</v>
      </c>
      <c r="H810">
        <v>319.2903</v>
      </c>
      <c r="I810">
        <v>6.3</v>
      </c>
      <c r="J810">
        <v>306</v>
      </c>
      <c r="L810">
        <v>0</v>
      </c>
    </row>
    <row r="811" spans="1:12" x14ac:dyDescent="0.35">
      <c r="A811" s="1">
        <v>45108</v>
      </c>
      <c r="B811" t="s">
        <v>10</v>
      </c>
      <c r="C811" t="s">
        <v>22</v>
      </c>
      <c r="D811">
        <f>AVERAGE(1290,1317,1394,1624,1722)</f>
        <v>1469.4</v>
      </c>
      <c r="E811">
        <v>1</v>
      </c>
      <c r="F811">
        <v>27.915838000000001</v>
      </c>
      <c r="G811">
        <v>161.30001999999999</v>
      </c>
      <c r="H811">
        <v>319.2903</v>
      </c>
      <c r="I811">
        <v>6.3</v>
      </c>
      <c r="J811">
        <v>306</v>
      </c>
      <c r="L811">
        <v>0</v>
      </c>
    </row>
    <row r="812" spans="1:12" x14ac:dyDescent="0.35">
      <c r="A812" s="1">
        <v>45108</v>
      </c>
      <c r="B812" t="s">
        <v>10</v>
      </c>
      <c r="C812" t="s">
        <v>23</v>
      </c>
      <c r="D812">
        <f>AVERAGE(1715,1400,1400,1317,1300)</f>
        <v>1426.4</v>
      </c>
      <c r="E812">
        <v>1</v>
      </c>
      <c r="F812">
        <v>31.703032</v>
      </c>
      <c r="G812">
        <v>50.199997000000003</v>
      </c>
      <c r="H812">
        <v>319.2903</v>
      </c>
      <c r="I812">
        <v>6.3</v>
      </c>
      <c r="J812">
        <v>306</v>
      </c>
      <c r="L812">
        <v>0</v>
      </c>
    </row>
    <row r="813" spans="1:12" x14ac:dyDescent="0.35">
      <c r="A813" s="1">
        <v>45108</v>
      </c>
      <c r="B813" t="s">
        <v>10</v>
      </c>
      <c r="C813" t="s">
        <v>24</v>
      </c>
      <c r="D813">
        <f>AVERAGE(1453,1448,1501,1690,1744)</f>
        <v>1567.2</v>
      </c>
      <c r="E813">
        <v>1</v>
      </c>
      <c r="F813">
        <v>35.657609999999998</v>
      </c>
      <c r="G813">
        <v>56.2</v>
      </c>
      <c r="H813">
        <v>319.2903</v>
      </c>
      <c r="I813">
        <v>6.3</v>
      </c>
      <c r="J813">
        <v>306</v>
      </c>
      <c r="L813">
        <v>0</v>
      </c>
    </row>
    <row r="814" spans="1:12" x14ac:dyDescent="0.35">
      <c r="A814" s="1">
        <v>45108</v>
      </c>
      <c r="B814" t="s">
        <v>25</v>
      </c>
      <c r="C814" t="s">
        <v>11</v>
      </c>
      <c r="D814">
        <f>AVERAGE(2322,2200,2208,2667,2666)</f>
        <v>2412.6</v>
      </c>
      <c r="E814">
        <v>1</v>
      </c>
      <c r="F814">
        <v>27.713000999999998</v>
      </c>
      <c r="G814">
        <v>135.90001000000001</v>
      </c>
      <c r="H814">
        <v>319.2903</v>
      </c>
      <c r="I814">
        <v>6.3</v>
      </c>
      <c r="J814">
        <v>306</v>
      </c>
      <c r="L814">
        <v>0</v>
      </c>
    </row>
    <row r="815" spans="1:12" x14ac:dyDescent="0.35">
      <c r="A815" s="1">
        <v>45108</v>
      </c>
      <c r="B815" t="s">
        <v>25</v>
      </c>
      <c r="C815" t="s">
        <v>12</v>
      </c>
      <c r="D815">
        <f>AVERAGE(2500,2327,2292,2419,2108)</f>
        <v>2329.1999999999998</v>
      </c>
      <c r="E815">
        <v>1</v>
      </c>
      <c r="F815">
        <v>28.062777000000001</v>
      </c>
      <c r="G815">
        <v>150</v>
      </c>
      <c r="H815">
        <v>319.2903</v>
      </c>
      <c r="I815">
        <v>6.3</v>
      </c>
      <c r="J815">
        <v>306</v>
      </c>
      <c r="L815">
        <v>0</v>
      </c>
    </row>
    <row r="816" spans="1:12" x14ac:dyDescent="0.35">
      <c r="A816" s="1">
        <v>45108</v>
      </c>
      <c r="B816" t="s">
        <v>25</v>
      </c>
      <c r="C816" t="s">
        <v>14</v>
      </c>
      <c r="D816">
        <f>AVERAGE(2050,2150,2300,2116)</f>
        <v>2154</v>
      </c>
      <c r="E816">
        <v>1</v>
      </c>
      <c r="F816">
        <v>28.789774000000001</v>
      </c>
      <c r="G816">
        <v>241.59998999999999</v>
      </c>
      <c r="H816">
        <v>319.2903</v>
      </c>
      <c r="I816">
        <v>6.3</v>
      </c>
      <c r="J816">
        <v>306</v>
      </c>
      <c r="L816">
        <v>0</v>
      </c>
    </row>
    <row r="817" spans="1:12" x14ac:dyDescent="0.35">
      <c r="A817" s="1">
        <v>45108</v>
      </c>
      <c r="B817" t="s">
        <v>25</v>
      </c>
      <c r="C817" t="s">
        <v>16</v>
      </c>
      <c r="D817">
        <f>AVERAGE(2150,2083,2016,2133,2200)</f>
        <v>2116.4</v>
      </c>
      <c r="E817">
        <v>1</v>
      </c>
      <c r="F817">
        <v>30.219902000000001</v>
      </c>
      <c r="G817">
        <v>84.7</v>
      </c>
      <c r="H817">
        <v>319.2903</v>
      </c>
      <c r="I817">
        <v>6.3</v>
      </c>
      <c r="J817">
        <v>306</v>
      </c>
      <c r="L817">
        <v>0</v>
      </c>
    </row>
    <row r="818" spans="1:12" x14ac:dyDescent="0.35">
      <c r="A818" s="1">
        <v>45108</v>
      </c>
      <c r="B818" t="s">
        <v>25</v>
      </c>
      <c r="C818" t="s">
        <v>24</v>
      </c>
      <c r="D818">
        <f>AVERAGE(2250,2200,2170,2160,2125)</f>
        <v>2181</v>
      </c>
      <c r="E818">
        <v>1</v>
      </c>
      <c r="F818">
        <v>35.657609999999998</v>
      </c>
      <c r="G818">
        <v>56.2</v>
      </c>
      <c r="H818">
        <v>319.2903</v>
      </c>
      <c r="I818">
        <v>6.3</v>
      </c>
      <c r="J818">
        <v>306</v>
      </c>
      <c r="L818">
        <v>0</v>
      </c>
    </row>
    <row r="819" spans="1:12" x14ac:dyDescent="0.35">
      <c r="A819" s="1">
        <v>45139</v>
      </c>
      <c r="B819" t="s">
        <v>10</v>
      </c>
      <c r="C819" t="s">
        <v>11</v>
      </c>
      <c r="D819">
        <f>AVERAGE(1958,1912,1906,1993)</f>
        <v>1942.25</v>
      </c>
      <c r="E819">
        <v>1</v>
      </c>
      <c r="F819">
        <v>30.69042</v>
      </c>
      <c r="G819">
        <v>33.700000000000003</v>
      </c>
      <c r="H819">
        <v>321.57639999999998</v>
      </c>
      <c r="I819">
        <v>4</v>
      </c>
      <c r="J819">
        <v>341</v>
      </c>
      <c r="L819">
        <v>0</v>
      </c>
    </row>
    <row r="820" spans="1:12" x14ac:dyDescent="0.35">
      <c r="A820" s="1">
        <v>45139</v>
      </c>
      <c r="B820" t="s">
        <v>10</v>
      </c>
      <c r="C820" t="s">
        <v>12</v>
      </c>
      <c r="D820">
        <f>AVERAGE(2010,1945,1932,2000)</f>
        <v>1971.75</v>
      </c>
      <c r="E820">
        <v>1</v>
      </c>
      <c r="F820">
        <v>30.725680000000001</v>
      </c>
      <c r="G820">
        <v>53.9</v>
      </c>
      <c r="H820">
        <v>321.57639999999998</v>
      </c>
      <c r="I820">
        <v>4</v>
      </c>
      <c r="J820">
        <v>341</v>
      </c>
      <c r="L820">
        <v>0</v>
      </c>
    </row>
    <row r="821" spans="1:12" x14ac:dyDescent="0.35">
      <c r="A821" s="1">
        <v>45139</v>
      </c>
      <c r="B821" t="s">
        <v>10</v>
      </c>
      <c r="C821" t="s">
        <v>13</v>
      </c>
      <c r="D821">
        <f>AVERAGE(2056,1853,1850,1863)</f>
        <v>1905.5</v>
      </c>
      <c r="E821">
        <v>1</v>
      </c>
      <c r="F821">
        <v>20.199304999999999</v>
      </c>
      <c r="G821">
        <v>102</v>
      </c>
      <c r="H821">
        <v>321.57639999999998</v>
      </c>
      <c r="I821">
        <v>4</v>
      </c>
      <c r="J821">
        <v>341</v>
      </c>
      <c r="L821">
        <v>0</v>
      </c>
    </row>
    <row r="822" spans="1:12" x14ac:dyDescent="0.35">
      <c r="A822" s="1">
        <v>45139</v>
      </c>
      <c r="B822" t="s">
        <v>10</v>
      </c>
      <c r="C822" t="s">
        <v>14</v>
      </c>
      <c r="D822">
        <f>AVERAGE(1966,1916,1750,1966)</f>
        <v>1899.5</v>
      </c>
      <c r="E822">
        <v>1</v>
      </c>
      <c r="F822">
        <v>30.938161999999998</v>
      </c>
      <c r="G822">
        <v>50.4</v>
      </c>
      <c r="H822">
        <v>321.57639999999998</v>
      </c>
      <c r="I822">
        <v>4</v>
      </c>
      <c r="J822">
        <v>341</v>
      </c>
      <c r="L822">
        <v>0</v>
      </c>
    </row>
    <row r="823" spans="1:12" x14ac:dyDescent="0.35">
      <c r="A823" s="1">
        <v>45139</v>
      </c>
      <c r="B823" t="s">
        <v>10</v>
      </c>
      <c r="C823" t="s">
        <v>15</v>
      </c>
      <c r="D823">
        <f>AVERAGE(2005,2000,1925,1950)</f>
        <v>1970</v>
      </c>
      <c r="E823">
        <v>1</v>
      </c>
      <c r="F823">
        <v>30.010096000000001</v>
      </c>
      <c r="G823">
        <v>221.5</v>
      </c>
      <c r="H823">
        <v>321.57639999999998</v>
      </c>
      <c r="I823">
        <v>4</v>
      </c>
      <c r="J823">
        <v>341</v>
      </c>
      <c r="L823">
        <v>0</v>
      </c>
    </row>
    <row r="824" spans="1:12" x14ac:dyDescent="0.35">
      <c r="A824" s="1">
        <v>45139</v>
      </c>
      <c r="B824" t="s">
        <v>10</v>
      </c>
      <c r="C824" t="s">
        <v>16</v>
      </c>
      <c r="D824">
        <f>AVERAGE(1883,1900,1924,1961)</f>
        <v>1917</v>
      </c>
      <c r="E824">
        <v>1</v>
      </c>
      <c r="F824">
        <v>31.592483999999999</v>
      </c>
      <c r="G824">
        <v>119.5</v>
      </c>
      <c r="H824">
        <v>321.57639999999998</v>
      </c>
      <c r="I824">
        <v>4</v>
      </c>
      <c r="J824">
        <v>341</v>
      </c>
      <c r="L824">
        <v>0</v>
      </c>
    </row>
    <row r="825" spans="1:12" x14ac:dyDescent="0.35">
      <c r="A825" s="1">
        <v>45139</v>
      </c>
      <c r="B825" t="s">
        <v>10</v>
      </c>
      <c r="C825" t="s">
        <v>17</v>
      </c>
      <c r="D825">
        <f>AVERAGE(1883,1883,1883,2267)</f>
        <v>1979</v>
      </c>
      <c r="E825">
        <v>1</v>
      </c>
      <c r="F825">
        <v>32.414065999999998</v>
      </c>
      <c r="G825">
        <v>40.200000000000003</v>
      </c>
      <c r="H825">
        <v>321.57639999999998</v>
      </c>
      <c r="I825">
        <v>4</v>
      </c>
      <c r="J825">
        <v>341</v>
      </c>
      <c r="L825">
        <v>0</v>
      </c>
    </row>
    <row r="826" spans="1:12" x14ac:dyDescent="0.35">
      <c r="A826" s="1">
        <v>45139</v>
      </c>
      <c r="B826" t="s">
        <v>10</v>
      </c>
      <c r="C826" t="s">
        <v>18</v>
      </c>
      <c r="D826">
        <f>AVERAGE(1763,1713,1788,1863)</f>
        <v>1781.75</v>
      </c>
      <c r="E826">
        <v>1</v>
      </c>
      <c r="F826">
        <v>29.044969999999999</v>
      </c>
      <c r="G826">
        <v>170</v>
      </c>
      <c r="H826">
        <v>321.57639999999998</v>
      </c>
      <c r="I826">
        <v>4</v>
      </c>
      <c r="J826">
        <v>341</v>
      </c>
      <c r="L826">
        <v>0</v>
      </c>
    </row>
    <row r="827" spans="1:12" x14ac:dyDescent="0.35">
      <c r="A827" s="1">
        <v>45139</v>
      </c>
      <c r="B827" t="s">
        <v>10</v>
      </c>
      <c r="C827" t="s">
        <v>19</v>
      </c>
      <c r="D827">
        <f>AVERAGE(1880,1857,1860,1870)</f>
        <v>1866.75</v>
      </c>
      <c r="E827">
        <v>1</v>
      </c>
      <c r="F827">
        <v>29.778549999999999</v>
      </c>
      <c r="G827">
        <v>138.19999999999999</v>
      </c>
      <c r="H827">
        <v>321.57639999999998</v>
      </c>
      <c r="I827">
        <v>4</v>
      </c>
      <c r="J827">
        <v>341</v>
      </c>
      <c r="L827">
        <v>0</v>
      </c>
    </row>
    <row r="828" spans="1:12" x14ac:dyDescent="0.35">
      <c r="A828" s="1">
        <v>45139</v>
      </c>
      <c r="B828" t="s">
        <v>10</v>
      </c>
      <c r="C828" t="s">
        <v>20</v>
      </c>
      <c r="D828">
        <f>AVERAGE(1770,1800,1800,1840)</f>
        <v>1802.5</v>
      </c>
      <c r="E828">
        <v>1</v>
      </c>
      <c r="F828">
        <v>29.267354999999998</v>
      </c>
      <c r="G828">
        <v>187.8</v>
      </c>
      <c r="H828">
        <v>321.57639999999998</v>
      </c>
      <c r="I828">
        <v>4</v>
      </c>
      <c r="J828">
        <v>341</v>
      </c>
      <c r="L828">
        <v>0</v>
      </c>
    </row>
    <row r="829" spans="1:12" x14ac:dyDescent="0.35">
      <c r="A829" s="1">
        <v>45139</v>
      </c>
      <c r="B829" t="s">
        <v>10</v>
      </c>
      <c r="C829" t="s">
        <v>21</v>
      </c>
      <c r="D829">
        <f>AVERAGE(1960,1900,1880,1850)</f>
        <v>1897.5</v>
      </c>
      <c r="E829">
        <v>1</v>
      </c>
      <c r="F829">
        <v>29.155805999999998</v>
      </c>
      <c r="G829">
        <v>210.3</v>
      </c>
      <c r="H829">
        <v>321.57639999999998</v>
      </c>
      <c r="I829">
        <v>4</v>
      </c>
      <c r="J829">
        <v>341</v>
      </c>
      <c r="L829">
        <v>0</v>
      </c>
    </row>
    <row r="830" spans="1:12" x14ac:dyDescent="0.35">
      <c r="A830" s="1">
        <v>45139</v>
      </c>
      <c r="B830" t="s">
        <v>10</v>
      </c>
      <c r="C830" t="s">
        <v>22</v>
      </c>
      <c r="D830">
        <f>AVERAGE(1907,1885,1926,1990)</f>
        <v>1927</v>
      </c>
      <c r="E830">
        <v>1</v>
      </c>
      <c r="F830">
        <v>28.35455</v>
      </c>
      <c r="G830">
        <v>125.1</v>
      </c>
      <c r="H830">
        <v>321.57639999999998</v>
      </c>
      <c r="I830">
        <v>4</v>
      </c>
      <c r="J830">
        <v>341</v>
      </c>
      <c r="L830">
        <v>0</v>
      </c>
    </row>
    <row r="831" spans="1:12" x14ac:dyDescent="0.35">
      <c r="A831" s="1">
        <v>45139</v>
      </c>
      <c r="B831" t="s">
        <v>10</v>
      </c>
      <c r="C831" t="s">
        <v>23</v>
      </c>
      <c r="D831">
        <f>AVERAGE(2000,2000,1960,1965)</f>
        <v>1981.25</v>
      </c>
      <c r="E831">
        <v>1</v>
      </c>
      <c r="F831">
        <v>32.162709999999997</v>
      </c>
      <c r="G831">
        <v>31.100002</v>
      </c>
      <c r="H831">
        <v>321.57639999999998</v>
      </c>
      <c r="I831">
        <v>4</v>
      </c>
      <c r="J831">
        <v>341</v>
      </c>
      <c r="L831">
        <v>0</v>
      </c>
    </row>
    <row r="832" spans="1:12" x14ac:dyDescent="0.35">
      <c r="A832" s="1">
        <v>45139</v>
      </c>
      <c r="B832" t="s">
        <v>10</v>
      </c>
      <c r="C832" t="s">
        <v>24</v>
      </c>
      <c r="D832">
        <f>AVERAGE(2010,1950,1956,2008)</f>
        <v>1981</v>
      </c>
      <c r="E832">
        <v>1</v>
      </c>
      <c r="F832">
        <v>37.396320000000003</v>
      </c>
      <c r="G832">
        <v>28.1</v>
      </c>
      <c r="H832">
        <v>321.57639999999998</v>
      </c>
      <c r="I832">
        <v>4</v>
      </c>
      <c r="J832">
        <v>341</v>
      </c>
      <c r="L832">
        <v>0</v>
      </c>
    </row>
    <row r="833" spans="1:12" x14ac:dyDescent="0.35">
      <c r="A833" s="1">
        <v>45139</v>
      </c>
      <c r="B833" t="s">
        <v>25</v>
      </c>
      <c r="C833" t="s">
        <v>11</v>
      </c>
      <c r="D833">
        <f>AVERAGE(2650,2717,2533,2667)</f>
        <v>2641.75</v>
      </c>
      <c r="E833">
        <v>1</v>
      </c>
      <c r="F833">
        <v>30.69042</v>
      </c>
      <c r="G833">
        <v>33.700000000000003</v>
      </c>
      <c r="H833">
        <v>321.57639999999998</v>
      </c>
      <c r="I833">
        <v>4</v>
      </c>
      <c r="J833">
        <v>341</v>
      </c>
      <c r="L833">
        <v>0</v>
      </c>
    </row>
    <row r="834" spans="1:12" x14ac:dyDescent="0.35">
      <c r="A834" s="1">
        <v>45139</v>
      </c>
      <c r="B834" t="s">
        <v>25</v>
      </c>
      <c r="C834" t="s">
        <v>12</v>
      </c>
      <c r="D834">
        <f>AVERAGE(2800,2571,2594,2735)</f>
        <v>2675</v>
      </c>
      <c r="E834">
        <v>1</v>
      </c>
      <c r="F834">
        <v>30.725680000000001</v>
      </c>
      <c r="G834">
        <v>53.9</v>
      </c>
      <c r="H834">
        <v>321.57639999999998</v>
      </c>
      <c r="I834">
        <v>4</v>
      </c>
      <c r="J834">
        <v>341</v>
      </c>
      <c r="L834">
        <v>0</v>
      </c>
    </row>
    <row r="835" spans="1:12" x14ac:dyDescent="0.35">
      <c r="A835" s="1">
        <v>45139</v>
      </c>
      <c r="B835" t="s">
        <v>25</v>
      </c>
      <c r="C835" t="s">
        <v>14</v>
      </c>
      <c r="D835">
        <f>AVERAGE(2433,2400,2000,2650)</f>
        <v>2370.75</v>
      </c>
      <c r="E835">
        <v>1</v>
      </c>
      <c r="F835">
        <v>30.938161999999998</v>
      </c>
      <c r="G835">
        <v>50.4</v>
      </c>
      <c r="H835">
        <v>321.57639999999998</v>
      </c>
      <c r="I835">
        <v>4</v>
      </c>
      <c r="J835">
        <v>341</v>
      </c>
      <c r="L835">
        <v>0</v>
      </c>
    </row>
    <row r="836" spans="1:12" x14ac:dyDescent="0.35">
      <c r="A836" s="1">
        <v>45139</v>
      </c>
      <c r="B836" t="s">
        <v>25</v>
      </c>
      <c r="C836" t="s">
        <v>16</v>
      </c>
      <c r="D836">
        <f>AVERAGE(2333,2335,2375,2250)</f>
        <v>2323.25</v>
      </c>
      <c r="E836">
        <v>1</v>
      </c>
      <c r="F836">
        <v>31.592483999999999</v>
      </c>
      <c r="G836">
        <v>119.5</v>
      </c>
      <c r="H836">
        <v>321.57639999999998</v>
      </c>
      <c r="I836">
        <v>4</v>
      </c>
      <c r="J836">
        <v>341</v>
      </c>
      <c r="L836">
        <v>0</v>
      </c>
    </row>
    <row r="837" spans="1:12" x14ac:dyDescent="0.35">
      <c r="A837" s="1">
        <v>45139</v>
      </c>
      <c r="B837" t="s">
        <v>25</v>
      </c>
      <c r="C837" t="s">
        <v>24</v>
      </c>
      <c r="D837">
        <f>AVERAGE(2460,2410,2350,2340)</f>
        <v>2390</v>
      </c>
      <c r="E837">
        <v>1</v>
      </c>
      <c r="F837">
        <v>37.396320000000003</v>
      </c>
      <c r="G837">
        <v>28.1</v>
      </c>
      <c r="H837">
        <v>321.57639999999998</v>
      </c>
      <c r="I837">
        <v>4</v>
      </c>
      <c r="J837">
        <v>341</v>
      </c>
      <c r="L837">
        <v>0</v>
      </c>
    </row>
    <row r="838" spans="1:12" x14ac:dyDescent="0.35">
      <c r="A838" s="1">
        <v>45170</v>
      </c>
      <c r="B838" t="s">
        <v>10</v>
      </c>
      <c r="C838" t="s">
        <v>11</v>
      </c>
      <c r="D838">
        <f>AVERAGE(1896,1965,1973,1954)</f>
        <v>1947</v>
      </c>
      <c r="E838">
        <v>0</v>
      </c>
      <c r="F838">
        <v>27.736333999999999</v>
      </c>
      <c r="G838">
        <v>120.2</v>
      </c>
      <c r="H838">
        <v>322.76929999999999</v>
      </c>
      <c r="I838">
        <v>1.3</v>
      </c>
      <c r="J838">
        <v>351</v>
      </c>
      <c r="L838">
        <v>0</v>
      </c>
    </row>
    <row r="839" spans="1:12" x14ac:dyDescent="0.35">
      <c r="A839" s="1">
        <v>45170</v>
      </c>
      <c r="B839" t="s">
        <v>10</v>
      </c>
      <c r="C839" t="s">
        <v>12</v>
      </c>
      <c r="D839">
        <f>AVERAGE(1975,1992,1997,1912)</f>
        <v>1969</v>
      </c>
      <c r="E839">
        <v>0</v>
      </c>
      <c r="F839">
        <v>27.764334000000002</v>
      </c>
      <c r="G839">
        <v>206.8</v>
      </c>
      <c r="H839">
        <v>322.76929999999999</v>
      </c>
      <c r="I839">
        <v>1.3</v>
      </c>
      <c r="J839">
        <v>351</v>
      </c>
      <c r="L839">
        <v>0</v>
      </c>
    </row>
    <row r="840" spans="1:12" x14ac:dyDescent="0.35">
      <c r="A840" s="1">
        <v>45170</v>
      </c>
      <c r="B840" t="s">
        <v>10</v>
      </c>
      <c r="C840" t="s">
        <v>13</v>
      </c>
      <c r="D840">
        <f>AVERAGE(1906,1933,1923,1896)</f>
        <v>1914.5</v>
      </c>
      <c r="E840">
        <v>0</v>
      </c>
      <c r="F840">
        <v>18.773499000000001</v>
      </c>
      <c r="G840">
        <v>264.89999999999998</v>
      </c>
      <c r="H840">
        <v>322.76929999999999</v>
      </c>
      <c r="I840">
        <v>1.3</v>
      </c>
      <c r="J840">
        <v>351</v>
      </c>
      <c r="L840">
        <v>0</v>
      </c>
    </row>
    <row r="841" spans="1:12" x14ac:dyDescent="0.35">
      <c r="A841" s="1">
        <v>45170</v>
      </c>
      <c r="B841" t="s">
        <v>10</v>
      </c>
      <c r="C841" t="s">
        <v>14</v>
      </c>
      <c r="D841">
        <f>AVERAGE(1966,1966,1950,1983)</f>
        <v>1966.25</v>
      </c>
      <c r="E841">
        <v>0</v>
      </c>
      <c r="F841">
        <v>28.059666</v>
      </c>
      <c r="G841">
        <v>329.30002000000002</v>
      </c>
      <c r="H841">
        <v>322.76929999999999</v>
      </c>
      <c r="I841">
        <v>1.3</v>
      </c>
      <c r="J841">
        <v>351</v>
      </c>
      <c r="L841">
        <v>0</v>
      </c>
    </row>
    <row r="842" spans="1:12" x14ac:dyDescent="0.35">
      <c r="A842" s="1">
        <v>45170</v>
      </c>
      <c r="B842" t="s">
        <v>10</v>
      </c>
      <c r="C842" t="s">
        <v>15</v>
      </c>
      <c r="D842">
        <f>AVERAGE(1888,1930,1988,1970)</f>
        <v>1944</v>
      </c>
      <c r="E842">
        <v>0</v>
      </c>
      <c r="F842">
        <v>28.536335000000001</v>
      </c>
      <c r="G842">
        <v>719.9</v>
      </c>
      <c r="H842">
        <v>322.76929999999999</v>
      </c>
      <c r="I842">
        <v>1.3</v>
      </c>
      <c r="J842">
        <v>351</v>
      </c>
      <c r="L842">
        <v>0</v>
      </c>
    </row>
    <row r="843" spans="1:12" x14ac:dyDescent="0.35">
      <c r="A843" s="1">
        <v>45170</v>
      </c>
      <c r="B843" t="s">
        <v>10</v>
      </c>
      <c r="C843" t="s">
        <v>16</v>
      </c>
      <c r="D843">
        <f>AVERAGE(1933,1950,1955,1908)</f>
        <v>1936.5</v>
      </c>
      <c r="E843">
        <v>0</v>
      </c>
      <c r="F843">
        <v>28.125332</v>
      </c>
      <c r="G843">
        <v>213</v>
      </c>
      <c r="H843">
        <v>322.76929999999999</v>
      </c>
      <c r="I843">
        <v>1.3</v>
      </c>
      <c r="J843">
        <v>351</v>
      </c>
      <c r="L843">
        <v>0</v>
      </c>
    </row>
    <row r="844" spans="1:12" x14ac:dyDescent="0.35">
      <c r="A844" s="1">
        <v>45170</v>
      </c>
      <c r="B844" t="s">
        <v>10</v>
      </c>
      <c r="C844" t="s">
        <v>17</v>
      </c>
      <c r="D844">
        <f>AVERAGE(1908,1925,1933,1900)</f>
        <v>1916.5</v>
      </c>
      <c r="E844">
        <v>0</v>
      </c>
      <c r="F844">
        <v>28.949332999999999</v>
      </c>
      <c r="G844">
        <v>196</v>
      </c>
      <c r="H844">
        <v>322.76929999999999</v>
      </c>
      <c r="I844">
        <v>1.3</v>
      </c>
      <c r="J844">
        <v>351</v>
      </c>
      <c r="L844">
        <v>0</v>
      </c>
    </row>
    <row r="845" spans="1:12" x14ac:dyDescent="0.35">
      <c r="A845" s="1">
        <v>45170</v>
      </c>
      <c r="B845" t="s">
        <v>10</v>
      </c>
      <c r="C845" t="s">
        <v>18</v>
      </c>
      <c r="D845">
        <f>AVERAGE(1837,1813,1825,1788)</f>
        <v>1815.75</v>
      </c>
      <c r="E845">
        <v>0</v>
      </c>
      <c r="F845">
        <v>28.280667999999999</v>
      </c>
      <c r="G845">
        <v>561.5</v>
      </c>
      <c r="H845">
        <v>322.76929999999999</v>
      </c>
      <c r="I845">
        <v>1.3</v>
      </c>
      <c r="J845">
        <v>351</v>
      </c>
      <c r="L845">
        <v>0</v>
      </c>
    </row>
    <row r="846" spans="1:12" x14ac:dyDescent="0.35">
      <c r="A846" s="1">
        <v>45170</v>
      </c>
      <c r="B846" t="s">
        <v>10</v>
      </c>
      <c r="C846" t="s">
        <v>19</v>
      </c>
      <c r="D846">
        <f>AVERAGE(1900,1880,1890,1880)</f>
        <v>1887.5</v>
      </c>
      <c r="E846">
        <v>0</v>
      </c>
      <c r="F846">
        <v>28.631665999999999</v>
      </c>
      <c r="G846">
        <v>553.10004000000004</v>
      </c>
      <c r="H846">
        <v>322.76929999999999</v>
      </c>
      <c r="I846">
        <v>1.3</v>
      </c>
      <c r="J846">
        <v>351</v>
      </c>
      <c r="L846">
        <v>0</v>
      </c>
    </row>
    <row r="847" spans="1:12" x14ac:dyDescent="0.35">
      <c r="A847" s="1">
        <v>45170</v>
      </c>
      <c r="B847" t="s">
        <v>10</v>
      </c>
      <c r="C847" t="s">
        <v>20</v>
      </c>
      <c r="D847">
        <f>AVERAGE(1840,1870,1850,1850)</f>
        <v>1852.5</v>
      </c>
      <c r="E847">
        <v>0</v>
      </c>
      <c r="F847">
        <v>28.488</v>
      </c>
      <c r="G847">
        <v>573</v>
      </c>
      <c r="H847">
        <v>322.76929999999999</v>
      </c>
      <c r="I847">
        <v>1.3</v>
      </c>
      <c r="J847">
        <v>351</v>
      </c>
      <c r="L847">
        <v>0</v>
      </c>
    </row>
    <row r="848" spans="1:12" x14ac:dyDescent="0.35">
      <c r="A848" s="1">
        <v>45170</v>
      </c>
      <c r="B848" t="s">
        <v>10</v>
      </c>
      <c r="C848" t="s">
        <v>21</v>
      </c>
      <c r="D848">
        <f>AVERAGE(1825,1950,1950,1925)</f>
        <v>1912.5</v>
      </c>
      <c r="E848">
        <v>0</v>
      </c>
      <c r="F848">
        <v>28.353332999999999</v>
      </c>
      <c r="G848">
        <v>623.4</v>
      </c>
      <c r="H848">
        <v>322.76929999999999</v>
      </c>
      <c r="I848">
        <v>1.3</v>
      </c>
      <c r="J848">
        <v>351</v>
      </c>
      <c r="L848">
        <v>0</v>
      </c>
    </row>
    <row r="849" spans="1:12" x14ac:dyDescent="0.35">
      <c r="A849" s="1">
        <v>45170</v>
      </c>
      <c r="B849" t="s">
        <v>10</v>
      </c>
      <c r="C849" t="s">
        <v>22</v>
      </c>
      <c r="D849">
        <f>AVERAGE(1941,1974,1950,1888)</f>
        <v>1938.25</v>
      </c>
      <c r="E849">
        <v>0</v>
      </c>
      <c r="F849">
        <v>28.116001000000001</v>
      </c>
      <c r="G849">
        <v>449.4</v>
      </c>
      <c r="H849">
        <v>322.76929999999999</v>
      </c>
      <c r="I849">
        <v>1.3</v>
      </c>
      <c r="J849">
        <v>351</v>
      </c>
      <c r="L849">
        <v>0</v>
      </c>
    </row>
    <row r="850" spans="1:12" x14ac:dyDescent="0.35">
      <c r="A850" s="1">
        <v>45170</v>
      </c>
      <c r="B850" t="s">
        <v>10</v>
      </c>
      <c r="C850" t="s">
        <v>23</v>
      </c>
      <c r="D850">
        <f>AVERAGE(1875,1986,2000,2000)</f>
        <v>1965.25</v>
      </c>
      <c r="E850">
        <v>0</v>
      </c>
      <c r="F850">
        <v>29.607334000000002</v>
      </c>
      <c r="G850">
        <v>172.8</v>
      </c>
      <c r="H850">
        <v>322.76929999999999</v>
      </c>
      <c r="I850">
        <v>1.3</v>
      </c>
      <c r="J850">
        <v>351</v>
      </c>
      <c r="L850">
        <v>0</v>
      </c>
    </row>
    <row r="851" spans="1:12" x14ac:dyDescent="0.35">
      <c r="A851" s="1">
        <v>45170</v>
      </c>
      <c r="B851" t="s">
        <v>10</v>
      </c>
      <c r="C851" t="s">
        <v>24</v>
      </c>
      <c r="D851">
        <f>AVERAGE(2020,2000,2012,1920)</f>
        <v>1988</v>
      </c>
      <c r="E851">
        <v>0</v>
      </c>
      <c r="F851">
        <v>32.327663000000001</v>
      </c>
      <c r="G851">
        <v>98.7</v>
      </c>
      <c r="H851">
        <v>322.76929999999999</v>
      </c>
      <c r="I851">
        <v>1.3</v>
      </c>
      <c r="J851">
        <v>351</v>
      </c>
      <c r="L851">
        <v>0</v>
      </c>
    </row>
    <row r="852" spans="1:12" x14ac:dyDescent="0.35">
      <c r="A852" s="1">
        <v>45170</v>
      </c>
      <c r="B852" t="s">
        <v>25</v>
      </c>
      <c r="C852" t="s">
        <v>11</v>
      </c>
      <c r="D852">
        <f>AVERAGE(2589,2700,2628,2550)</f>
        <v>2616.75</v>
      </c>
      <c r="E852">
        <v>0</v>
      </c>
      <c r="F852">
        <v>27.736333999999999</v>
      </c>
      <c r="G852">
        <v>120.2</v>
      </c>
      <c r="H852">
        <v>322.76929999999999</v>
      </c>
      <c r="I852">
        <v>1.3</v>
      </c>
      <c r="J852">
        <v>351</v>
      </c>
      <c r="L852">
        <v>0</v>
      </c>
    </row>
    <row r="853" spans="1:12" x14ac:dyDescent="0.35">
      <c r="A853" s="1">
        <v>45170</v>
      </c>
      <c r="B853" t="s">
        <v>25</v>
      </c>
      <c r="C853" t="s">
        <v>12</v>
      </c>
      <c r="D853">
        <f>AVERAGE(2613,2601,2700,2713)</f>
        <v>2656.75</v>
      </c>
      <c r="E853">
        <v>0</v>
      </c>
      <c r="F853">
        <v>27.764334000000002</v>
      </c>
      <c r="G853">
        <v>206.8</v>
      </c>
      <c r="H853">
        <v>322.76929999999999</v>
      </c>
      <c r="I853">
        <v>1.3</v>
      </c>
      <c r="J853">
        <v>351</v>
      </c>
      <c r="L853">
        <v>0</v>
      </c>
    </row>
    <row r="854" spans="1:12" x14ac:dyDescent="0.35">
      <c r="A854" s="1">
        <v>45170</v>
      </c>
      <c r="B854" t="s">
        <v>25</v>
      </c>
      <c r="C854" t="s">
        <v>14</v>
      </c>
      <c r="D854">
        <f>AVERAGE(2466,2466,2500,2650)</f>
        <v>2520.5</v>
      </c>
      <c r="E854">
        <v>0</v>
      </c>
      <c r="F854">
        <v>28.059666</v>
      </c>
      <c r="G854">
        <v>329.30002000000002</v>
      </c>
      <c r="H854">
        <v>322.76929999999999</v>
      </c>
      <c r="I854">
        <v>1.3</v>
      </c>
      <c r="J854">
        <v>351</v>
      </c>
      <c r="L854">
        <v>0</v>
      </c>
    </row>
    <row r="855" spans="1:12" x14ac:dyDescent="0.35">
      <c r="A855" s="1">
        <v>45170</v>
      </c>
      <c r="B855" t="s">
        <v>25</v>
      </c>
      <c r="C855" t="s">
        <v>16</v>
      </c>
      <c r="D855">
        <f>AVERAGE(2250,2383,2383,2316)</f>
        <v>2333</v>
      </c>
      <c r="E855">
        <v>0</v>
      </c>
      <c r="F855">
        <v>28.125332</v>
      </c>
      <c r="G855">
        <v>213</v>
      </c>
      <c r="H855">
        <v>322.76929999999999</v>
      </c>
      <c r="I855">
        <v>1.3</v>
      </c>
      <c r="J855">
        <v>351</v>
      </c>
      <c r="L855">
        <v>0</v>
      </c>
    </row>
    <row r="856" spans="1:12" x14ac:dyDescent="0.35">
      <c r="A856" s="1">
        <v>45170</v>
      </c>
      <c r="B856" t="s">
        <v>25</v>
      </c>
      <c r="C856" t="s">
        <v>24</v>
      </c>
      <c r="D856">
        <f>AVERAGE(2430,2400,2370,2330)</f>
        <v>2382.5</v>
      </c>
      <c r="E856">
        <v>0</v>
      </c>
      <c r="F856">
        <v>32.327663000000001</v>
      </c>
      <c r="G856">
        <v>98.7</v>
      </c>
      <c r="H856">
        <v>322.76929999999999</v>
      </c>
      <c r="I856">
        <v>1.3</v>
      </c>
      <c r="J856">
        <v>351</v>
      </c>
      <c r="L856">
        <v>0</v>
      </c>
    </row>
    <row r="857" spans="1:12" x14ac:dyDescent="0.35">
      <c r="A857" s="1">
        <v>45200</v>
      </c>
      <c r="B857" t="s">
        <v>10</v>
      </c>
      <c r="C857" t="s">
        <v>11</v>
      </c>
      <c r="D857">
        <f>AVERAGE(1976,1980,1961,1921,1883)</f>
        <v>1944.2</v>
      </c>
      <c r="E857">
        <v>0</v>
      </c>
      <c r="F857">
        <v>27.450095999999998</v>
      </c>
      <c r="G857">
        <v>342.6</v>
      </c>
      <c r="H857">
        <v>324.7303</v>
      </c>
      <c r="I857">
        <v>1.5</v>
      </c>
      <c r="J857">
        <v>356</v>
      </c>
      <c r="L857">
        <v>0</v>
      </c>
    </row>
    <row r="858" spans="1:12" x14ac:dyDescent="0.35">
      <c r="A858" s="1">
        <v>45200</v>
      </c>
      <c r="B858" t="s">
        <v>10</v>
      </c>
      <c r="C858" t="s">
        <v>12</v>
      </c>
      <c r="D858">
        <f>AVERAGE(1943,1980,1988,2061,2050)</f>
        <v>2004.4</v>
      </c>
      <c r="E858">
        <v>0</v>
      </c>
      <c r="F858">
        <v>28.253098000000001</v>
      </c>
      <c r="G858">
        <v>387.6</v>
      </c>
      <c r="H858">
        <v>324.7303</v>
      </c>
      <c r="I858">
        <v>1.5</v>
      </c>
      <c r="J858">
        <v>356</v>
      </c>
      <c r="L858">
        <v>0</v>
      </c>
    </row>
    <row r="859" spans="1:12" x14ac:dyDescent="0.35">
      <c r="A859" s="1">
        <v>45200</v>
      </c>
      <c r="B859" t="s">
        <v>10</v>
      </c>
      <c r="C859" t="s">
        <v>13</v>
      </c>
      <c r="D859">
        <f>AVERAGE(1913,1926,1910,1906,1890)</f>
        <v>1909</v>
      </c>
      <c r="E859">
        <v>0</v>
      </c>
      <c r="F859">
        <v>19.363823</v>
      </c>
      <c r="G859">
        <v>489.4</v>
      </c>
      <c r="H859">
        <v>324.7303</v>
      </c>
      <c r="I859">
        <v>1.5</v>
      </c>
      <c r="J859">
        <v>356</v>
      </c>
      <c r="L859">
        <v>0</v>
      </c>
    </row>
    <row r="860" spans="1:12" x14ac:dyDescent="0.35">
      <c r="A860" s="1">
        <v>45200</v>
      </c>
      <c r="B860" t="s">
        <v>10</v>
      </c>
      <c r="C860" t="s">
        <v>14</v>
      </c>
      <c r="D860">
        <f>AVERAGE(1966,1966,1983,1966,1986)</f>
        <v>1973.4</v>
      </c>
      <c r="E860">
        <v>0</v>
      </c>
      <c r="F860">
        <v>28.789776</v>
      </c>
      <c r="G860">
        <v>413.7</v>
      </c>
      <c r="H860">
        <v>324.7303</v>
      </c>
      <c r="I860">
        <v>1.5</v>
      </c>
      <c r="J860">
        <v>356</v>
      </c>
      <c r="L860">
        <v>0</v>
      </c>
    </row>
    <row r="861" spans="1:12" x14ac:dyDescent="0.35">
      <c r="A861" s="1">
        <v>45200</v>
      </c>
      <c r="B861" t="s">
        <v>10</v>
      </c>
      <c r="C861" t="s">
        <v>15</v>
      </c>
      <c r="D861">
        <f>AVERAGE(1942,1957,1975,1995,1925)</f>
        <v>1958.8</v>
      </c>
      <c r="E861">
        <v>0</v>
      </c>
      <c r="F861">
        <v>28.887516000000002</v>
      </c>
      <c r="G861">
        <v>704.3</v>
      </c>
      <c r="H861">
        <v>324.7303</v>
      </c>
      <c r="I861">
        <v>1.5</v>
      </c>
      <c r="J861">
        <v>356</v>
      </c>
      <c r="L861">
        <v>0</v>
      </c>
    </row>
    <row r="862" spans="1:12" x14ac:dyDescent="0.35">
      <c r="A862" s="1">
        <v>45200</v>
      </c>
      <c r="B862" t="s">
        <v>10</v>
      </c>
      <c r="C862" t="s">
        <v>16</v>
      </c>
      <c r="D862">
        <f>AVERAGE(1896,1600,1620,1917,1967)</f>
        <v>1800</v>
      </c>
      <c r="E862">
        <v>0</v>
      </c>
      <c r="F862">
        <v>26.700548000000001</v>
      </c>
      <c r="G862">
        <v>386.30002000000002</v>
      </c>
      <c r="H862">
        <v>324.7303</v>
      </c>
      <c r="I862">
        <v>1.5</v>
      </c>
      <c r="J862">
        <v>356</v>
      </c>
      <c r="L862">
        <v>0</v>
      </c>
    </row>
    <row r="863" spans="1:12" x14ac:dyDescent="0.35">
      <c r="A863" s="1">
        <v>45200</v>
      </c>
      <c r="B863" t="s">
        <v>10</v>
      </c>
      <c r="C863" t="s">
        <v>17</v>
      </c>
      <c r="D863">
        <f>AVERAGE(1933,1967,2000,1908,1925)</f>
        <v>1946.6</v>
      </c>
      <c r="E863">
        <v>0</v>
      </c>
      <c r="F863">
        <v>29.754387000000001</v>
      </c>
      <c r="G863">
        <v>381.6</v>
      </c>
      <c r="H863">
        <v>324.7303</v>
      </c>
      <c r="I863">
        <v>1.5</v>
      </c>
      <c r="J863">
        <v>356</v>
      </c>
      <c r="L863">
        <v>0</v>
      </c>
    </row>
    <row r="864" spans="1:12" x14ac:dyDescent="0.35">
      <c r="A864" s="1">
        <v>45200</v>
      </c>
      <c r="B864" t="s">
        <v>10</v>
      </c>
      <c r="C864" t="s">
        <v>18</v>
      </c>
      <c r="D864">
        <f>AVERAGE(1775,1825,1913,1913,1900)</f>
        <v>1865.2</v>
      </c>
      <c r="E864">
        <v>0</v>
      </c>
      <c r="F864">
        <v>28.512709999999998</v>
      </c>
      <c r="G864">
        <v>544</v>
      </c>
      <c r="H864">
        <v>324.7303</v>
      </c>
      <c r="I864">
        <v>1.5</v>
      </c>
      <c r="J864">
        <v>356</v>
      </c>
      <c r="L864">
        <v>0</v>
      </c>
    </row>
    <row r="865" spans="1:12" x14ac:dyDescent="0.35">
      <c r="A865" s="1">
        <v>45200</v>
      </c>
      <c r="B865" t="s">
        <v>10</v>
      </c>
      <c r="C865" t="s">
        <v>19</v>
      </c>
      <c r="D865">
        <f>AVERAGE(1890,1890,1960,1925,1880)</f>
        <v>1909</v>
      </c>
      <c r="E865">
        <v>0</v>
      </c>
      <c r="F865">
        <v>29.455969</v>
      </c>
      <c r="G865">
        <v>598.1</v>
      </c>
      <c r="H865">
        <v>324.7303</v>
      </c>
      <c r="I865">
        <v>1.5</v>
      </c>
      <c r="J865">
        <v>356</v>
      </c>
      <c r="L865">
        <v>0</v>
      </c>
    </row>
    <row r="866" spans="1:12" x14ac:dyDescent="0.35">
      <c r="A866" s="1">
        <v>45200</v>
      </c>
      <c r="B866" t="s">
        <v>10</v>
      </c>
      <c r="C866" t="s">
        <v>20</v>
      </c>
      <c r="D866">
        <f>AVERAGE(1900,1900,1900,1900,1935)</f>
        <v>1907</v>
      </c>
      <c r="E866">
        <v>0</v>
      </c>
      <c r="F866">
        <v>28.693161</v>
      </c>
      <c r="G866">
        <v>610.29999999999995</v>
      </c>
      <c r="H866">
        <v>324.7303</v>
      </c>
      <c r="I866">
        <v>1.5</v>
      </c>
      <c r="J866">
        <v>356</v>
      </c>
      <c r="L866">
        <v>0</v>
      </c>
    </row>
    <row r="867" spans="1:12" x14ac:dyDescent="0.35">
      <c r="A867" s="1">
        <v>45200</v>
      </c>
      <c r="B867" t="s">
        <v>10</v>
      </c>
      <c r="C867" t="s">
        <v>21</v>
      </c>
      <c r="D867">
        <f>AVERAGE(1900,1900,1925,2000,1850)</f>
        <v>1915</v>
      </c>
      <c r="E867">
        <v>0</v>
      </c>
      <c r="F867">
        <v>28.255806</v>
      </c>
      <c r="G867">
        <v>471.1</v>
      </c>
      <c r="H867">
        <v>324.7303</v>
      </c>
      <c r="I867">
        <v>1.5</v>
      </c>
      <c r="J867">
        <v>356</v>
      </c>
      <c r="L867">
        <v>0</v>
      </c>
    </row>
    <row r="868" spans="1:12" x14ac:dyDescent="0.35">
      <c r="A868" s="1">
        <v>45200</v>
      </c>
      <c r="B868" t="s">
        <v>10</v>
      </c>
      <c r="C868" t="s">
        <v>22</v>
      </c>
      <c r="D868">
        <f>AVERAGE(1900,1997,1978,1949,1944)</f>
        <v>1953.6</v>
      </c>
      <c r="E868">
        <v>0</v>
      </c>
      <c r="F868">
        <v>27.635195</v>
      </c>
      <c r="G868">
        <v>377.30002000000002</v>
      </c>
      <c r="H868">
        <v>324.7303</v>
      </c>
      <c r="I868">
        <v>1.5</v>
      </c>
      <c r="J868">
        <v>356</v>
      </c>
      <c r="L868">
        <v>0</v>
      </c>
    </row>
    <row r="869" spans="1:12" x14ac:dyDescent="0.35">
      <c r="A869" s="1">
        <v>45200</v>
      </c>
      <c r="B869" t="s">
        <v>10</v>
      </c>
      <c r="C869" t="s">
        <v>23</v>
      </c>
      <c r="D869">
        <f>AVERAGE(1975,1950,1993,2000,1925)</f>
        <v>1968.6</v>
      </c>
      <c r="E869">
        <v>0</v>
      </c>
      <c r="F869">
        <v>28.607869999999998</v>
      </c>
      <c r="G869">
        <v>314.19997999999998</v>
      </c>
      <c r="H869">
        <v>324.7303</v>
      </c>
      <c r="I869">
        <v>1.5</v>
      </c>
      <c r="J869">
        <v>356</v>
      </c>
      <c r="L869">
        <v>0</v>
      </c>
    </row>
    <row r="870" spans="1:12" x14ac:dyDescent="0.35">
      <c r="A870" s="1">
        <v>45200</v>
      </c>
      <c r="B870" t="s">
        <v>10</v>
      </c>
      <c r="C870" t="s">
        <v>24</v>
      </c>
      <c r="D870">
        <f>AVERAGE(1980,2026,2032,1900,2260)</f>
        <v>2039.6</v>
      </c>
      <c r="E870">
        <v>0</v>
      </c>
      <c r="F870">
        <v>29.896322000000001</v>
      </c>
      <c r="G870">
        <v>377.9</v>
      </c>
      <c r="H870">
        <v>324.7303</v>
      </c>
      <c r="I870">
        <v>1.5</v>
      </c>
      <c r="J870">
        <v>356</v>
      </c>
      <c r="L870">
        <v>0</v>
      </c>
    </row>
    <row r="871" spans="1:12" x14ac:dyDescent="0.35">
      <c r="A871" s="1">
        <v>45200</v>
      </c>
      <c r="B871" t="s">
        <v>25</v>
      </c>
      <c r="C871" t="s">
        <v>11</v>
      </c>
      <c r="D871">
        <f>AVERAGE(2600,2617,2650,2658,2667)</f>
        <v>2638.4</v>
      </c>
      <c r="E871">
        <v>0</v>
      </c>
      <c r="F871">
        <v>27.450095999999998</v>
      </c>
      <c r="G871">
        <v>342.6</v>
      </c>
      <c r="H871">
        <v>324.7303</v>
      </c>
      <c r="I871">
        <v>1.5</v>
      </c>
      <c r="J871">
        <v>356</v>
      </c>
      <c r="L871">
        <v>0</v>
      </c>
    </row>
    <row r="872" spans="1:12" x14ac:dyDescent="0.35">
      <c r="A872" s="1">
        <v>45200</v>
      </c>
      <c r="B872" t="s">
        <v>25</v>
      </c>
      <c r="C872" t="s">
        <v>12</v>
      </c>
      <c r="D872">
        <f>AVERAGE(2719,2651,2688,2675,2613)</f>
        <v>2669.2</v>
      </c>
      <c r="E872">
        <v>0</v>
      </c>
      <c r="F872">
        <v>28.253098000000001</v>
      </c>
      <c r="G872">
        <v>387.6</v>
      </c>
      <c r="H872">
        <v>324.7303</v>
      </c>
      <c r="I872">
        <v>1.5</v>
      </c>
      <c r="J872">
        <v>356</v>
      </c>
      <c r="L872">
        <v>0</v>
      </c>
    </row>
    <row r="873" spans="1:12" x14ac:dyDescent="0.35">
      <c r="A873" s="1">
        <v>45200</v>
      </c>
      <c r="B873" t="s">
        <v>25</v>
      </c>
      <c r="C873" t="s">
        <v>14</v>
      </c>
      <c r="D873">
        <f>AVERAGE(2466,2600,2566,2700,2566)</f>
        <v>2579.6</v>
      </c>
      <c r="E873">
        <v>0</v>
      </c>
      <c r="F873">
        <v>28.789776</v>
      </c>
      <c r="G873">
        <v>413.7</v>
      </c>
      <c r="H873">
        <v>324.7303</v>
      </c>
      <c r="I873">
        <v>1.5</v>
      </c>
      <c r="J873">
        <v>356</v>
      </c>
      <c r="L873">
        <v>0</v>
      </c>
    </row>
    <row r="874" spans="1:12" x14ac:dyDescent="0.35">
      <c r="A874" s="1">
        <v>45200</v>
      </c>
      <c r="B874" t="s">
        <v>25</v>
      </c>
      <c r="C874" t="s">
        <v>16</v>
      </c>
      <c r="D874">
        <f>AVERAGE(2300,2284,2210,2216,2225)</f>
        <v>2247</v>
      </c>
      <c r="E874">
        <v>0</v>
      </c>
      <c r="F874">
        <v>26.700548000000001</v>
      </c>
      <c r="G874">
        <v>386.30002000000002</v>
      </c>
      <c r="H874">
        <v>324.7303</v>
      </c>
      <c r="I874">
        <v>1.5</v>
      </c>
      <c r="J874">
        <v>356</v>
      </c>
      <c r="L874">
        <v>0</v>
      </c>
    </row>
    <row r="875" spans="1:12" x14ac:dyDescent="0.35">
      <c r="A875" s="1">
        <v>45200</v>
      </c>
      <c r="B875" t="s">
        <v>25</v>
      </c>
      <c r="C875" t="s">
        <v>24</v>
      </c>
      <c r="D875">
        <f>AVERAGE(2300,2365,2260,2320,2280)</f>
        <v>2305</v>
      </c>
      <c r="E875">
        <v>0</v>
      </c>
      <c r="F875">
        <v>29.896322000000001</v>
      </c>
      <c r="G875">
        <v>377.9</v>
      </c>
      <c r="H875">
        <v>324.7303</v>
      </c>
      <c r="I875">
        <v>1.5</v>
      </c>
      <c r="J875">
        <v>356</v>
      </c>
      <c r="L875">
        <v>0</v>
      </c>
    </row>
    <row r="876" spans="1:12" x14ac:dyDescent="0.35">
      <c r="A876" s="1">
        <v>45231</v>
      </c>
      <c r="B876" t="s">
        <v>10</v>
      </c>
      <c r="C876" t="s">
        <v>11</v>
      </c>
      <c r="D876">
        <f>AVERAGE(1960,1948,1945,1972)</f>
        <v>1956.25</v>
      </c>
      <c r="E876">
        <v>1</v>
      </c>
      <c r="F876">
        <v>27.454668000000002</v>
      </c>
      <c r="G876">
        <v>569.1</v>
      </c>
      <c r="H876">
        <v>328.25</v>
      </c>
      <c r="I876">
        <v>3.4</v>
      </c>
      <c r="J876">
        <v>329</v>
      </c>
      <c r="L876">
        <v>0</v>
      </c>
    </row>
    <row r="877" spans="1:12" x14ac:dyDescent="0.35">
      <c r="A877" s="1">
        <v>45231</v>
      </c>
      <c r="B877" t="s">
        <v>10</v>
      </c>
      <c r="C877" t="s">
        <v>12</v>
      </c>
      <c r="D877">
        <f>AVERAGE(1982,1971,1973,1959)</f>
        <v>1971.25</v>
      </c>
      <c r="E877">
        <v>1</v>
      </c>
      <c r="F877">
        <v>28.517668</v>
      </c>
      <c r="G877">
        <v>640.9</v>
      </c>
      <c r="H877">
        <v>328.25</v>
      </c>
      <c r="I877">
        <v>3.4</v>
      </c>
      <c r="J877">
        <v>329</v>
      </c>
      <c r="L877">
        <v>0</v>
      </c>
    </row>
    <row r="878" spans="1:12" x14ac:dyDescent="0.35">
      <c r="A878" s="1">
        <v>45231</v>
      </c>
      <c r="B878" t="s">
        <v>10</v>
      </c>
      <c r="C878" t="s">
        <v>13</v>
      </c>
      <c r="D878">
        <f>AVERAGE(1910,1900,1896,1920)</f>
        <v>1906.5</v>
      </c>
      <c r="E878">
        <v>1</v>
      </c>
      <c r="F878">
        <v>19.821833000000002</v>
      </c>
      <c r="G878">
        <v>572.20000000000005</v>
      </c>
      <c r="H878">
        <v>328.25</v>
      </c>
      <c r="I878">
        <v>3.4</v>
      </c>
      <c r="J878">
        <v>329</v>
      </c>
      <c r="L878">
        <v>0</v>
      </c>
    </row>
    <row r="879" spans="1:12" x14ac:dyDescent="0.35">
      <c r="A879" s="1">
        <v>45231</v>
      </c>
      <c r="B879" t="s">
        <v>10</v>
      </c>
      <c r="C879" t="s">
        <v>14</v>
      </c>
      <c r="D879">
        <f>AVERAGE(1966,1920,1933,1950)</f>
        <v>1942.25</v>
      </c>
      <c r="E879">
        <v>1</v>
      </c>
      <c r="F879">
        <v>29.178000999999998</v>
      </c>
      <c r="G879">
        <v>611.5</v>
      </c>
      <c r="H879">
        <v>328.25</v>
      </c>
      <c r="I879">
        <v>3.4</v>
      </c>
      <c r="J879">
        <v>329</v>
      </c>
      <c r="L879">
        <v>0</v>
      </c>
    </row>
    <row r="880" spans="1:12" x14ac:dyDescent="0.35">
      <c r="A880" s="1">
        <v>45231</v>
      </c>
      <c r="B880" t="s">
        <v>10</v>
      </c>
      <c r="C880" t="s">
        <v>15</v>
      </c>
      <c r="D880">
        <f>AVERAGE(1900,1908,1950,1918)</f>
        <v>1919</v>
      </c>
      <c r="E880">
        <v>1</v>
      </c>
      <c r="F880">
        <v>29.326333999999999</v>
      </c>
      <c r="G880">
        <v>663.7</v>
      </c>
      <c r="H880">
        <v>328.25</v>
      </c>
      <c r="I880">
        <v>3.4</v>
      </c>
      <c r="J880">
        <v>329</v>
      </c>
      <c r="L880">
        <v>0</v>
      </c>
    </row>
    <row r="881" spans="1:12" x14ac:dyDescent="0.35">
      <c r="A881" s="1">
        <v>45231</v>
      </c>
      <c r="B881" t="s">
        <v>10</v>
      </c>
      <c r="C881" t="s">
        <v>16</v>
      </c>
      <c r="D881">
        <f>AVERAGE(1960,1970,1965,1950)</f>
        <v>1961.25</v>
      </c>
      <c r="E881">
        <v>1</v>
      </c>
      <c r="F881">
        <v>26.187000000000001</v>
      </c>
      <c r="G881">
        <v>480</v>
      </c>
      <c r="H881">
        <v>328.25</v>
      </c>
      <c r="I881">
        <v>3.4</v>
      </c>
      <c r="J881">
        <v>329</v>
      </c>
      <c r="L881">
        <v>0</v>
      </c>
    </row>
    <row r="882" spans="1:12" x14ac:dyDescent="0.35">
      <c r="A882" s="1">
        <v>45231</v>
      </c>
      <c r="B882" t="s">
        <v>10</v>
      </c>
      <c r="C882" t="s">
        <v>17</v>
      </c>
      <c r="D882">
        <f>AVERAGE(1917,1950,1957,1967)</f>
        <v>1947.75</v>
      </c>
      <c r="E882">
        <v>1</v>
      </c>
      <c r="F882">
        <v>29.885999999999999</v>
      </c>
      <c r="G882">
        <v>565.70000000000005</v>
      </c>
      <c r="H882">
        <v>328.25</v>
      </c>
      <c r="I882">
        <v>3.4</v>
      </c>
      <c r="J882">
        <v>329</v>
      </c>
      <c r="L882">
        <v>0</v>
      </c>
    </row>
    <row r="883" spans="1:12" x14ac:dyDescent="0.35">
      <c r="A883" s="1">
        <v>45231</v>
      </c>
      <c r="B883" t="s">
        <v>10</v>
      </c>
      <c r="C883" t="s">
        <v>18</v>
      </c>
      <c r="D883">
        <f>AVERAGE(1925,1950,1900,1913)</f>
        <v>1922</v>
      </c>
      <c r="E883">
        <v>1</v>
      </c>
      <c r="F883">
        <v>28.902334</v>
      </c>
      <c r="G883">
        <v>496.9</v>
      </c>
      <c r="H883">
        <v>328.25</v>
      </c>
      <c r="I883">
        <v>3.4</v>
      </c>
      <c r="J883">
        <v>329</v>
      </c>
      <c r="L883">
        <v>0</v>
      </c>
    </row>
    <row r="884" spans="1:12" x14ac:dyDescent="0.35">
      <c r="A884" s="1">
        <v>45231</v>
      </c>
      <c r="B884" t="s">
        <v>10</v>
      </c>
      <c r="C884" t="s">
        <v>19</v>
      </c>
      <c r="D884">
        <f>AVERAGE(1895,1900,1910,1920)</f>
        <v>1906.25</v>
      </c>
      <c r="E884">
        <v>1</v>
      </c>
      <c r="F884">
        <v>29.953333000000001</v>
      </c>
      <c r="G884">
        <v>521.6</v>
      </c>
      <c r="H884">
        <v>328.25</v>
      </c>
      <c r="I884">
        <v>3.4</v>
      </c>
      <c r="J884">
        <v>329</v>
      </c>
      <c r="L884">
        <v>0</v>
      </c>
    </row>
    <row r="885" spans="1:12" x14ac:dyDescent="0.35">
      <c r="A885" s="1">
        <v>45231</v>
      </c>
      <c r="B885" t="s">
        <v>10</v>
      </c>
      <c r="C885" t="s">
        <v>20</v>
      </c>
      <c r="D885">
        <f>AVERAGE(1950,1900)</f>
        <v>1925</v>
      </c>
      <c r="E885">
        <v>1</v>
      </c>
      <c r="F885">
        <v>29.138000000000002</v>
      </c>
      <c r="G885">
        <v>569.70000000000005</v>
      </c>
      <c r="H885">
        <v>328.25</v>
      </c>
      <c r="I885">
        <v>3.4</v>
      </c>
      <c r="J885">
        <v>329</v>
      </c>
      <c r="L885">
        <v>0</v>
      </c>
    </row>
    <row r="886" spans="1:12" x14ac:dyDescent="0.35">
      <c r="A886" s="1">
        <v>45231</v>
      </c>
      <c r="B886" t="s">
        <v>10</v>
      </c>
      <c r="C886" t="s">
        <v>21</v>
      </c>
      <c r="D886">
        <f>AVERAGE(1925,1915,1900,1925)</f>
        <v>1916.25</v>
      </c>
      <c r="E886">
        <v>1</v>
      </c>
      <c r="F886">
        <v>28.946664999999999</v>
      </c>
      <c r="G886">
        <v>472.7</v>
      </c>
      <c r="H886">
        <v>328.25</v>
      </c>
      <c r="I886">
        <v>3.4</v>
      </c>
      <c r="J886">
        <v>329</v>
      </c>
      <c r="L886">
        <v>0</v>
      </c>
    </row>
    <row r="887" spans="1:12" x14ac:dyDescent="0.35">
      <c r="A887" s="1">
        <v>45231</v>
      </c>
      <c r="B887" t="s">
        <v>10</v>
      </c>
      <c r="C887" t="s">
        <v>22</v>
      </c>
      <c r="D887">
        <f>AVERAGE(1930,1909,1919,1873)</f>
        <v>1907.75</v>
      </c>
      <c r="E887">
        <v>1</v>
      </c>
      <c r="F887">
        <v>27.939333000000001</v>
      </c>
      <c r="G887">
        <v>381.6</v>
      </c>
      <c r="H887">
        <v>328.25</v>
      </c>
      <c r="I887">
        <v>3.4</v>
      </c>
      <c r="J887">
        <v>329</v>
      </c>
      <c r="L887">
        <v>0</v>
      </c>
    </row>
    <row r="888" spans="1:12" x14ac:dyDescent="0.35">
      <c r="A888" s="1">
        <v>45231</v>
      </c>
      <c r="B888" t="s">
        <v>10</v>
      </c>
      <c r="C888" t="s">
        <v>23</v>
      </c>
      <c r="D888">
        <f>AVERAGE(1900,1900,1933,1950)</f>
        <v>1920.75</v>
      </c>
      <c r="E888">
        <v>1</v>
      </c>
      <c r="F888">
        <v>28.715668000000001</v>
      </c>
      <c r="G888">
        <v>325.10000000000002</v>
      </c>
      <c r="H888">
        <v>328.25</v>
      </c>
      <c r="I888">
        <v>3.4</v>
      </c>
      <c r="J888">
        <v>329</v>
      </c>
      <c r="L888">
        <v>0</v>
      </c>
    </row>
    <row r="889" spans="1:12" x14ac:dyDescent="0.35">
      <c r="A889" s="1">
        <v>45231</v>
      </c>
      <c r="B889" t="s">
        <v>10</v>
      </c>
      <c r="C889" t="s">
        <v>24</v>
      </c>
      <c r="D889">
        <f>AVERAGE(1990,1980,1980,1930)</f>
        <v>1970</v>
      </c>
      <c r="E889">
        <v>1</v>
      </c>
      <c r="F889">
        <v>29.260999999999999</v>
      </c>
      <c r="G889">
        <v>554.20000000000005</v>
      </c>
      <c r="H889">
        <v>328.25</v>
      </c>
      <c r="I889">
        <v>3.4</v>
      </c>
      <c r="J889">
        <v>329</v>
      </c>
      <c r="L889">
        <v>0</v>
      </c>
    </row>
    <row r="890" spans="1:12" x14ac:dyDescent="0.35">
      <c r="A890" s="1">
        <v>45231</v>
      </c>
      <c r="B890" t="s">
        <v>25</v>
      </c>
      <c r="C890" t="s">
        <v>11</v>
      </c>
      <c r="D890">
        <f>AVERAGE(2717,2717,2483,2617)</f>
        <v>2633.5</v>
      </c>
      <c r="E890">
        <v>1</v>
      </c>
      <c r="F890">
        <v>27.454668000000002</v>
      </c>
      <c r="G890">
        <v>569.1</v>
      </c>
      <c r="H890">
        <v>328.25</v>
      </c>
      <c r="I890">
        <v>3.4</v>
      </c>
      <c r="J890">
        <v>329</v>
      </c>
      <c r="L890">
        <v>0</v>
      </c>
    </row>
    <row r="891" spans="1:12" x14ac:dyDescent="0.35">
      <c r="A891" s="1">
        <v>45231</v>
      </c>
      <c r="B891" t="s">
        <v>25</v>
      </c>
      <c r="C891" t="s">
        <v>12</v>
      </c>
      <c r="D891">
        <f>AVERAGE(2546,2615,2758,2706)</f>
        <v>2656.25</v>
      </c>
      <c r="E891">
        <v>1</v>
      </c>
      <c r="F891">
        <v>28.517668</v>
      </c>
      <c r="G891">
        <v>640.9</v>
      </c>
      <c r="H891">
        <v>328.25</v>
      </c>
      <c r="I891">
        <v>3.4</v>
      </c>
      <c r="J891">
        <v>329</v>
      </c>
      <c r="L891">
        <v>0</v>
      </c>
    </row>
    <row r="892" spans="1:12" x14ac:dyDescent="0.35">
      <c r="A892" s="1">
        <v>45231</v>
      </c>
      <c r="B892" t="s">
        <v>25</v>
      </c>
      <c r="C892" t="s">
        <v>14</v>
      </c>
      <c r="D892">
        <f>AVERAGE(2750,2633,2500,2566)</f>
        <v>2612.25</v>
      </c>
      <c r="E892">
        <v>1</v>
      </c>
      <c r="F892">
        <v>29.178000999999998</v>
      </c>
      <c r="G892">
        <v>611.5</v>
      </c>
      <c r="H892">
        <v>328.25</v>
      </c>
      <c r="I892">
        <v>3.4</v>
      </c>
      <c r="J892">
        <v>329</v>
      </c>
      <c r="L892">
        <v>0</v>
      </c>
    </row>
    <row r="893" spans="1:12" x14ac:dyDescent="0.35">
      <c r="A893" s="1">
        <v>45231</v>
      </c>
      <c r="B893" t="s">
        <v>25</v>
      </c>
      <c r="C893" t="s">
        <v>16</v>
      </c>
      <c r="D893">
        <f>AVERAGE(2300,2300,2200,2233)</f>
        <v>2258.25</v>
      </c>
      <c r="E893">
        <v>1</v>
      </c>
      <c r="F893">
        <v>26.187000000000001</v>
      </c>
      <c r="G893">
        <v>480</v>
      </c>
      <c r="H893">
        <v>328.25</v>
      </c>
      <c r="I893">
        <v>3.4</v>
      </c>
      <c r="J893">
        <v>329</v>
      </c>
      <c r="L893">
        <v>0</v>
      </c>
    </row>
    <row r="894" spans="1:12" x14ac:dyDescent="0.35">
      <c r="A894" s="1">
        <v>45231</v>
      </c>
      <c r="B894" t="s">
        <v>25</v>
      </c>
      <c r="C894" t="s">
        <v>24</v>
      </c>
      <c r="D894">
        <f>AVERAGE(2240,2430,2300,2405)</f>
        <v>2343.75</v>
      </c>
      <c r="E894">
        <v>1</v>
      </c>
      <c r="F894">
        <v>29.260999999999999</v>
      </c>
      <c r="G894">
        <v>554.20000000000005</v>
      </c>
      <c r="H894">
        <v>328.25</v>
      </c>
      <c r="I894">
        <v>3.4</v>
      </c>
      <c r="J894">
        <v>329</v>
      </c>
      <c r="L894">
        <v>0</v>
      </c>
    </row>
    <row r="895" spans="1:12" x14ac:dyDescent="0.35">
      <c r="A895" s="1">
        <v>45261</v>
      </c>
      <c r="B895" t="s">
        <v>10</v>
      </c>
      <c r="C895" t="s">
        <v>11</v>
      </c>
      <c r="D895">
        <f>AVERAGE(1960,1959,1946,1977)</f>
        <v>1960.5</v>
      </c>
      <c r="E895">
        <v>1</v>
      </c>
      <c r="F895">
        <v>27.208162000000002</v>
      </c>
      <c r="G895">
        <v>212</v>
      </c>
      <c r="H895">
        <v>326.7423</v>
      </c>
      <c r="I895">
        <v>4</v>
      </c>
      <c r="J895">
        <v>358</v>
      </c>
      <c r="L895">
        <v>0</v>
      </c>
    </row>
    <row r="896" spans="1:12" x14ac:dyDescent="0.35">
      <c r="A896" s="1">
        <v>45261</v>
      </c>
      <c r="B896" t="s">
        <v>10</v>
      </c>
      <c r="C896" t="s">
        <v>12</v>
      </c>
      <c r="D896">
        <f>AVERAGE(1983,1966,2012,1969)</f>
        <v>1982.5</v>
      </c>
      <c r="E896">
        <v>1</v>
      </c>
      <c r="F896">
        <v>28.299871</v>
      </c>
      <c r="G896">
        <v>275.39999999999998</v>
      </c>
      <c r="H896">
        <v>326.7423</v>
      </c>
      <c r="I896">
        <v>4</v>
      </c>
      <c r="J896">
        <v>358</v>
      </c>
      <c r="L896">
        <v>0</v>
      </c>
    </row>
    <row r="897" spans="1:12" x14ac:dyDescent="0.35">
      <c r="A897" s="1">
        <v>45261</v>
      </c>
      <c r="B897" t="s">
        <v>10</v>
      </c>
      <c r="C897" t="s">
        <v>13</v>
      </c>
      <c r="D897">
        <f>AVERAGE(1846,1856,1856,1840)</f>
        <v>1849.5</v>
      </c>
      <c r="E897">
        <v>1</v>
      </c>
      <c r="F897">
        <v>19.376723999999999</v>
      </c>
      <c r="G897">
        <v>320.60000000000002</v>
      </c>
      <c r="H897">
        <v>326.7423</v>
      </c>
      <c r="I897">
        <v>4</v>
      </c>
      <c r="J897">
        <v>358</v>
      </c>
      <c r="L897">
        <v>0</v>
      </c>
    </row>
    <row r="898" spans="1:12" x14ac:dyDescent="0.35">
      <c r="A898" s="1">
        <v>45261</v>
      </c>
      <c r="B898" t="s">
        <v>10</v>
      </c>
      <c r="C898" t="s">
        <v>14</v>
      </c>
      <c r="D898">
        <f>AVERAGE(1900,2000,1933,1967)</f>
        <v>1950</v>
      </c>
      <c r="E898">
        <v>1</v>
      </c>
      <c r="F898">
        <v>29.305902</v>
      </c>
      <c r="G898">
        <v>361.4</v>
      </c>
      <c r="H898">
        <v>326.7423</v>
      </c>
      <c r="I898">
        <v>4</v>
      </c>
      <c r="J898">
        <v>358</v>
      </c>
      <c r="L898">
        <v>0</v>
      </c>
    </row>
    <row r="899" spans="1:12" x14ac:dyDescent="0.35">
      <c r="A899" s="1">
        <v>45261</v>
      </c>
      <c r="B899" t="s">
        <v>10</v>
      </c>
      <c r="C899" t="s">
        <v>15</v>
      </c>
      <c r="D899">
        <f>AVERAGE(1892,1892,1875,1850)</f>
        <v>1877.25</v>
      </c>
      <c r="E899">
        <v>1</v>
      </c>
      <c r="F899">
        <v>29.300419999999999</v>
      </c>
      <c r="G899">
        <v>451.69997999999998</v>
      </c>
      <c r="H899">
        <v>326.7423</v>
      </c>
      <c r="I899">
        <v>4</v>
      </c>
      <c r="J899">
        <v>358</v>
      </c>
      <c r="L899">
        <v>0</v>
      </c>
    </row>
    <row r="900" spans="1:12" x14ac:dyDescent="0.35">
      <c r="A900" s="1">
        <v>45261</v>
      </c>
      <c r="B900" t="s">
        <v>10</v>
      </c>
      <c r="C900" t="s">
        <v>16</v>
      </c>
      <c r="D900">
        <f>AVERAGE(1942,1942,1886,1892)</f>
        <v>1915.5</v>
      </c>
      <c r="E900">
        <v>1</v>
      </c>
      <c r="F900">
        <v>25.426352999999999</v>
      </c>
      <c r="G900">
        <v>415</v>
      </c>
      <c r="H900">
        <v>326.7423</v>
      </c>
      <c r="I900">
        <v>4</v>
      </c>
      <c r="J900">
        <v>358</v>
      </c>
      <c r="L900">
        <v>0</v>
      </c>
    </row>
    <row r="901" spans="1:12" x14ac:dyDescent="0.35">
      <c r="A901" s="1">
        <v>45261</v>
      </c>
      <c r="B901" t="s">
        <v>10</v>
      </c>
      <c r="C901" t="s">
        <v>17</v>
      </c>
      <c r="D901">
        <f>AVERAGE(1917,1917,1917,1933)</f>
        <v>1921</v>
      </c>
      <c r="E901">
        <v>1</v>
      </c>
      <c r="F901">
        <v>29.659227000000001</v>
      </c>
      <c r="G901">
        <v>279.89999999999998</v>
      </c>
      <c r="H901">
        <v>326.7423</v>
      </c>
      <c r="I901">
        <v>4</v>
      </c>
      <c r="J901">
        <v>358</v>
      </c>
      <c r="L901">
        <v>0</v>
      </c>
    </row>
    <row r="902" spans="1:12" x14ac:dyDescent="0.35">
      <c r="A902" s="1">
        <v>45261</v>
      </c>
      <c r="B902" t="s">
        <v>10</v>
      </c>
      <c r="C902" t="s">
        <v>18</v>
      </c>
      <c r="D902">
        <f>AVERAGE(1775,1750,1938,1888)</f>
        <v>1837.75</v>
      </c>
      <c r="E902">
        <v>1</v>
      </c>
      <c r="F902">
        <v>29.543355999999999</v>
      </c>
      <c r="G902">
        <v>401.9</v>
      </c>
      <c r="H902">
        <v>326.7423</v>
      </c>
      <c r="I902">
        <v>4</v>
      </c>
      <c r="J902">
        <v>358</v>
      </c>
      <c r="L902">
        <v>0</v>
      </c>
    </row>
    <row r="903" spans="1:12" x14ac:dyDescent="0.35">
      <c r="A903" s="1">
        <v>45261</v>
      </c>
      <c r="B903" t="s">
        <v>10</v>
      </c>
      <c r="C903" t="s">
        <v>19</v>
      </c>
      <c r="D903">
        <f>AVERAGE(1895,1900,1900,1900)</f>
        <v>1898.75</v>
      </c>
      <c r="E903">
        <v>1</v>
      </c>
      <c r="F903">
        <v>30.283386</v>
      </c>
      <c r="G903">
        <v>377.69997999999998</v>
      </c>
      <c r="H903">
        <v>326.7423</v>
      </c>
      <c r="I903">
        <v>4</v>
      </c>
      <c r="J903">
        <v>358</v>
      </c>
      <c r="L903">
        <v>0</v>
      </c>
    </row>
    <row r="904" spans="1:12" x14ac:dyDescent="0.35">
      <c r="A904" s="1">
        <v>45261</v>
      </c>
      <c r="B904" t="s">
        <v>10</v>
      </c>
      <c r="C904" t="s">
        <v>20</v>
      </c>
      <c r="D904">
        <f>AVERAGE(1800,1800,1835,1850)</f>
        <v>1821.25</v>
      </c>
      <c r="E904">
        <v>1</v>
      </c>
      <c r="F904">
        <v>29.236709999999999</v>
      </c>
      <c r="G904">
        <v>331.4</v>
      </c>
      <c r="H904">
        <v>326.7423</v>
      </c>
      <c r="I904">
        <v>4</v>
      </c>
      <c r="J904">
        <v>358</v>
      </c>
      <c r="L904">
        <v>0</v>
      </c>
    </row>
    <row r="905" spans="1:12" x14ac:dyDescent="0.35">
      <c r="A905" s="1">
        <v>45261</v>
      </c>
      <c r="B905" t="s">
        <v>10</v>
      </c>
      <c r="C905" t="s">
        <v>21</v>
      </c>
      <c r="D905">
        <f>AVERAGE(1800,1800,1800,1725)</f>
        <v>1781.25</v>
      </c>
      <c r="E905">
        <v>1</v>
      </c>
      <c r="F905">
        <v>29.150967000000001</v>
      </c>
      <c r="G905">
        <v>405.80002000000002</v>
      </c>
      <c r="H905">
        <v>326.7423</v>
      </c>
      <c r="I905">
        <v>4</v>
      </c>
      <c r="J905">
        <v>358</v>
      </c>
      <c r="L905">
        <v>0</v>
      </c>
    </row>
    <row r="906" spans="1:12" x14ac:dyDescent="0.35">
      <c r="A906" s="1">
        <v>45261</v>
      </c>
      <c r="B906" t="s">
        <v>10</v>
      </c>
      <c r="C906" t="s">
        <v>22</v>
      </c>
      <c r="D906">
        <f>AVERAGE(1775,1821,1800,1794)</f>
        <v>1797.5</v>
      </c>
      <c r="E906">
        <v>1</v>
      </c>
      <c r="F906">
        <v>28.361001999999999</v>
      </c>
      <c r="G906">
        <v>351.9</v>
      </c>
      <c r="H906">
        <v>326.7423</v>
      </c>
      <c r="I906">
        <v>4</v>
      </c>
      <c r="J906">
        <v>358</v>
      </c>
      <c r="L906">
        <v>0</v>
      </c>
    </row>
    <row r="907" spans="1:12" x14ac:dyDescent="0.35">
      <c r="A907" s="1">
        <v>45261</v>
      </c>
      <c r="B907" t="s">
        <v>10</v>
      </c>
      <c r="C907" t="s">
        <v>23</v>
      </c>
      <c r="D907">
        <f>AVERAGE(1785,1915,1930,1923)</f>
        <v>1888.25</v>
      </c>
      <c r="E907">
        <v>1</v>
      </c>
      <c r="F907">
        <v>28.893356000000001</v>
      </c>
      <c r="G907">
        <v>267.39999999999998</v>
      </c>
      <c r="H907">
        <v>326.7423</v>
      </c>
      <c r="I907">
        <v>4</v>
      </c>
      <c r="J907">
        <v>358</v>
      </c>
      <c r="L907">
        <v>0</v>
      </c>
    </row>
    <row r="908" spans="1:12" x14ac:dyDescent="0.35">
      <c r="A908" s="1">
        <v>45261</v>
      </c>
      <c r="B908" t="s">
        <v>10</v>
      </c>
      <c r="C908" t="s">
        <v>24</v>
      </c>
      <c r="D908">
        <f>AVERAGE(1942,1966,1970,1970)</f>
        <v>1962</v>
      </c>
      <c r="E908">
        <v>1</v>
      </c>
      <c r="F908">
        <v>28.373740999999999</v>
      </c>
      <c r="G908">
        <v>378</v>
      </c>
      <c r="H908">
        <v>326.7423</v>
      </c>
      <c r="I908">
        <v>4</v>
      </c>
      <c r="J908">
        <v>358</v>
      </c>
      <c r="L908">
        <v>0</v>
      </c>
    </row>
    <row r="909" spans="1:12" x14ac:dyDescent="0.35">
      <c r="A909" s="1">
        <v>45261</v>
      </c>
      <c r="B909" t="s">
        <v>25</v>
      </c>
      <c r="C909" t="s">
        <v>11</v>
      </c>
      <c r="D909">
        <f>AVERAGE(2525,2667,2500,2650)</f>
        <v>2585.5</v>
      </c>
      <c r="E909">
        <v>1</v>
      </c>
      <c r="F909">
        <v>27.208162000000002</v>
      </c>
      <c r="G909">
        <v>212</v>
      </c>
      <c r="H909">
        <v>326.7423</v>
      </c>
      <c r="I909">
        <v>4</v>
      </c>
      <c r="J909">
        <v>358</v>
      </c>
      <c r="L909">
        <v>0</v>
      </c>
    </row>
    <row r="910" spans="1:12" x14ac:dyDescent="0.35">
      <c r="A910" s="1">
        <v>45261</v>
      </c>
      <c r="B910" t="s">
        <v>25</v>
      </c>
      <c r="C910" t="s">
        <v>12</v>
      </c>
      <c r="D910">
        <f>AVERAGE(2588,2465,2508,2586)</f>
        <v>2536.75</v>
      </c>
      <c r="E910">
        <v>1</v>
      </c>
      <c r="F910">
        <v>28.299871</v>
      </c>
      <c r="G910">
        <v>275.39999999999998</v>
      </c>
      <c r="H910">
        <v>326.7423</v>
      </c>
      <c r="I910">
        <v>4</v>
      </c>
      <c r="J910">
        <v>358</v>
      </c>
      <c r="L910">
        <v>0</v>
      </c>
    </row>
    <row r="911" spans="1:12" x14ac:dyDescent="0.35">
      <c r="A911" s="1">
        <v>45261</v>
      </c>
      <c r="B911" t="s">
        <v>25</v>
      </c>
      <c r="C911" t="s">
        <v>14</v>
      </c>
      <c r="D911">
        <f>AVERAGE(2300,2650,2466,2600)</f>
        <v>2504</v>
      </c>
      <c r="E911">
        <v>1</v>
      </c>
      <c r="F911">
        <v>29.305902</v>
      </c>
      <c r="G911">
        <v>361.4</v>
      </c>
      <c r="H911">
        <v>326.7423</v>
      </c>
      <c r="I911">
        <v>4</v>
      </c>
      <c r="J911">
        <v>358</v>
      </c>
      <c r="L911">
        <v>0</v>
      </c>
    </row>
    <row r="912" spans="1:12" x14ac:dyDescent="0.35">
      <c r="A912" s="1">
        <v>45261</v>
      </c>
      <c r="B912" t="s">
        <v>25</v>
      </c>
      <c r="C912" t="s">
        <v>16</v>
      </c>
      <c r="D912">
        <f>AVERAGE(2067,2350,2316,2350)</f>
        <v>2270.75</v>
      </c>
      <c r="E912">
        <v>1</v>
      </c>
      <c r="F912">
        <v>25.426352999999999</v>
      </c>
      <c r="G912">
        <v>415</v>
      </c>
      <c r="H912">
        <v>326.7423</v>
      </c>
      <c r="I912">
        <v>4</v>
      </c>
      <c r="J912">
        <v>358</v>
      </c>
      <c r="L912">
        <v>0</v>
      </c>
    </row>
    <row r="913" spans="1:12" x14ac:dyDescent="0.35">
      <c r="A913" s="1">
        <v>45261</v>
      </c>
      <c r="B913" t="s">
        <v>25</v>
      </c>
      <c r="C913" t="s">
        <v>24</v>
      </c>
      <c r="D913">
        <f>AVERAGE(2400,2470,2350,2440)</f>
        <v>2415</v>
      </c>
      <c r="E913">
        <v>1</v>
      </c>
      <c r="F913">
        <v>28.373740999999999</v>
      </c>
      <c r="G913">
        <v>378</v>
      </c>
      <c r="H913">
        <v>326.7423</v>
      </c>
      <c r="I913">
        <v>4</v>
      </c>
      <c r="J913">
        <v>358</v>
      </c>
      <c r="L913">
        <v>0</v>
      </c>
    </row>
    <row r="914" spans="1:12" x14ac:dyDescent="0.35">
      <c r="A914" s="1">
        <v>45292</v>
      </c>
      <c r="B914" t="s">
        <v>10</v>
      </c>
      <c r="C914" t="s">
        <v>11</v>
      </c>
      <c r="D914">
        <f>AVERAGE(1941,1944,1946,1944,1950)</f>
        <v>1945</v>
      </c>
      <c r="E914">
        <v>1</v>
      </c>
      <c r="F914">
        <v>27.666225000000001</v>
      </c>
      <c r="G914">
        <v>112</v>
      </c>
      <c r="H914">
        <v>321.17059999999998</v>
      </c>
      <c r="I914">
        <v>6.4</v>
      </c>
      <c r="J914">
        <v>363</v>
      </c>
      <c r="L914">
        <v>0</v>
      </c>
    </row>
    <row r="915" spans="1:12" x14ac:dyDescent="0.35">
      <c r="A915" s="1">
        <v>45292</v>
      </c>
      <c r="B915" t="s">
        <v>10</v>
      </c>
      <c r="C915" t="s">
        <v>12</v>
      </c>
      <c r="D915">
        <f>AVERAGE(1974,1992,1995,1991,1950)</f>
        <v>1980.4</v>
      </c>
      <c r="E915">
        <v>1</v>
      </c>
      <c r="F915">
        <v>28.627293000000002</v>
      </c>
      <c r="G915">
        <v>153.59998999999999</v>
      </c>
      <c r="H915">
        <v>321.17059999999998</v>
      </c>
      <c r="I915">
        <v>6.4</v>
      </c>
      <c r="J915">
        <v>363</v>
      </c>
      <c r="L915">
        <v>0</v>
      </c>
    </row>
    <row r="916" spans="1:12" x14ac:dyDescent="0.35">
      <c r="A916" s="1">
        <v>45292</v>
      </c>
      <c r="B916" t="s">
        <v>10</v>
      </c>
      <c r="C916" t="s">
        <v>13</v>
      </c>
      <c r="D916">
        <f>AVERAGE(1846,1890,1896,1893,1846)</f>
        <v>1874.2</v>
      </c>
      <c r="E916">
        <v>1</v>
      </c>
      <c r="F916">
        <v>19.965434999999999</v>
      </c>
      <c r="G916">
        <v>147.1</v>
      </c>
      <c r="H916">
        <v>321.17059999999998</v>
      </c>
      <c r="I916">
        <v>6.4</v>
      </c>
      <c r="J916">
        <v>363</v>
      </c>
      <c r="L916">
        <v>0</v>
      </c>
    </row>
    <row r="917" spans="1:12" x14ac:dyDescent="0.35">
      <c r="A917" s="1">
        <v>45292</v>
      </c>
      <c r="B917" t="s">
        <v>10</v>
      </c>
      <c r="C917" t="s">
        <v>14</v>
      </c>
      <c r="D917">
        <f>AVERAGE(1933,1833,1966,1866,1833)</f>
        <v>1886.2</v>
      </c>
      <c r="E917">
        <v>1</v>
      </c>
      <c r="F917">
        <v>29.997838999999999</v>
      </c>
      <c r="G917">
        <v>157.1</v>
      </c>
      <c r="H917">
        <v>321.17059999999998</v>
      </c>
      <c r="I917">
        <v>6.4</v>
      </c>
      <c r="J917">
        <v>363</v>
      </c>
      <c r="L917">
        <v>0</v>
      </c>
    </row>
    <row r="918" spans="1:12" x14ac:dyDescent="0.35">
      <c r="A918" s="1">
        <v>45292</v>
      </c>
      <c r="B918" t="s">
        <v>10</v>
      </c>
      <c r="C918" t="s">
        <v>15</v>
      </c>
      <c r="D918">
        <f>AVERAGE(1918,1975,1975,1938,1925)</f>
        <v>1946.2</v>
      </c>
      <c r="E918">
        <v>1</v>
      </c>
      <c r="F918">
        <v>29.943968000000002</v>
      </c>
      <c r="G918">
        <v>157.6</v>
      </c>
      <c r="H918">
        <v>321.17059999999998</v>
      </c>
      <c r="I918">
        <v>6.4</v>
      </c>
      <c r="J918">
        <v>363</v>
      </c>
      <c r="L918">
        <v>0</v>
      </c>
    </row>
    <row r="919" spans="1:12" x14ac:dyDescent="0.35">
      <c r="A919" s="1">
        <v>45292</v>
      </c>
      <c r="B919" t="s">
        <v>10</v>
      </c>
      <c r="C919" t="s">
        <v>16</v>
      </c>
      <c r="D919">
        <f>AVERAGE(1933,1958,1958,1941,1891)</f>
        <v>1936.2</v>
      </c>
      <c r="E919">
        <v>1</v>
      </c>
      <c r="F919">
        <v>25.171514999999999</v>
      </c>
      <c r="G919">
        <v>237.1</v>
      </c>
      <c r="H919">
        <v>321.17059999999998</v>
      </c>
      <c r="I919">
        <v>6.4</v>
      </c>
      <c r="J919">
        <v>363</v>
      </c>
      <c r="L919">
        <v>0</v>
      </c>
    </row>
    <row r="920" spans="1:12" x14ac:dyDescent="0.35">
      <c r="A920" s="1">
        <v>45292</v>
      </c>
      <c r="B920" t="s">
        <v>10</v>
      </c>
      <c r="C920" t="s">
        <v>17</v>
      </c>
      <c r="D920">
        <f>AVERAGE(1917,1917,1833,1917,1850)</f>
        <v>1886.8</v>
      </c>
      <c r="E920">
        <v>1</v>
      </c>
      <c r="F920">
        <v>30.260840000000002</v>
      </c>
      <c r="G920">
        <v>128.5</v>
      </c>
      <c r="H920">
        <v>321.17059999999998</v>
      </c>
      <c r="I920">
        <v>6.4</v>
      </c>
      <c r="J920">
        <v>363</v>
      </c>
      <c r="L920">
        <v>0</v>
      </c>
    </row>
    <row r="921" spans="1:12" x14ac:dyDescent="0.35">
      <c r="A921" s="1">
        <v>45292</v>
      </c>
      <c r="B921" t="s">
        <v>10</v>
      </c>
      <c r="C921" t="s">
        <v>18</v>
      </c>
      <c r="D921">
        <f>AVERAGE(1813,1813,1800,1775,1800)</f>
        <v>1800.2</v>
      </c>
      <c r="E921">
        <v>1</v>
      </c>
      <c r="F921">
        <v>30.212710000000001</v>
      </c>
      <c r="G921">
        <v>131.40001000000001</v>
      </c>
      <c r="H921">
        <v>321.17059999999998</v>
      </c>
      <c r="I921">
        <v>6.4</v>
      </c>
      <c r="J921">
        <v>363</v>
      </c>
      <c r="L921">
        <v>0</v>
      </c>
    </row>
    <row r="922" spans="1:12" x14ac:dyDescent="0.35">
      <c r="A922" s="1">
        <v>45292</v>
      </c>
      <c r="B922" t="s">
        <v>10</v>
      </c>
      <c r="C922" t="s">
        <v>19</v>
      </c>
      <c r="D922">
        <f>AVERAGE(1860,1860,1900,1900,1900)</f>
        <v>1884</v>
      </c>
      <c r="E922">
        <v>1</v>
      </c>
      <c r="F922">
        <v>31.062419999999999</v>
      </c>
      <c r="G922">
        <v>154.69999999999999</v>
      </c>
      <c r="H922">
        <v>321.17059999999998</v>
      </c>
      <c r="I922">
        <v>6.4</v>
      </c>
      <c r="J922">
        <v>363</v>
      </c>
      <c r="L922">
        <v>0</v>
      </c>
    </row>
    <row r="923" spans="1:12" x14ac:dyDescent="0.35">
      <c r="A923" s="1">
        <v>45292</v>
      </c>
      <c r="B923" t="s">
        <v>10</v>
      </c>
      <c r="C923" t="s">
        <v>20</v>
      </c>
      <c r="D923">
        <f>AVERAGE(1730,1700,1700,1765,1790)</f>
        <v>1737</v>
      </c>
      <c r="E923">
        <v>1</v>
      </c>
      <c r="F923">
        <v>29.894773000000001</v>
      </c>
      <c r="G923">
        <v>145.19999999999999</v>
      </c>
      <c r="H923">
        <v>321.17059999999998</v>
      </c>
      <c r="I923">
        <v>6.4</v>
      </c>
      <c r="J923">
        <v>363</v>
      </c>
      <c r="L923">
        <v>0</v>
      </c>
    </row>
    <row r="924" spans="1:12" x14ac:dyDescent="0.35">
      <c r="A924" s="1">
        <v>45292</v>
      </c>
      <c r="B924" t="s">
        <v>10</v>
      </c>
      <c r="C924" t="s">
        <v>21</v>
      </c>
      <c r="D924">
        <f>AVERAGE(1750,1825,1825,1850,1750)</f>
        <v>1800</v>
      </c>
      <c r="E924">
        <v>1</v>
      </c>
      <c r="F924">
        <v>29.794513999999999</v>
      </c>
      <c r="G924">
        <v>196.40001000000001</v>
      </c>
      <c r="H924">
        <v>321.17059999999998</v>
      </c>
      <c r="I924">
        <v>6.4</v>
      </c>
      <c r="J924">
        <v>363</v>
      </c>
      <c r="L924">
        <v>0</v>
      </c>
    </row>
    <row r="925" spans="1:12" x14ac:dyDescent="0.35">
      <c r="A925" s="1">
        <v>45292</v>
      </c>
      <c r="B925" t="s">
        <v>10</v>
      </c>
      <c r="C925" t="s">
        <v>22</v>
      </c>
      <c r="D925">
        <f>AVERAGE(1825,1893,1896,1857,1803)</f>
        <v>1854.8</v>
      </c>
      <c r="E925">
        <v>1</v>
      </c>
      <c r="F925">
        <v>28.706161000000002</v>
      </c>
      <c r="G925">
        <v>95.899994000000007</v>
      </c>
      <c r="H925">
        <v>321.17059999999998</v>
      </c>
      <c r="I925">
        <v>6.4</v>
      </c>
      <c r="J925">
        <v>363</v>
      </c>
      <c r="L925">
        <v>0</v>
      </c>
    </row>
    <row r="926" spans="1:12" x14ac:dyDescent="0.35">
      <c r="A926" s="1">
        <v>45292</v>
      </c>
      <c r="B926" t="s">
        <v>10</v>
      </c>
      <c r="C926" t="s">
        <v>23</v>
      </c>
      <c r="D926">
        <f>AVERAGE(1916,1983,2000,1966,1943)</f>
        <v>1961.6</v>
      </c>
      <c r="E926">
        <v>1</v>
      </c>
      <c r="F926">
        <v>29.754646000000001</v>
      </c>
      <c r="G926">
        <v>177.8</v>
      </c>
      <c r="H926">
        <v>321.17059999999998</v>
      </c>
      <c r="I926">
        <v>6.4</v>
      </c>
      <c r="J926">
        <v>363</v>
      </c>
      <c r="L926">
        <v>0</v>
      </c>
    </row>
    <row r="927" spans="1:12" x14ac:dyDescent="0.35">
      <c r="A927" s="1">
        <v>45292</v>
      </c>
      <c r="B927" t="s">
        <v>10</v>
      </c>
      <c r="C927" t="s">
        <v>24</v>
      </c>
      <c r="D927">
        <f>AVERAGE(1970,1984,1998,2024,1976)</f>
        <v>1990.4</v>
      </c>
      <c r="E927">
        <v>1</v>
      </c>
      <c r="F927">
        <v>28.746323</v>
      </c>
      <c r="G927">
        <v>210.2</v>
      </c>
      <c r="H927">
        <v>321.17059999999998</v>
      </c>
      <c r="I927">
        <v>6.4</v>
      </c>
      <c r="J927">
        <v>363</v>
      </c>
      <c r="L927">
        <v>0</v>
      </c>
    </row>
    <row r="928" spans="1:12" x14ac:dyDescent="0.35">
      <c r="A928" s="1">
        <v>45292</v>
      </c>
      <c r="B928" t="s">
        <v>25</v>
      </c>
      <c r="C928" t="s">
        <v>11</v>
      </c>
      <c r="D928">
        <f>AVERAGE(2550,2500,2617,2583,2550)</f>
        <v>2560</v>
      </c>
      <c r="E928">
        <v>1</v>
      </c>
      <c r="F928">
        <v>27.666225000000001</v>
      </c>
      <c r="G928">
        <v>112</v>
      </c>
      <c r="H928">
        <v>321.17059999999998</v>
      </c>
      <c r="I928">
        <v>6.4</v>
      </c>
      <c r="J928">
        <v>363</v>
      </c>
      <c r="L928">
        <v>0</v>
      </c>
    </row>
    <row r="929" spans="1:12" x14ac:dyDescent="0.35">
      <c r="A929" s="1">
        <v>45292</v>
      </c>
      <c r="B929" t="s">
        <v>25</v>
      </c>
      <c r="C929" t="s">
        <v>12</v>
      </c>
      <c r="D929">
        <f>AVERAGE(2567,2625,2592,2572,2573)</f>
        <v>2585.8000000000002</v>
      </c>
      <c r="E929">
        <v>1</v>
      </c>
      <c r="F929">
        <v>28.627293000000002</v>
      </c>
      <c r="G929">
        <v>153.59998999999999</v>
      </c>
      <c r="H929">
        <v>321.17059999999998</v>
      </c>
      <c r="I929">
        <v>6.4</v>
      </c>
      <c r="J929">
        <v>363</v>
      </c>
      <c r="L929">
        <v>0</v>
      </c>
    </row>
    <row r="930" spans="1:12" x14ac:dyDescent="0.35">
      <c r="A930" s="1">
        <v>45292</v>
      </c>
      <c r="B930" t="s">
        <v>25</v>
      </c>
      <c r="C930" t="s">
        <v>14</v>
      </c>
      <c r="D930">
        <f>AVERAGE(2600,2466,2650,2566,2350)</f>
        <v>2526.4</v>
      </c>
      <c r="E930">
        <v>1</v>
      </c>
      <c r="F930">
        <v>29.997838999999999</v>
      </c>
      <c r="G930">
        <v>157.1</v>
      </c>
      <c r="H930">
        <v>321.17059999999998</v>
      </c>
      <c r="I930">
        <v>6.4</v>
      </c>
      <c r="J930">
        <v>363</v>
      </c>
      <c r="L930">
        <v>0</v>
      </c>
    </row>
    <row r="931" spans="1:12" x14ac:dyDescent="0.35">
      <c r="A931" s="1">
        <v>45292</v>
      </c>
      <c r="B931" t="s">
        <v>25</v>
      </c>
      <c r="C931" t="s">
        <v>16</v>
      </c>
      <c r="D931">
        <f>AVERAGE(2316,2350,2350,2283,2283)</f>
        <v>2316.4</v>
      </c>
      <c r="E931">
        <v>1</v>
      </c>
      <c r="F931">
        <v>25.171514999999999</v>
      </c>
      <c r="G931">
        <v>237.1</v>
      </c>
      <c r="H931">
        <v>321.17059999999998</v>
      </c>
      <c r="I931">
        <v>6.4</v>
      </c>
      <c r="J931">
        <v>363</v>
      </c>
      <c r="L931">
        <v>0</v>
      </c>
    </row>
    <row r="932" spans="1:12" x14ac:dyDescent="0.35">
      <c r="A932" s="1">
        <v>45292</v>
      </c>
      <c r="B932" t="s">
        <v>25</v>
      </c>
      <c r="C932" t="s">
        <v>24</v>
      </c>
      <c r="D932">
        <f>AVERAGE(2475,2470,2390,2465,2420)</f>
        <v>2444</v>
      </c>
      <c r="E932">
        <v>1</v>
      </c>
      <c r="F932">
        <v>28.746323</v>
      </c>
      <c r="G932">
        <v>210.2</v>
      </c>
      <c r="H932">
        <v>321.17059999999998</v>
      </c>
      <c r="I932">
        <v>6.4</v>
      </c>
      <c r="J932">
        <v>363</v>
      </c>
      <c r="L932">
        <v>0</v>
      </c>
    </row>
    <row r="933" spans="1:12" x14ac:dyDescent="0.35">
      <c r="A933" s="1">
        <v>45323</v>
      </c>
      <c r="B933" t="s">
        <v>10</v>
      </c>
      <c r="C933" t="s">
        <v>11</v>
      </c>
      <c r="D933">
        <f>AVERAGE(1826,1848,1874,1873)</f>
        <v>1855.25</v>
      </c>
      <c r="E933">
        <v>1</v>
      </c>
      <c r="F933">
        <v>30.018173000000001</v>
      </c>
      <c r="G933">
        <v>9.2000010000000003</v>
      </c>
      <c r="H933">
        <v>312.58010000000002</v>
      </c>
      <c r="I933">
        <v>5.9</v>
      </c>
      <c r="J933">
        <v>363</v>
      </c>
      <c r="L933">
        <v>1</v>
      </c>
    </row>
    <row r="934" spans="1:12" x14ac:dyDescent="0.35">
      <c r="A934" s="1">
        <v>45323</v>
      </c>
      <c r="B934" t="s">
        <v>10</v>
      </c>
      <c r="C934" t="s">
        <v>12</v>
      </c>
      <c r="D934">
        <f>AVERAGE(1934,1909,1957,1917)</f>
        <v>1929.25</v>
      </c>
      <c r="E934">
        <v>1</v>
      </c>
      <c r="F934">
        <v>31.486689999999999</v>
      </c>
      <c r="G934">
        <v>12.400001</v>
      </c>
      <c r="H934">
        <v>312.58010000000002</v>
      </c>
      <c r="I934">
        <v>5.9</v>
      </c>
      <c r="J934">
        <v>363</v>
      </c>
      <c r="L934">
        <v>1</v>
      </c>
    </row>
    <row r="935" spans="1:12" x14ac:dyDescent="0.35">
      <c r="A935" s="1">
        <v>45323</v>
      </c>
      <c r="B935" t="s">
        <v>10</v>
      </c>
      <c r="C935" t="s">
        <v>13</v>
      </c>
      <c r="D935">
        <f>AVERAGE(1710,1706,1706,1840)</f>
        <v>1740.5</v>
      </c>
      <c r="E935">
        <v>1</v>
      </c>
      <c r="F935">
        <v>20.818327</v>
      </c>
      <c r="G935">
        <v>25.800001000000002</v>
      </c>
      <c r="H935">
        <v>312.58010000000002</v>
      </c>
      <c r="I935">
        <v>5.9</v>
      </c>
      <c r="J935">
        <v>363</v>
      </c>
      <c r="L935">
        <v>1</v>
      </c>
    </row>
    <row r="936" spans="1:12" x14ac:dyDescent="0.35">
      <c r="A936" s="1">
        <v>45323</v>
      </c>
      <c r="B936" t="s">
        <v>10</v>
      </c>
      <c r="C936" t="s">
        <v>14</v>
      </c>
      <c r="D936">
        <f>AVERAGE(1916,1850,1800,1750)</f>
        <v>1829</v>
      </c>
      <c r="E936">
        <v>1</v>
      </c>
      <c r="F936">
        <v>33.199897999999997</v>
      </c>
      <c r="G936">
        <v>17.8</v>
      </c>
      <c r="H936">
        <v>312.58010000000002</v>
      </c>
      <c r="I936">
        <v>5.9</v>
      </c>
      <c r="J936">
        <v>363</v>
      </c>
      <c r="L936">
        <v>1</v>
      </c>
    </row>
    <row r="937" spans="1:12" x14ac:dyDescent="0.35">
      <c r="A937" s="1">
        <v>45323</v>
      </c>
      <c r="B937" t="s">
        <v>10</v>
      </c>
      <c r="C937" t="s">
        <v>15</v>
      </c>
      <c r="D937">
        <f>AVERAGE(1838,1812,1862,1900)</f>
        <v>1853</v>
      </c>
      <c r="E937">
        <v>1</v>
      </c>
      <c r="F937">
        <v>32.079900000000002</v>
      </c>
      <c r="G937">
        <v>43</v>
      </c>
      <c r="H937">
        <v>312.58010000000002</v>
      </c>
      <c r="I937">
        <v>5.9</v>
      </c>
      <c r="J937">
        <v>363</v>
      </c>
      <c r="L937">
        <v>1</v>
      </c>
    </row>
    <row r="938" spans="1:12" x14ac:dyDescent="0.35">
      <c r="A938" s="1">
        <v>45323</v>
      </c>
      <c r="B938" t="s">
        <v>10</v>
      </c>
      <c r="C938" t="s">
        <v>16</v>
      </c>
      <c r="D938">
        <f>AVERAGE(1896,1875,1816,1800)</f>
        <v>1846.75</v>
      </c>
      <c r="E938">
        <v>1</v>
      </c>
      <c r="F938">
        <v>26.419066999999998</v>
      </c>
      <c r="G938">
        <v>101.8</v>
      </c>
      <c r="H938">
        <v>312.58010000000002</v>
      </c>
      <c r="I938">
        <v>5.9</v>
      </c>
      <c r="J938">
        <v>363</v>
      </c>
      <c r="L938">
        <v>1</v>
      </c>
    </row>
    <row r="939" spans="1:12" x14ac:dyDescent="0.35">
      <c r="A939" s="1">
        <v>45323</v>
      </c>
      <c r="B939" t="s">
        <v>10</v>
      </c>
      <c r="C939" t="s">
        <v>17</v>
      </c>
      <c r="D939">
        <f>AVERAGE(1833,1833,1867,1833)</f>
        <v>1841.5</v>
      </c>
      <c r="E939">
        <v>1</v>
      </c>
      <c r="F939">
        <v>33.566339999999997</v>
      </c>
      <c r="G939">
        <v>12.3</v>
      </c>
      <c r="H939">
        <v>312.58010000000002</v>
      </c>
      <c r="I939">
        <v>5.9</v>
      </c>
      <c r="J939">
        <v>363</v>
      </c>
      <c r="L939">
        <v>1</v>
      </c>
    </row>
    <row r="940" spans="1:12" x14ac:dyDescent="0.35">
      <c r="A940" s="1">
        <v>45323</v>
      </c>
      <c r="B940" t="s">
        <v>10</v>
      </c>
      <c r="C940" t="s">
        <v>18</v>
      </c>
      <c r="D940">
        <f>AVERAGE(1775,1775,1738,1738)</f>
        <v>1756.5</v>
      </c>
      <c r="E940">
        <v>1</v>
      </c>
      <c r="F940">
        <v>32.461930000000002</v>
      </c>
      <c r="G940">
        <v>35.299999999999997</v>
      </c>
      <c r="H940">
        <v>312.58010000000002</v>
      </c>
      <c r="I940">
        <v>5.9</v>
      </c>
      <c r="J940">
        <v>363</v>
      </c>
      <c r="L940">
        <v>1</v>
      </c>
    </row>
    <row r="941" spans="1:12" x14ac:dyDescent="0.35">
      <c r="A941" s="1">
        <v>45323</v>
      </c>
      <c r="B941" t="s">
        <v>10</v>
      </c>
      <c r="C941" t="s">
        <v>19</v>
      </c>
      <c r="D941">
        <f>AVERAGE(1750,1690,1770,1870)</f>
        <v>1770</v>
      </c>
      <c r="E941">
        <v>1</v>
      </c>
      <c r="F941">
        <v>34.3919</v>
      </c>
      <c r="G941">
        <v>21.2</v>
      </c>
      <c r="H941">
        <v>312.58010000000002</v>
      </c>
      <c r="I941">
        <v>5.9</v>
      </c>
      <c r="J941">
        <v>363</v>
      </c>
      <c r="L941">
        <v>1</v>
      </c>
    </row>
    <row r="942" spans="1:12" x14ac:dyDescent="0.35">
      <c r="A942" s="1">
        <v>45323</v>
      </c>
      <c r="B942" t="s">
        <v>10</v>
      </c>
      <c r="C942" t="s">
        <v>20</v>
      </c>
      <c r="D942">
        <f>AVERAGE(1765,1700,1700,1700)</f>
        <v>1716.25</v>
      </c>
      <c r="E942">
        <v>1</v>
      </c>
      <c r="F942">
        <v>31.694552999999999</v>
      </c>
      <c r="G942">
        <v>32.4</v>
      </c>
      <c r="H942">
        <v>312.58010000000002</v>
      </c>
      <c r="I942">
        <v>5.9</v>
      </c>
      <c r="J942">
        <v>363</v>
      </c>
      <c r="L942">
        <v>1</v>
      </c>
    </row>
    <row r="943" spans="1:12" x14ac:dyDescent="0.35">
      <c r="A943" s="1">
        <v>45323</v>
      </c>
      <c r="B943" t="s">
        <v>10</v>
      </c>
      <c r="C943" t="s">
        <v>21</v>
      </c>
      <c r="D943">
        <f>AVERAGE(1700,1675,1750,1775)</f>
        <v>1725</v>
      </c>
      <c r="E943">
        <v>1</v>
      </c>
      <c r="F943">
        <v>32.366207000000003</v>
      </c>
      <c r="G943">
        <v>76.2</v>
      </c>
      <c r="H943">
        <v>312.58010000000002</v>
      </c>
      <c r="I943">
        <v>5.9</v>
      </c>
      <c r="J943">
        <v>363</v>
      </c>
      <c r="L943">
        <v>1</v>
      </c>
    </row>
    <row r="944" spans="1:12" x14ac:dyDescent="0.35">
      <c r="A944" s="1">
        <v>45323</v>
      </c>
      <c r="B944" t="s">
        <v>10</v>
      </c>
      <c r="C944" t="s">
        <v>22</v>
      </c>
      <c r="D944">
        <f>AVERAGE(1814,1765,1737,1716)</f>
        <v>1758</v>
      </c>
      <c r="E944">
        <v>1</v>
      </c>
      <c r="F944">
        <v>30.221346</v>
      </c>
      <c r="G944">
        <v>21.4</v>
      </c>
      <c r="H944">
        <v>312.58010000000002</v>
      </c>
      <c r="I944">
        <v>5.9</v>
      </c>
      <c r="J944">
        <v>363</v>
      </c>
      <c r="L944">
        <v>1</v>
      </c>
    </row>
    <row r="945" spans="1:12" x14ac:dyDescent="0.35">
      <c r="A945" s="1">
        <v>45323</v>
      </c>
      <c r="B945" t="s">
        <v>10</v>
      </c>
      <c r="C945" t="s">
        <v>23</v>
      </c>
      <c r="D945">
        <f>AVERAGE(1750,1666,1766,1866)</f>
        <v>1762</v>
      </c>
      <c r="E945">
        <v>1</v>
      </c>
      <c r="F945">
        <v>31.76193</v>
      </c>
      <c r="G945">
        <v>28.7</v>
      </c>
      <c r="H945">
        <v>312.58010000000002</v>
      </c>
      <c r="I945">
        <v>5.9</v>
      </c>
      <c r="J945">
        <v>363</v>
      </c>
      <c r="L945">
        <v>1</v>
      </c>
    </row>
    <row r="946" spans="1:12" x14ac:dyDescent="0.35">
      <c r="A946" s="1">
        <v>45323</v>
      </c>
      <c r="B946" t="s">
        <v>10</v>
      </c>
      <c r="C946" t="s">
        <v>24</v>
      </c>
      <c r="D946">
        <f>AVERAGE(1983,1970,1933,1920)</f>
        <v>1951.5</v>
      </c>
      <c r="E946">
        <v>1</v>
      </c>
      <c r="F946">
        <v>30.873241</v>
      </c>
      <c r="G946">
        <v>26.6</v>
      </c>
      <c r="H946">
        <v>312.58010000000002</v>
      </c>
      <c r="I946">
        <v>5.9</v>
      </c>
      <c r="J946">
        <v>363</v>
      </c>
      <c r="L946">
        <v>1</v>
      </c>
    </row>
    <row r="947" spans="1:12" x14ac:dyDescent="0.35">
      <c r="A947" s="1">
        <v>45323</v>
      </c>
      <c r="B947" t="s">
        <v>25</v>
      </c>
      <c r="C947" t="s">
        <v>11</v>
      </c>
      <c r="D947">
        <f>AVERAGE(2482,2450,2517,2592)</f>
        <v>2510.25</v>
      </c>
      <c r="E947">
        <v>1</v>
      </c>
      <c r="F947">
        <v>30.018173000000001</v>
      </c>
      <c r="G947">
        <v>9.2000010000000003</v>
      </c>
      <c r="H947">
        <v>312.58010000000002</v>
      </c>
      <c r="I947">
        <v>5.9</v>
      </c>
      <c r="J947">
        <v>363</v>
      </c>
      <c r="L947">
        <v>1</v>
      </c>
    </row>
    <row r="948" spans="1:12" x14ac:dyDescent="0.35">
      <c r="A948" s="1">
        <v>45323</v>
      </c>
      <c r="B948" t="s">
        <v>25</v>
      </c>
      <c r="C948" t="s">
        <v>12</v>
      </c>
      <c r="D948">
        <f>AVERAGE(2466,2581,2668,2542)</f>
        <v>2564.25</v>
      </c>
      <c r="E948">
        <v>1</v>
      </c>
      <c r="F948">
        <v>31.486689999999999</v>
      </c>
      <c r="G948">
        <v>12.400001</v>
      </c>
      <c r="H948">
        <v>312.58010000000002</v>
      </c>
      <c r="I948">
        <v>5.9</v>
      </c>
      <c r="J948">
        <v>363</v>
      </c>
      <c r="L948">
        <v>1</v>
      </c>
    </row>
    <row r="949" spans="1:12" x14ac:dyDescent="0.35">
      <c r="A949" s="1">
        <v>45323</v>
      </c>
      <c r="B949" t="s">
        <v>25</v>
      </c>
      <c r="C949" t="s">
        <v>14</v>
      </c>
      <c r="D949">
        <f>AVERAGE(2200,2200,2350,2500)</f>
        <v>2312.5</v>
      </c>
      <c r="E949">
        <v>1</v>
      </c>
      <c r="F949">
        <v>33.199897999999997</v>
      </c>
      <c r="G949">
        <v>17.8</v>
      </c>
      <c r="H949">
        <v>312.58010000000002</v>
      </c>
      <c r="I949">
        <v>5.9</v>
      </c>
      <c r="J949">
        <v>363</v>
      </c>
      <c r="L949">
        <v>1</v>
      </c>
    </row>
    <row r="950" spans="1:12" x14ac:dyDescent="0.35">
      <c r="A950" s="1">
        <v>45323</v>
      </c>
      <c r="B950" t="s">
        <v>25</v>
      </c>
      <c r="C950" t="s">
        <v>16</v>
      </c>
      <c r="D950">
        <f>AVERAGE(2267,2200,2350,2250)</f>
        <v>2266.75</v>
      </c>
      <c r="E950">
        <v>1</v>
      </c>
      <c r="F950">
        <v>26.419066999999998</v>
      </c>
      <c r="G950">
        <v>101.8</v>
      </c>
      <c r="H950">
        <v>312.58010000000002</v>
      </c>
      <c r="I950">
        <v>5.9</v>
      </c>
      <c r="J950">
        <v>363</v>
      </c>
      <c r="L950">
        <v>1</v>
      </c>
    </row>
    <row r="951" spans="1:12" x14ac:dyDescent="0.35">
      <c r="A951" s="1">
        <v>45323</v>
      </c>
      <c r="B951" t="s">
        <v>25</v>
      </c>
      <c r="C951" t="s">
        <v>24</v>
      </c>
      <c r="D951">
        <f>AVERAGE(2350,2367,2430,2350)</f>
        <v>2374.25</v>
      </c>
      <c r="E951">
        <v>1</v>
      </c>
      <c r="F951">
        <v>30.873241</v>
      </c>
      <c r="G951">
        <v>26.6</v>
      </c>
      <c r="H951">
        <v>312.58010000000002</v>
      </c>
      <c r="I951">
        <v>5.9</v>
      </c>
      <c r="J951">
        <v>363</v>
      </c>
      <c r="L951">
        <v>1</v>
      </c>
    </row>
    <row r="952" spans="1:12" x14ac:dyDescent="0.35">
      <c r="A952" s="1">
        <v>45352</v>
      </c>
      <c r="B952" t="s">
        <v>10</v>
      </c>
      <c r="C952" t="s">
        <v>11</v>
      </c>
      <c r="D952">
        <f>AVERAGE(1695,1763,1756,1817)</f>
        <v>1757.75</v>
      </c>
      <c r="E952">
        <v>1</v>
      </c>
      <c r="F952">
        <v>32.632354999999997</v>
      </c>
      <c r="G952">
        <v>43.2</v>
      </c>
      <c r="H952">
        <v>305.66500000000002</v>
      </c>
      <c r="I952">
        <v>0.9</v>
      </c>
      <c r="J952">
        <v>363</v>
      </c>
      <c r="L952">
        <v>1</v>
      </c>
    </row>
    <row r="953" spans="1:12" x14ac:dyDescent="0.35">
      <c r="A953" s="1">
        <v>45352</v>
      </c>
      <c r="B953" t="s">
        <v>10</v>
      </c>
      <c r="C953" t="s">
        <v>12</v>
      </c>
      <c r="D953">
        <f>AVERAGE(1949,1867,1825,1708)</f>
        <v>1837.25</v>
      </c>
      <c r="E953">
        <v>1</v>
      </c>
      <c r="F953">
        <v>33.938580000000002</v>
      </c>
      <c r="G953">
        <v>39.200000000000003</v>
      </c>
      <c r="H953">
        <v>305.66500000000002</v>
      </c>
      <c r="I953">
        <v>0.9</v>
      </c>
      <c r="J953">
        <v>363</v>
      </c>
      <c r="L953">
        <v>1</v>
      </c>
    </row>
    <row r="954" spans="1:12" x14ac:dyDescent="0.35">
      <c r="A954" s="1">
        <v>45352</v>
      </c>
      <c r="B954" t="s">
        <v>10</v>
      </c>
      <c r="C954" t="s">
        <v>13</v>
      </c>
      <c r="D954">
        <f>AVERAGE(1753,1693,1703,1673)</f>
        <v>1705.5</v>
      </c>
      <c r="E954">
        <v>1</v>
      </c>
      <c r="F954">
        <v>22.647694000000001</v>
      </c>
      <c r="G954">
        <v>43.600002000000003</v>
      </c>
      <c r="H954">
        <v>305.66500000000002</v>
      </c>
      <c r="I954">
        <v>0.9</v>
      </c>
      <c r="J954">
        <v>363</v>
      </c>
      <c r="L954">
        <v>1</v>
      </c>
    </row>
    <row r="955" spans="1:12" x14ac:dyDescent="0.35">
      <c r="A955" s="1">
        <v>45352</v>
      </c>
      <c r="B955" t="s">
        <v>10</v>
      </c>
      <c r="C955" t="s">
        <v>14</v>
      </c>
      <c r="D955">
        <f>AVERAGE(1783,1800,1666,1700)</f>
        <v>1737.25</v>
      </c>
      <c r="E955">
        <v>1</v>
      </c>
      <c r="F955">
        <v>35.376869999999997</v>
      </c>
      <c r="G955">
        <v>81.600005999999993</v>
      </c>
      <c r="H955">
        <v>305.66500000000002</v>
      </c>
      <c r="I955">
        <v>0.9</v>
      </c>
      <c r="J955">
        <v>363</v>
      </c>
      <c r="L955">
        <v>1</v>
      </c>
    </row>
    <row r="956" spans="1:12" x14ac:dyDescent="0.35">
      <c r="A956" s="1">
        <v>45352</v>
      </c>
      <c r="B956" t="s">
        <v>10</v>
      </c>
      <c r="C956" t="s">
        <v>15</v>
      </c>
      <c r="D956">
        <f>AVERAGE(1468,1588,1675,1712)</f>
        <v>1610.75</v>
      </c>
      <c r="E956">
        <v>1</v>
      </c>
      <c r="F956">
        <v>33.903644999999997</v>
      </c>
      <c r="G956">
        <v>115.6</v>
      </c>
      <c r="H956">
        <v>305.66500000000002</v>
      </c>
      <c r="I956">
        <v>0.9</v>
      </c>
      <c r="J956">
        <v>363</v>
      </c>
      <c r="L956">
        <v>1</v>
      </c>
    </row>
    <row r="957" spans="1:12" x14ac:dyDescent="0.35">
      <c r="A957" s="1">
        <v>45352</v>
      </c>
      <c r="B957" t="s">
        <v>10</v>
      </c>
      <c r="C957" t="s">
        <v>16</v>
      </c>
      <c r="D957">
        <f>AVERAGE(1762,1775,1742,1741)</f>
        <v>1755</v>
      </c>
      <c r="E957">
        <v>1</v>
      </c>
      <c r="F957">
        <v>28.73603</v>
      </c>
      <c r="G957">
        <v>78.3</v>
      </c>
      <c r="H957">
        <v>305.66500000000002</v>
      </c>
      <c r="I957">
        <v>0.9</v>
      </c>
      <c r="J957">
        <v>363</v>
      </c>
      <c r="L957">
        <v>1</v>
      </c>
    </row>
    <row r="958" spans="1:12" x14ac:dyDescent="0.35">
      <c r="A958" s="1">
        <v>45352</v>
      </c>
      <c r="B958" t="s">
        <v>10</v>
      </c>
      <c r="C958" t="s">
        <v>17</v>
      </c>
      <c r="D958">
        <f>AVERAGE(1733,1833,1833,1833)</f>
        <v>1808</v>
      </c>
      <c r="E958">
        <v>1</v>
      </c>
      <c r="F958">
        <v>35.952770000000001</v>
      </c>
      <c r="G958">
        <v>57.5</v>
      </c>
      <c r="H958">
        <v>305.66500000000002</v>
      </c>
      <c r="I958">
        <v>0.9</v>
      </c>
      <c r="J958">
        <v>363</v>
      </c>
      <c r="L958">
        <v>1</v>
      </c>
    </row>
    <row r="959" spans="1:12" x14ac:dyDescent="0.35">
      <c r="A959" s="1">
        <v>45352</v>
      </c>
      <c r="B959" t="s">
        <v>10</v>
      </c>
      <c r="C959" t="s">
        <v>18</v>
      </c>
      <c r="D959">
        <f>AVERAGE(1725,1650,1638,1600)</f>
        <v>1653.25</v>
      </c>
      <c r="E959">
        <v>1</v>
      </c>
      <c r="F959">
        <v>31.903032</v>
      </c>
      <c r="G959">
        <v>81.599999999999994</v>
      </c>
      <c r="H959">
        <v>305.66500000000002</v>
      </c>
      <c r="I959">
        <v>0.9</v>
      </c>
      <c r="J959">
        <v>363</v>
      </c>
      <c r="L959">
        <v>1</v>
      </c>
    </row>
    <row r="960" spans="1:12" x14ac:dyDescent="0.35">
      <c r="A960" s="1">
        <v>45352</v>
      </c>
      <c r="B960" t="s">
        <v>10</v>
      </c>
      <c r="C960" t="s">
        <v>19</v>
      </c>
      <c r="D960">
        <f>AVERAGE(1710,1740,1720,1720)</f>
        <v>1722.5</v>
      </c>
      <c r="E960">
        <v>1</v>
      </c>
      <c r="F960">
        <v>33.855969999999999</v>
      </c>
      <c r="G960">
        <v>88.5</v>
      </c>
      <c r="H960">
        <v>305.66500000000002</v>
      </c>
      <c r="I960">
        <v>0.9</v>
      </c>
      <c r="J960">
        <v>363</v>
      </c>
      <c r="L960">
        <v>1</v>
      </c>
    </row>
    <row r="961" spans="1:12" x14ac:dyDescent="0.35">
      <c r="A961" s="1">
        <v>45352</v>
      </c>
      <c r="B961" t="s">
        <v>10</v>
      </c>
      <c r="C961" t="s">
        <v>20</v>
      </c>
      <c r="D961">
        <f>AVERAGE(1780,1740,1620,1500)</f>
        <v>1660</v>
      </c>
      <c r="E961">
        <v>1</v>
      </c>
      <c r="F961">
        <v>32.031869999999998</v>
      </c>
      <c r="G961">
        <v>58.100002000000003</v>
      </c>
      <c r="H961">
        <v>305.66500000000002</v>
      </c>
      <c r="I961">
        <v>0.9</v>
      </c>
      <c r="J961">
        <v>363</v>
      </c>
      <c r="L961">
        <v>1</v>
      </c>
    </row>
    <row r="962" spans="1:12" x14ac:dyDescent="0.35">
      <c r="A962" s="1">
        <v>45352</v>
      </c>
      <c r="B962" t="s">
        <v>10</v>
      </c>
      <c r="C962" t="s">
        <v>21</v>
      </c>
      <c r="D962">
        <f>AVERAGE(1525,1615,1600,1700)</f>
        <v>1610</v>
      </c>
      <c r="E962">
        <v>1</v>
      </c>
      <c r="F962">
        <v>32.149357000000002</v>
      </c>
      <c r="G962">
        <v>122.1</v>
      </c>
      <c r="H962">
        <v>305.66500000000002</v>
      </c>
      <c r="I962">
        <v>0.9</v>
      </c>
      <c r="J962">
        <v>363</v>
      </c>
      <c r="L962">
        <v>1</v>
      </c>
    </row>
    <row r="963" spans="1:12" x14ac:dyDescent="0.35">
      <c r="A963" s="1">
        <v>45352</v>
      </c>
      <c r="B963" t="s">
        <v>10</v>
      </c>
      <c r="C963" t="s">
        <v>22</v>
      </c>
      <c r="D963">
        <f>AVERAGE(1703,1588,1588,1525)</f>
        <v>1601</v>
      </c>
      <c r="E963">
        <v>1</v>
      </c>
      <c r="F963">
        <v>29.552935000000002</v>
      </c>
      <c r="G963">
        <v>68.5</v>
      </c>
      <c r="H963">
        <v>305.66500000000002</v>
      </c>
      <c r="I963">
        <v>0.9</v>
      </c>
      <c r="J963">
        <v>363</v>
      </c>
      <c r="L963">
        <v>1</v>
      </c>
    </row>
    <row r="964" spans="1:12" x14ac:dyDescent="0.35">
      <c r="A964" s="1">
        <v>45352</v>
      </c>
      <c r="B964" t="s">
        <v>10</v>
      </c>
      <c r="C964" t="s">
        <v>23</v>
      </c>
      <c r="D964">
        <f>AVERAGE(1600,1600,1583,1767)</f>
        <v>1637.5</v>
      </c>
      <c r="E964">
        <v>1</v>
      </c>
      <c r="F964">
        <v>31.961098</v>
      </c>
      <c r="G964">
        <v>83.9</v>
      </c>
      <c r="H964">
        <v>305.66500000000002</v>
      </c>
      <c r="I964">
        <v>0.9</v>
      </c>
      <c r="J964">
        <v>363</v>
      </c>
      <c r="L964">
        <v>1</v>
      </c>
    </row>
    <row r="965" spans="1:12" x14ac:dyDescent="0.35">
      <c r="A965" s="1">
        <v>45352</v>
      </c>
      <c r="B965" t="s">
        <v>10</v>
      </c>
      <c r="C965" t="s">
        <v>24</v>
      </c>
      <c r="D965">
        <f>AVERAGE(1780,1766,1810,1700)</f>
        <v>1764</v>
      </c>
      <c r="E965">
        <v>1</v>
      </c>
      <c r="F965">
        <v>33.393093</v>
      </c>
      <c r="G965">
        <v>83</v>
      </c>
      <c r="H965">
        <v>305.66500000000002</v>
      </c>
      <c r="I965">
        <v>0.9</v>
      </c>
      <c r="J965">
        <v>363</v>
      </c>
      <c r="L965">
        <v>1</v>
      </c>
    </row>
    <row r="966" spans="1:12" x14ac:dyDescent="0.35">
      <c r="A966" s="1">
        <v>45352</v>
      </c>
      <c r="B966" t="s">
        <v>25</v>
      </c>
      <c r="C966" t="s">
        <v>11</v>
      </c>
      <c r="D966">
        <f>AVERAGE(2500,2527,2379,2383)</f>
        <v>2447.25</v>
      </c>
      <c r="E966">
        <v>1</v>
      </c>
      <c r="F966">
        <v>32.632354999999997</v>
      </c>
      <c r="G966">
        <v>43.2</v>
      </c>
      <c r="H966">
        <v>305.66500000000002</v>
      </c>
      <c r="I966">
        <v>0.9</v>
      </c>
      <c r="J966">
        <v>363</v>
      </c>
      <c r="L966">
        <v>1</v>
      </c>
    </row>
    <row r="967" spans="1:12" x14ac:dyDescent="0.35">
      <c r="A967" s="1">
        <v>45352</v>
      </c>
      <c r="B967" t="s">
        <v>25</v>
      </c>
      <c r="C967" t="s">
        <v>12</v>
      </c>
      <c r="D967">
        <f>AVERAGE(2330,2558,2575,2635)</f>
        <v>2524.5</v>
      </c>
      <c r="E967">
        <v>1</v>
      </c>
      <c r="F967">
        <v>33.938580000000002</v>
      </c>
      <c r="G967">
        <v>39.200000000000003</v>
      </c>
      <c r="H967">
        <v>305.66500000000002</v>
      </c>
      <c r="I967">
        <v>0.9</v>
      </c>
      <c r="J967">
        <v>363</v>
      </c>
      <c r="L967">
        <v>1</v>
      </c>
    </row>
    <row r="968" spans="1:12" x14ac:dyDescent="0.35">
      <c r="A968" s="1">
        <v>45352</v>
      </c>
      <c r="B968" t="s">
        <v>25</v>
      </c>
      <c r="C968" t="s">
        <v>14</v>
      </c>
      <c r="D968">
        <f>AVERAGE(2466,2600,2100,2500)</f>
        <v>2416.5</v>
      </c>
      <c r="E968">
        <v>1</v>
      </c>
      <c r="F968">
        <v>35.376869999999997</v>
      </c>
      <c r="G968">
        <v>81.600005999999993</v>
      </c>
      <c r="H968">
        <v>305.66500000000002</v>
      </c>
      <c r="I968">
        <v>0.9</v>
      </c>
      <c r="J968">
        <v>363</v>
      </c>
      <c r="L968">
        <v>1</v>
      </c>
    </row>
    <row r="969" spans="1:12" x14ac:dyDescent="0.35">
      <c r="A969" s="1">
        <v>45352</v>
      </c>
      <c r="B969" t="s">
        <v>25</v>
      </c>
      <c r="C969" t="s">
        <v>16</v>
      </c>
      <c r="D969">
        <f>AVERAGE(2183,2233,2183,2200)</f>
        <v>2199.75</v>
      </c>
      <c r="E969">
        <v>1</v>
      </c>
      <c r="F969">
        <v>28.73603</v>
      </c>
      <c r="G969">
        <v>78.3</v>
      </c>
      <c r="H969">
        <v>305.66500000000002</v>
      </c>
      <c r="I969">
        <v>0.9</v>
      </c>
      <c r="J969">
        <v>363</v>
      </c>
      <c r="L969">
        <v>1</v>
      </c>
    </row>
    <row r="970" spans="1:12" x14ac:dyDescent="0.35">
      <c r="A970" s="1">
        <v>45352</v>
      </c>
      <c r="B970" t="s">
        <v>25</v>
      </c>
      <c r="C970" t="s">
        <v>24</v>
      </c>
      <c r="D970">
        <f>AVERAGE(2300,2275,2360)</f>
        <v>2311.6666666666665</v>
      </c>
      <c r="E970">
        <v>1</v>
      </c>
      <c r="F970">
        <v>33.393093</v>
      </c>
      <c r="G970">
        <v>83</v>
      </c>
      <c r="H970">
        <v>305.66500000000002</v>
      </c>
      <c r="I970">
        <v>0.9</v>
      </c>
      <c r="J970">
        <v>363</v>
      </c>
      <c r="L970">
        <v>1</v>
      </c>
    </row>
    <row r="971" spans="1:12" x14ac:dyDescent="0.35">
      <c r="A971" s="1">
        <v>45383</v>
      </c>
      <c r="B971" t="s">
        <v>10</v>
      </c>
      <c r="C971" t="s">
        <v>11</v>
      </c>
      <c r="D971">
        <f>AVERAGE(1678,1659,1648,1662,1720)</f>
        <v>1673.4</v>
      </c>
      <c r="E971">
        <v>0</v>
      </c>
      <c r="F971">
        <v>33.504665000000003</v>
      </c>
      <c r="G971">
        <v>71.599999999999994</v>
      </c>
      <c r="H971">
        <v>299.42320000000001</v>
      </c>
      <c r="I971">
        <v>1.5</v>
      </c>
      <c r="J971">
        <v>333</v>
      </c>
      <c r="L971">
        <v>1</v>
      </c>
    </row>
    <row r="972" spans="1:12" x14ac:dyDescent="0.35">
      <c r="A972" s="1">
        <v>45383</v>
      </c>
      <c r="B972" t="s">
        <v>10</v>
      </c>
      <c r="C972" t="s">
        <v>12</v>
      </c>
      <c r="D972">
        <f>AVERAGE(1648,1637,1688,1719,1668)</f>
        <v>1672</v>
      </c>
      <c r="E972">
        <v>0</v>
      </c>
      <c r="F972">
        <v>33.915999999999997</v>
      </c>
      <c r="G972">
        <v>128.59998999999999</v>
      </c>
      <c r="H972">
        <v>299.42320000000001</v>
      </c>
      <c r="I972">
        <v>1.5</v>
      </c>
      <c r="J972">
        <v>333</v>
      </c>
      <c r="L972">
        <v>1</v>
      </c>
    </row>
    <row r="973" spans="1:12" x14ac:dyDescent="0.35">
      <c r="A973" s="1">
        <v>45383</v>
      </c>
      <c r="B973" t="s">
        <v>10</v>
      </c>
      <c r="C973" t="s">
        <v>13</v>
      </c>
      <c r="D973">
        <f>AVERAGE(1590,1636,1640,1480,1485)</f>
        <v>1566.2</v>
      </c>
      <c r="E973">
        <v>0</v>
      </c>
      <c r="F973">
        <v>23.030165</v>
      </c>
      <c r="G973">
        <v>81.099999999999994</v>
      </c>
      <c r="H973">
        <v>299.42320000000001</v>
      </c>
      <c r="I973">
        <v>1.5</v>
      </c>
      <c r="J973">
        <v>333</v>
      </c>
      <c r="L973">
        <v>1</v>
      </c>
    </row>
    <row r="974" spans="1:12" x14ac:dyDescent="0.35">
      <c r="A974" s="1">
        <v>45383</v>
      </c>
      <c r="B974" t="s">
        <v>10</v>
      </c>
      <c r="C974" t="s">
        <v>14</v>
      </c>
      <c r="D974">
        <f>AVERAGE(1500,1500,1333,1500,1633)</f>
        <v>1493.2</v>
      </c>
      <c r="E974">
        <v>0</v>
      </c>
      <c r="F974">
        <v>34.476334000000001</v>
      </c>
      <c r="G974">
        <v>165.9</v>
      </c>
      <c r="H974">
        <v>299.42320000000001</v>
      </c>
      <c r="I974">
        <v>1.5</v>
      </c>
      <c r="J974">
        <v>333</v>
      </c>
      <c r="L974">
        <v>1</v>
      </c>
    </row>
    <row r="975" spans="1:12" x14ac:dyDescent="0.35">
      <c r="A975" s="1">
        <v>45383</v>
      </c>
      <c r="B975" t="s">
        <v>10</v>
      </c>
      <c r="C975" t="s">
        <v>15</v>
      </c>
      <c r="D975">
        <f>AVERAGE(1600,1550,1562)</f>
        <v>1570.6666666666667</v>
      </c>
      <c r="E975">
        <v>0</v>
      </c>
      <c r="F975">
        <v>33.254665000000003</v>
      </c>
      <c r="G975">
        <v>216.5</v>
      </c>
      <c r="H975">
        <v>299.42320000000001</v>
      </c>
      <c r="I975">
        <v>1.5</v>
      </c>
      <c r="J975">
        <v>333</v>
      </c>
      <c r="L975">
        <v>1</v>
      </c>
    </row>
    <row r="976" spans="1:12" x14ac:dyDescent="0.35">
      <c r="A976" s="1">
        <v>45383</v>
      </c>
      <c r="B976" t="s">
        <v>10</v>
      </c>
      <c r="C976" t="s">
        <v>16</v>
      </c>
      <c r="D976">
        <f>AVERAGE(1659,1661,1708,1729,1684)</f>
        <v>1688.2</v>
      </c>
      <c r="E976">
        <v>0</v>
      </c>
      <c r="F976">
        <v>29.925331</v>
      </c>
      <c r="G976">
        <v>110.10000599999999</v>
      </c>
      <c r="H976">
        <v>299.42320000000001</v>
      </c>
      <c r="I976">
        <v>1.5</v>
      </c>
      <c r="J976">
        <v>333</v>
      </c>
      <c r="L976">
        <v>1</v>
      </c>
    </row>
    <row r="977" spans="1:12" x14ac:dyDescent="0.35">
      <c r="A977" s="1">
        <v>45383</v>
      </c>
      <c r="B977" t="s">
        <v>10</v>
      </c>
      <c r="C977" t="s">
        <v>17</v>
      </c>
      <c r="D977">
        <f>AVERAGE(1733,1733,1733,1567,1600)</f>
        <v>1673.2</v>
      </c>
      <c r="E977">
        <v>0</v>
      </c>
      <c r="F977">
        <v>35.104329999999997</v>
      </c>
      <c r="G977">
        <v>127.2</v>
      </c>
      <c r="H977">
        <v>299.42320000000001</v>
      </c>
      <c r="I977">
        <v>1.5</v>
      </c>
      <c r="J977">
        <v>333</v>
      </c>
      <c r="L977">
        <v>1</v>
      </c>
    </row>
    <row r="978" spans="1:12" x14ac:dyDescent="0.35">
      <c r="A978" s="1">
        <v>45383</v>
      </c>
      <c r="B978" t="s">
        <v>10</v>
      </c>
      <c r="C978" t="s">
        <v>18</v>
      </c>
      <c r="D978">
        <f>AVERAGE(1550,1575,1488,1538,1613)</f>
        <v>1552.8</v>
      </c>
      <c r="E978">
        <v>0</v>
      </c>
      <c r="F978">
        <v>31.930665999999999</v>
      </c>
      <c r="G978">
        <v>178.8</v>
      </c>
      <c r="H978">
        <v>299.42320000000001</v>
      </c>
      <c r="I978">
        <v>1.5</v>
      </c>
      <c r="J978">
        <v>333</v>
      </c>
      <c r="L978">
        <v>1</v>
      </c>
    </row>
    <row r="979" spans="1:12" x14ac:dyDescent="0.35">
      <c r="A979" s="1">
        <v>45383</v>
      </c>
      <c r="B979" t="s">
        <v>10</v>
      </c>
      <c r="C979" t="s">
        <v>19</v>
      </c>
      <c r="D979">
        <f>AVERAGE(1667,1642,1492,1492,1483)</f>
        <v>1555.2</v>
      </c>
      <c r="E979">
        <v>0</v>
      </c>
      <c r="F979">
        <v>33.211666000000001</v>
      </c>
      <c r="G979">
        <v>232.5</v>
      </c>
      <c r="H979">
        <v>299.42320000000001</v>
      </c>
      <c r="I979">
        <v>1.5</v>
      </c>
      <c r="J979">
        <v>333</v>
      </c>
      <c r="L979">
        <v>1</v>
      </c>
    </row>
    <row r="980" spans="1:12" x14ac:dyDescent="0.35">
      <c r="A980" s="1">
        <v>45383</v>
      </c>
      <c r="B980" t="s">
        <v>10</v>
      </c>
      <c r="C980" t="s">
        <v>20</v>
      </c>
      <c r="D980">
        <f>AVERAGE(1350,1350,1500,1500,1450)</f>
        <v>1430</v>
      </c>
      <c r="E980">
        <v>0</v>
      </c>
      <c r="F980">
        <v>31.783000000000001</v>
      </c>
      <c r="G980">
        <v>183.8</v>
      </c>
      <c r="H980">
        <v>299.42320000000001</v>
      </c>
      <c r="I980">
        <v>1.5</v>
      </c>
      <c r="J980">
        <v>333</v>
      </c>
      <c r="L980">
        <v>1</v>
      </c>
    </row>
    <row r="981" spans="1:12" x14ac:dyDescent="0.35">
      <c r="A981" s="1">
        <v>45383</v>
      </c>
      <c r="B981" t="s">
        <v>10</v>
      </c>
      <c r="C981" t="s">
        <v>21</v>
      </c>
      <c r="D981">
        <f>AVERAGE(1475,1400,1430,1520,1450)</f>
        <v>1455</v>
      </c>
      <c r="E981">
        <v>0</v>
      </c>
      <c r="F981">
        <v>31.38</v>
      </c>
      <c r="G981">
        <v>213.5</v>
      </c>
      <c r="H981">
        <v>299.42320000000001</v>
      </c>
      <c r="I981">
        <v>1.5</v>
      </c>
      <c r="J981">
        <v>333</v>
      </c>
      <c r="L981">
        <v>1</v>
      </c>
    </row>
    <row r="982" spans="1:12" x14ac:dyDescent="0.35">
      <c r="A982" s="1">
        <v>45383</v>
      </c>
      <c r="B982" t="s">
        <v>10</v>
      </c>
      <c r="C982" t="s">
        <v>22</v>
      </c>
      <c r="D982">
        <f>AVERAGE(1432,1436,1442,1382,1469)</f>
        <v>1432.2</v>
      </c>
      <c r="E982">
        <v>0</v>
      </c>
      <c r="F982">
        <v>29.854334000000001</v>
      </c>
      <c r="G982">
        <v>94.3</v>
      </c>
      <c r="H982">
        <v>299.42320000000001</v>
      </c>
      <c r="I982">
        <v>1.5</v>
      </c>
      <c r="J982">
        <v>333</v>
      </c>
      <c r="L982">
        <v>1</v>
      </c>
    </row>
    <row r="983" spans="1:12" x14ac:dyDescent="0.35">
      <c r="A983" s="1">
        <v>45383</v>
      </c>
      <c r="B983" t="s">
        <v>10</v>
      </c>
      <c r="C983" t="s">
        <v>23</v>
      </c>
      <c r="D983">
        <f>AVERAGE(1616,1400,1500,1350,1350)</f>
        <v>1443.2</v>
      </c>
      <c r="E983">
        <v>0</v>
      </c>
      <c r="F983">
        <v>31.420666000000001</v>
      </c>
      <c r="G983">
        <v>103.5</v>
      </c>
      <c r="H983">
        <v>299.42320000000001</v>
      </c>
      <c r="I983">
        <v>1.5</v>
      </c>
      <c r="J983">
        <v>333</v>
      </c>
      <c r="L983">
        <v>1</v>
      </c>
    </row>
    <row r="984" spans="1:12" x14ac:dyDescent="0.35">
      <c r="A984" s="1">
        <v>45383</v>
      </c>
      <c r="B984" t="s">
        <v>10</v>
      </c>
      <c r="C984" t="s">
        <v>24</v>
      </c>
      <c r="D984">
        <f>AVERAGE(1700,1700,1720,1730,1750)</f>
        <v>1720</v>
      </c>
      <c r="E984">
        <v>0</v>
      </c>
      <c r="F984">
        <v>33.765999999999998</v>
      </c>
      <c r="G984">
        <v>146.6</v>
      </c>
      <c r="H984">
        <v>299.42320000000001</v>
      </c>
      <c r="I984">
        <v>1.5</v>
      </c>
      <c r="J984">
        <v>333</v>
      </c>
      <c r="L984">
        <v>1</v>
      </c>
    </row>
    <row r="985" spans="1:12" x14ac:dyDescent="0.35">
      <c r="A985" s="1">
        <v>45383</v>
      </c>
      <c r="B985" t="s">
        <v>25</v>
      </c>
      <c r="C985" t="s">
        <v>11</v>
      </c>
      <c r="D985">
        <f>AVERAGE(2358,2375,2400,2433,2383)</f>
        <v>2389.8000000000002</v>
      </c>
      <c r="E985">
        <v>0</v>
      </c>
      <c r="F985">
        <v>33.504665000000003</v>
      </c>
      <c r="G985">
        <v>71.599999999999994</v>
      </c>
      <c r="H985">
        <v>299.42320000000001</v>
      </c>
      <c r="I985">
        <v>1.5</v>
      </c>
      <c r="J985">
        <v>333</v>
      </c>
      <c r="L985">
        <v>1</v>
      </c>
    </row>
    <row r="986" spans="1:12" x14ac:dyDescent="0.35">
      <c r="A986" s="1">
        <v>45383</v>
      </c>
      <c r="B986" t="s">
        <v>25</v>
      </c>
      <c r="C986" t="s">
        <v>12</v>
      </c>
      <c r="D986">
        <f>AVERAGE(2300,2333,2208,2446,2292)</f>
        <v>2315.8000000000002</v>
      </c>
      <c r="E986">
        <v>0</v>
      </c>
      <c r="F986">
        <v>33.915999999999997</v>
      </c>
      <c r="G986">
        <v>128.59998999999999</v>
      </c>
      <c r="H986">
        <v>299.42320000000001</v>
      </c>
      <c r="I986">
        <v>1.5</v>
      </c>
      <c r="J986">
        <v>333</v>
      </c>
      <c r="L986">
        <v>1</v>
      </c>
    </row>
    <row r="987" spans="1:12" x14ac:dyDescent="0.35">
      <c r="A987" s="1">
        <v>45383</v>
      </c>
      <c r="B987" t="s">
        <v>25</v>
      </c>
      <c r="C987" t="s">
        <v>14</v>
      </c>
      <c r="D987">
        <f>AVERAGE(2400,2450,2234,2250,2000)</f>
        <v>2266.8000000000002</v>
      </c>
      <c r="E987">
        <v>0</v>
      </c>
      <c r="F987">
        <v>34.476334000000001</v>
      </c>
      <c r="G987">
        <v>165.9</v>
      </c>
      <c r="H987">
        <v>299.42320000000001</v>
      </c>
      <c r="I987">
        <v>1.5</v>
      </c>
      <c r="J987">
        <v>333</v>
      </c>
      <c r="L987">
        <v>1</v>
      </c>
    </row>
    <row r="988" spans="1:12" x14ac:dyDescent="0.35">
      <c r="A988" s="1">
        <v>45383</v>
      </c>
      <c r="B988" t="s">
        <v>25</v>
      </c>
      <c r="C988" t="s">
        <v>16</v>
      </c>
      <c r="D988">
        <f>AVERAGE(2167,2316,2200,2250,2117)</f>
        <v>2210</v>
      </c>
      <c r="E988">
        <v>0</v>
      </c>
      <c r="F988">
        <v>29.925331</v>
      </c>
      <c r="G988">
        <v>110.10000599999999</v>
      </c>
      <c r="H988">
        <v>299.42320000000001</v>
      </c>
      <c r="I988">
        <v>1.5</v>
      </c>
      <c r="J988">
        <v>333</v>
      </c>
      <c r="L988">
        <v>1</v>
      </c>
    </row>
    <row r="989" spans="1:12" x14ac:dyDescent="0.35">
      <c r="A989" s="1">
        <v>45383</v>
      </c>
      <c r="B989" t="s">
        <v>25</v>
      </c>
      <c r="C989" t="s">
        <v>24</v>
      </c>
      <c r="D989">
        <f>AVERAGE(2100,2100,2000,2100,2180)</f>
        <v>2096</v>
      </c>
      <c r="E989">
        <v>0</v>
      </c>
      <c r="F989">
        <v>33.765999999999998</v>
      </c>
      <c r="G989">
        <v>146.6</v>
      </c>
      <c r="H989">
        <v>299.42320000000001</v>
      </c>
      <c r="I989">
        <v>1.5</v>
      </c>
      <c r="J989">
        <v>333</v>
      </c>
      <c r="L989">
        <v>1</v>
      </c>
    </row>
    <row r="990" spans="1:12" x14ac:dyDescent="0.35">
      <c r="A990" s="1">
        <v>45413</v>
      </c>
      <c r="B990" t="s">
        <v>10</v>
      </c>
      <c r="C990" t="s">
        <v>11</v>
      </c>
      <c r="D990">
        <f>AVERAGE(1588,1580,1557,1598)</f>
        <v>1580.75</v>
      </c>
      <c r="E990">
        <v>0</v>
      </c>
      <c r="F990">
        <v>29.222677000000001</v>
      </c>
      <c r="G990">
        <v>377.3</v>
      </c>
      <c r="H990">
        <v>299.69229999999999</v>
      </c>
      <c r="I990">
        <v>0.9</v>
      </c>
      <c r="J990">
        <v>317</v>
      </c>
      <c r="L990">
        <v>0</v>
      </c>
    </row>
    <row r="991" spans="1:12" x14ac:dyDescent="0.35">
      <c r="A991" s="1">
        <v>45413</v>
      </c>
      <c r="B991" t="s">
        <v>10</v>
      </c>
      <c r="C991" t="s">
        <v>12</v>
      </c>
      <c r="D991">
        <f>AVERAGE(1726,1708,1586,1588)</f>
        <v>1652</v>
      </c>
      <c r="E991">
        <v>0</v>
      </c>
      <c r="F991">
        <v>29.532129999999999</v>
      </c>
      <c r="G991">
        <v>450.4</v>
      </c>
      <c r="H991">
        <v>299.69229999999999</v>
      </c>
      <c r="I991">
        <v>0.9</v>
      </c>
      <c r="J991">
        <v>317</v>
      </c>
      <c r="L991">
        <v>0</v>
      </c>
    </row>
    <row r="992" spans="1:12" x14ac:dyDescent="0.35">
      <c r="A992" s="1">
        <v>45413</v>
      </c>
      <c r="B992" t="s">
        <v>10</v>
      </c>
      <c r="C992" t="s">
        <v>13</v>
      </c>
      <c r="D992">
        <f>AVERAGE(1600,1700,1590,1590)</f>
        <v>1620</v>
      </c>
      <c r="E992">
        <v>0</v>
      </c>
      <c r="F992">
        <v>20.713820999999999</v>
      </c>
      <c r="G992">
        <v>551.10004000000004</v>
      </c>
      <c r="H992">
        <v>299.69229999999999</v>
      </c>
      <c r="I992">
        <v>0.9</v>
      </c>
      <c r="J992">
        <v>317</v>
      </c>
      <c r="L992">
        <v>0</v>
      </c>
    </row>
    <row r="993" spans="1:12" x14ac:dyDescent="0.35">
      <c r="A993" s="1">
        <v>45413</v>
      </c>
      <c r="B993" t="s">
        <v>10</v>
      </c>
      <c r="C993" t="s">
        <v>14</v>
      </c>
      <c r="D993">
        <f>AVERAGE(1583,1566,1500,1483)</f>
        <v>1533</v>
      </c>
      <c r="E993">
        <v>0</v>
      </c>
      <c r="F993">
        <v>30.328484</v>
      </c>
      <c r="G993">
        <v>578.80005000000006</v>
      </c>
      <c r="H993">
        <v>299.69229999999999</v>
      </c>
      <c r="I993">
        <v>0.9</v>
      </c>
      <c r="J993">
        <v>317</v>
      </c>
      <c r="L993">
        <v>0</v>
      </c>
    </row>
    <row r="994" spans="1:12" x14ac:dyDescent="0.35">
      <c r="A994" s="1">
        <v>45413</v>
      </c>
      <c r="B994" t="s">
        <v>10</v>
      </c>
      <c r="C994" t="s">
        <v>15</v>
      </c>
      <c r="D994">
        <f>AVERAGE(1620,1490,1550,1612)</f>
        <v>1568</v>
      </c>
      <c r="E994">
        <v>0</v>
      </c>
      <c r="F994">
        <v>30.19558</v>
      </c>
      <c r="G994">
        <v>811.1</v>
      </c>
      <c r="H994">
        <v>299.69229999999999</v>
      </c>
      <c r="I994">
        <v>0.9</v>
      </c>
      <c r="J994">
        <v>317</v>
      </c>
      <c r="L994">
        <v>0</v>
      </c>
    </row>
    <row r="995" spans="1:12" x14ac:dyDescent="0.35">
      <c r="A995" s="1">
        <v>45413</v>
      </c>
      <c r="B995" t="s">
        <v>10</v>
      </c>
      <c r="C995" t="s">
        <v>16</v>
      </c>
      <c r="D995">
        <f>AVERAGE(1658,1650,1712,1600)</f>
        <v>1655</v>
      </c>
      <c r="E995">
        <v>0</v>
      </c>
      <c r="F995">
        <v>30.034417999999999</v>
      </c>
      <c r="G995">
        <v>208.1</v>
      </c>
      <c r="H995">
        <v>299.69229999999999</v>
      </c>
      <c r="I995">
        <v>0.9</v>
      </c>
      <c r="J995">
        <v>317</v>
      </c>
      <c r="L995">
        <v>0</v>
      </c>
    </row>
    <row r="996" spans="1:12" x14ac:dyDescent="0.35">
      <c r="A996" s="1">
        <v>45413</v>
      </c>
      <c r="B996" t="s">
        <v>10</v>
      </c>
      <c r="C996" t="s">
        <v>17</v>
      </c>
      <c r="D996">
        <f>AVERAGE(1533,1533,1533,1550)</f>
        <v>1537.25</v>
      </c>
      <c r="E996">
        <v>0</v>
      </c>
      <c r="F996">
        <v>31.078579000000001</v>
      </c>
      <c r="G996">
        <v>439.6</v>
      </c>
      <c r="H996">
        <v>299.69229999999999</v>
      </c>
      <c r="I996">
        <v>0.9</v>
      </c>
      <c r="J996">
        <v>317</v>
      </c>
      <c r="L996">
        <v>0</v>
      </c>
    </row>
    <row r="997" spans="1:12" x14ac:dyDescent="0.35">
      <c r="A997" s="1">
        <v>45413</v>
      </c>
      <c r="B997" t="s">
        <v>10</v>
      </c>
      <c r="C997" t="s">
        <v>18</v>
      </c>
      <c r="D997">
        <f>AVERAGE(1463,1413,1450,1438)</f>
        <v>1441</v>
      </c>
      <c r="E997">
        <v>0</v>
      </c>
      <c r="F997">
        <v>30.25142</v>
      </c>
      <c r="G997">
        <v>695</v>
      </c>
      <c r="H997">
        <v>299.69229999999999</v>
      </c>
      <c r="I997">
        <v>0.9</v>
      </c>
      <c r="J997">
        <v>317</v>
      </c>
      <c r="L997">
        <v>0</v>
      </c>
    </row>
    <row r="998" spans="1:12" x14ac:dyDescent="0.35">
      <c r="A998" s="1">
        <v>45413</v>
      </c>
      <c r="B998" t="s">
        <v>10</v>
      </c>
      <c r="C998" t="s">
        <v>19</v>
      </c>
      <c r="D998">
        <f>AVERAGE(1483,1470,1470,1508)</f>
        <v>1482.75</v>
      </c>
      <c r="E998">
        <v>0</v>
      </c>
      <c r="F998">
        <v>30.667256999999999</v>
      </c>
      <c r="G998">
        <v>666.4</v>
      </c>
      <c r="H998">
        <v>299.69229999999999</v>
      </c>
      <c r="I998">
        <v>0.9</v>
      </c>
      <c r="J998">
        <v>317</v>
      </c>
      <c r="L998">
        <v>0</v>
      </c>
    </row>
    <row r="999" spans="1:12" x14ac:dyDescent="0.35">
      <c r="A999" s="1">
        <v>45413</v>
      </c>
      <c r="B999" t="s">
        <v>10</v>
      </c>
      <c r="C999" t="s">
        <v>20</v>
      </c>
      <c r="D999">
        <f>AVERAGE(1585,1500,1450,1400)</f>
        <v>1483.75</v>
      </c>
      <c r="E999">
        <v>0</v>
      </c>
      <c r="F999">
        <v>30.16413</v>
      </c>
      <c r="G999">
        <v>654.9</v>
      </c>
      <c r="H999">
        <v>299.69229999999999</v>
      </c>
      <c r="I999">
        <v>0.9</v>
      </c>
      <c r="J999">
        <v>317</v>
      </c>
      <c r="L999">
        <v>0</v>
      </c>
    </row>
    <row r="1000" spans="1:12" x14ac:dyDescent="0.35">
      <c r="A1000" s="1">
        <v>45413</v>
      </c>
      <c r="B1000" t="s">
        <v>10</v>
      </c>
      <c r="C1000" t="s">
        <v>21</v>
      </c>
      <c r="D1000">
        <f>AVERAGE(1550,1600,1600,1675)</f>
        <v>1606.25</v>
      </c>
      <c r="E1000">
        <v>0</v>
      </c>
      <c r="F1000">
        <v>29.792902000000002</v>
      </c>
      <c r="G1000">
        <v>645</v>
      </c>
      <c r="H1000">
        <v>299.69229999999999</v>
      </c>
      <c r="I1000">
        <v>0.9</v>
      </c>
      <c r="J1000">
        <v>317</v>
      </c>
      <c r="L1000">
        <v>0</v>
      </c>
    </row>
    <row r="1001" spans="1:12" x14ac:dyDescent="0.35">
      <c r="A1001" s="1">
        <v>45413</v>
      </c>
      <c r="B1001" t="s">
        <v>10</v>
      </c>
      <c r="C1001" t="s">
        <v>22</v>
      </c>
      <c r="D1001">
        <f>AVERAGE(1656,1624,1588,1540)</f>
        <v>1602</v>
      </c>
      <c r="E1001">
        <v>0</v>
      </c>
      <c r="F1001">
        <v>29.193258</v>
      </c>
      <c r="G1001">
        <v>413.80002000000002</v>
      </c>
      <c r="H1001">
        <v>299.69229999999999</v>
      </c>
      <c r="I1001">
        <v>0.9</v>
      </c>
      <c r="J1001">
        <v>317</v>
      </c>
      <c r="L1001">
        <v>0</v>
      </c>
    </row>
    <row r="1002" spans="1:12" x14ac:dyDescent="0.35">
      <c r="A1002" s="1">
        <v>45413</v>
      </c>
      <c r="B1002" t="s">
        <v>10</v>
      </c>
      <c r="C1002" t="s">
        <v>23</v>
      </c>
      <c r="D1002">
        <f>AVERAGE(1500,1573,1593,1645)</f>
        <v>1577.75</v>
      </c>
      <c r="E1002">
        <v>0</v>
      </c>
      <c r="F1002">
        <v>30.699808000000001</v>
      </c>
      <c r="G1002">
        <v>220.8</v>
      </c>
      <c r="H1002">
        <v>299.69229999999999</v>
      </c>
      <c r="I1002">
        <v>0.9</v>
      </c>
      <c r="J1002">
        <v>317</v>
      </c>
      <c r="L1002">
        <v>0</v>
      </c>
    </row>
    <row r="1003" spans="1:12" x14ac:dyDescent="0.35">
      <c r="A1003" s="1">
        <v>45413</v>
      </c>
      <c r="B1003" t="s">
        <v>10</v>
      </c>
      <c r="C1003" t="s">
        <v>24</v>
      </c>
      <c r="D1003">
        <f>AVERAGE(1650,1750,1770,1750)</f>
        <v>1730</v>
      </c>
      <c r="E1003">
        <v>0</v>
      </c>
      <c r="F1003">
        <v>32.878579999999999</v>
      </c>
      <c r="G1003">
        <v>206.3</v>
      </c>
      <c r="H1003">
        <v>299.69229999999999</v>
      </c>
      <c r="I1003">
        <v>0.9</v>
      </c>
      <c r="J1003">
        <v>317</v>
      </c>
      <c r="L1003">
        <v>0</v>
      </c>
    </row>
    <row r="1004" spans="1:12" x14ac:dyDescent="0.35">
      <c r="A1004" s="1">
        <v>45413</v>
      </c>
      <c r="B1004" t="s">
        <v>25</v>
      </c>
      <c r="C1004" t="s">
        <v>11</v>
      </c>
      <c r="D1004">
        <f>AVERAGE(2400,2500,2517,2275)</f>
        <v>2423</v>
      </c>
      <c r="E1004">
        <v>0</v>
      </c>
      <c r="F1004">
        <v>29.222677000000001</v>
      </c>
      <c r="G1004">
        <v>377.3</v>
      </c>
      <c r="H1004">
        <v>299.69229999999999</v>
      </c>
      <c r="I1004">
        <v>0.9</v>
      </c>
      <c r="J1004">
        <v>317</v>
      </c>
      <c r="L1004">
        <v>0</v>
      </c>
    </row>
    <row r="1005" spans="1:12" x14ac:dyDescent="0.35">
      <c r="A1005" s="1">
        <v>45413</v>
      </c>
      <c r="B1005" t="s">
        <v>25</v>
      </c>
      <c r="C1005" t="s">
        <v>12</v>
      </c>
      <c r="D1005">
        <f>AVERAGE(2575,2450,2200,2188)</f>
        <v>2353.25</v>
      </c>
      <c r="E1005">
        <v>0</v>
      </c>
      <c r="F1005">
        <v>29.532129999999999</v>
      </c>
      <c r="G1005">
        <v>450.4</v>
      </c>
      <c r="H1005">
        <v>299.69229999999999</v>
      </c>
      <c r="I1005">
        <v>0.9</v>
      </c>
      <c r="J1005">
        <v>317</v>
      </c>
      <c r="L1005">
        <v>0</v>
      </c>
    </row>
    <row r="1006" spans="1:12" x14ac:dyDescent="0.35">
      <c r="A1006" s="1">
        <v>45413</v>
      </c>
      <c r="B1006" t="s">
        <v>25</v>
      </c>
      <c r="C1006" t="s">
        <v>14</v>
      </c>
      <c r="D1006">
        <f>AVERAGE(2233,2400,2450,2450)</f>
        <v>2383.25</v>
      </c>
      <c r="E1006">
        <v>0</v>
      </c>
      <c r="F1006">
        <v>30.328484</v>
      </c>
      <c r="G1006">
        <v>578.80005000000006</v>
      </c>
      <c r="H1006">
        <v>299.69229999999999</v>
      </c>
      <c r="I1006">
        <v>0.9</v>
      </c>
      <c r="J1006">
        <v>317</v>
      </c>
      <c r="L1006">
        <v>0</v>
      </c>
    </row>
    <row r="1007" spans="1:12" x14ac:dyDescent="0.35">
      <c r="A1007" s="1">
        <v>45413</v>
      </c>
      <c r="B1007" t="s">
        <v>25</v>
      </c>
      <c r="C1007" t="s">
        <v>16</v>
      </c>
      <c r="D1007">
        <f>AVERAGE(2116,2183,2200,2100)</f>
        <v>2149.75</v>
      </c>
      <c r="E1007">
        <v>0</v>
      </c>
      <c r="F1007">
        <v>30.034417999999999</v>
      </c>
      <c r="G1007">
        <v>208.1</v>
      </c>
      <c r="H1007">
        <v>299.69229999999999</v>
      </c>
      <c r="I1007">
        <v>0.9</v>
      </c>
      <c r="J1007">
        <v>317</v>
      </c>
      <c r="L1007">
        <v>0</v>
      </c>
    </row>
    <row r="1008" spans="1:12" x14ac:dyDescent="0.35">
      <c r="A1008" s="1">
        <v>45413</v>
      </c>
      <c r="B1008" t="s">
        <v>25</v>
      </c>
      <c r="C1008" t="s">
        <v>24</v>
      </c>
      <c r="D1008">
        <f>AVERAGE(2060,2110,2160,2100)</f>
        <v>2107.5</v>
      </c>
      <c r="E1008">
        <v>0</v>
      </c>
      <c r="F1008">
        <v>32.878579999999999</v>
      </c>
      <c r="G1008">
        <v>206.3</v>
      </c>
      <c r="H1008">
        <v>299.69229999999999</v>
      </c>
      <c r="I1008">
        <v>0.9</v>
      </c>
      <c r="J1008">
        <v>317</v>
      </c>
      <c r="L1008">
        <v>0</v>
      </c>
    </row>
    <row r="1009" spans="1:12" x14ac:dyDescent="0.35">
      <c r="A1009" s="1">
        <v>45444</v>
      </c>
      <c r="B1009" t="s">
        <v>10</v>
      </c>
      <c r="C1009" t="s">
        <v>11</v>
      </c>
      <c r="E1009">
        <v>1</v>
      </c>
      <c r="F1009">
        <v>27.839666000000001</v>
      </c>
      <c r="G1009">
        <v>93</v>
      </c>
      <c r="H1009">
        <v>303.81209999999999</v>
      </c>
      <c r="I1009">
        <v>1.7</v>
      </c>
      <c r="J1009">
        <v>317</v>
      </c>
      <c r="L1009">
        <v>0</v>
      </c>
    </row>
    <row r="1010" spans="1:12" x14ac:dyDescent="0.35">
      <c r="A1010" s="1">
        <v>45444</v>
      </c>
      <c r="B1010" t="s">
        <v>10</v>
      </c>
      <c r="C1010" t="s">
        <v>12</v>
      </c>
      <c r="E1010">
        <v>1</v>
      </c>
      <c r="F1010">
        <v>28.140999999999998</v>
      </c>
      <c r="G1010">
        <v>128.40001000000001</v>
      </c>
      <c r="H1010">
        <v>303.81209999999999</v>
      </c>
      <c r="I1010">
        <v>1.7</v>
      </c>
      <c r="J1010">
        <v>317</v>
      </c>
      <c r="L1010">
        <v>0</v>
      </c>
    </row>
    <row r="1011" spans="1:12" x14ac:dyDescent="0.35">
      <c r="A1011" s="1">
        <v>45444</v>
      </c>
      <c r="B1011" t="s">
        <v>10</v>
      </c>
      <c r="C1011" t="s">
        <v>13</v>
      </c>
      <c r="E1011">
        <v>1</v>
      </c>
      <c r="F1011">
        <v>19.681830999999999</v>
      </c>
      <c r="G1011">
        <v>263.39999999999998</v>
      </c>
      <c r="H1011">
        <v>303.81209999999999</v>
      </c>
      <c r="I1011">
        <v>1.7</v>
      </c>
      <c r="J1011">
        <v>317</v>
      </c>
      <c r="L1011">
        <v>0</v>
      </c>
    </row>
    <row r="1012" spans="1:12" x14ac:dyDescent="0.35">
      <c r="A1012" s="1">
        <v>45444</v>
      </c>
      <c r="B1012" t="s">
        <v>10</v>
      </c>
      <c r="C1012" t="s">
        <v>14</v>
      </c>
      <c r="E1012">
        <v>1</v>
      </c>
      <c r="F1012">
        <v>28.808</v>
      </c>
      <c r="G1012">
        <v>248.3</v>
      </c>
      <c r="H1012">
        <v>303.81209999999999</v>
      </c>
      <c r="I1012">
        <v>1.7</v>
      </c>
      <c r="J1012">
        <v>317</v>
      </c>
      <c r="L1012">
        <v>0</v>
      </c>
    </row>
    <row r="1013" spans="1:12" x14ac:dyDescent="0.35">
      <c r="A1013" s="1">
        <v>45444</v>
      </c>
      <c r="B1013" t="s">
        <v>10</v>
      </c>
      <c r="C1013" t="s">
        <v>15</v>
      </c>
      <c r="E1013">
        <v>1</v>
      </c>
      <c r="F1013">
        <v>29.344667000000001</v>
      </c>
      <c r="G1013">
        <v>418.6</v>
      </c>
      <c r="H1013">
        <v>303.81209999999999</v>
      </c>
      <c r="I1013">
        <v>1.7</v>
      </c>
      <c r="J1013">
        <v>317</v>
      </c>
      <c r="L1013">
        <v>0</v>
      </c>
    </row>
    <row r="1014" spans="1:12" x14ac:dyDescent="0.35">
      <c r="A1014" s="1">
        <v>45444</v>
      </c>
      <c r="B1014" t="s">
        <v>10</v>
      </c>
      <c r="C1014" t="s">
        <v>16</v>
      </c>
      <c r="E1014">
        <v>1</v>
      </c>
      <c r="F1014">
        <v>29.910333999999999</v>
      </c>
      <c r="G1014">
        <v>75.200005000000004</v>
      </c>
      <c r="H1014">
        <v>303.81209999999999</v>
      </c>
      <c r="I1014">
        <v>1.7</v>
      </c>
      <c r="J1014">
        <v>317</v>
      </c>
      <c r="L1014">
        <v>0</v>
      </c>
    </row>
    <row r="1015" spans="1:12" x14ac:dyDescent="0.35">
      <c r="A1015" s="1">
        <v>45444</v>
      </c>
      <c r="B1015" t="s">
        <v>10</v>
      </c>
      <c r="C1015" t="s">
        <v>17</v>
      </c>
      <c r="E1015">
        <v>1</v>
      </c>
      <c r="F1015">
        <v>29.649332000000001</v>
      </c>
      <c r="G1015">
        <v>130.69999999999999</v>
      </c>
      <c r="H1015">
        <v>303.81209999999999</v>
      </c>
      <c r="I1015">
        <v>1.7</v>
      </c>
      <c r="J1015">
        <v>317</v>
      </c>
      <c r="L1015">
        <v>0</v>
      </c>
    </row>
    <row r="1016" spans="1:12" x14ac:dyDescent="0.35">
      <c r="A1016" s="1">
        <v>45444</v>
      </c>
      <c r="B1016" t="s">
        <v>10</v>
      </c>
      <c r="C1016" t="s">
        <v>18</v>
      </c>
      <c r="E1016">
        <v>1</v>
      </c>
      <c r="F1016">
        <v>29.205666999999998</v>
      </c>
      <c r="G1016">
        <v>323.10000000000002</v>
      </c>
      <c r="H1016">
        <v>303.81209999999999</v>
      </c>
      <c r="I1016">
        <v>1.7</v>
      </c>
      <c r="J1016">
        <v>317</v>
      </c>
      <c r="L1016">
        <v>0</v>
      </c>
    </row>
    <row r="1017" spans="1:12" x14ac:dyDescent="0.35">
      <c r="A1017" s="1">
        <v>45444</v>
      </c>
      <c r="B1017" t="s">
        <v>10</v>
      </c>
      <c r="C1017" t="s">
        <v>19</v>
      </c>
      <c r="E1017">
        <v>1</v>
      </c>
      <c r="F1017">
        <v>29.718332</v>
      </c>
      <c r="G1017">
        <v>338</v>
      </c>
      <c r="H1017">
        <v>303.81209999999999</v>
      </c>
      <c r="I1017">
        <v>1.7</v>
      </c>
      <c r="J1017">
        <v>317</v>
      </c>
      <c r="L1017">
        <v>0</v>
      </c>
    </row>
    <row r="1018" spans="1:12" x14ac:dyDescent="0.35">
      <c r="A1018" s="1">
        <v>45444</v>
      </c>
      <c r="B1018" t="s">
        <v>10</v>
      </c>
      <c r="C1018" t="s">
        <v>20</v>
      </c>
      <c r="E1018">
        <v>1</v>
      </c>
      <c r="F1018">
        <v>29.391332999999999</v>
      </c>
      <c r="G1018">
        <v>323.7</v>
      </c>
      <c r="H1018">
        <v>303.81209999999999</v>
      </c>
      <c r="I1018">
        <v>1.7</v>
      </c>
      <c r="J1018">
        <v>317</v>
      </c>
      <c r="L1018">
        <v>0</v>
      </c>
    </row>
    <row r="1019" spans="1:12" x14ac:dyDescent="0.35">
      <c r="A1019" s="1">
        <v>45444</v>
      </c>
      <c r="B1019" t="s">
        <v>10</v>
      </c>
      <c r="C1019" t="s">
        <v>21</v>
      </c>
      <c r="E1019">
        <v>1</v>
      </c>
      <c r="F1019">
        <v>29.279999</v>
      </c>
      <c r="G1019">
        <v>317.39999999999998</v>
      </c>
      <c r="H1019">
        <v>303.81209999999999</v>
      </c>
      <c r="I1019">
        <v>1.7</v>
      </c>
      <c r="J1019">
        <v>317</v>
      </c>
      <c r="L1019">
        <v>0</v>
      </c>
    </row>
    <row r="1020" spans="1:12" x14ac:dyDescent="0.35">
      <c r="A1020" s="1">
        <v>45444</v>
      </c>
      <c r="B1020" t="s">
        <v>10</v>
      </c>
      <c r="C1020" t="s">
        <v>22</v>
      </c>
      <c r="E1020">
        <v>1</v>
      </c>
      <c r="F1020">
        <v>28.585999999999999</v>
      </c>
      <c r="G1020">
        <v>201.1</v>
      </c>
      <c r="H1020">
        <v>303.81209999999999</v>
      </c>
      <c r="I1020">
        <v>1.7</v>
      </c>
      <c r="J1020">
        <v>317</v>
      </c>
      <c r="L1020">
        <v>0</v>
      </c>
    </row>
    <row r="1021" spans="1:12" x14ac:dyDescent="0.35">
      <c r="A1021" s="1">
        <v>45444</v>
      </c>
      <c r="B1021" t="s">
        <v>10</v>
      </c>
      <c r="C1021" t="s">
        <v>23</v>
      </c>
      <c r="E1021">
        <v>1</v>
      </c>
      <c r="F1021">
        <v>30.274000000000001</v>
      </c>
      <c r="G1021">
        <v>53.2</v>
      </c>
      <c r="H1021">
        <v>303.81209999999999</v>
      </c>
      <c r="I1021">
        <v>1.7</v>
      </c>
      <c r="J1021">
        <v>317</v>
      </c>
      <c r="L1021">
        <v>0</v>
      </c>
    </row>
    <row r="1022" spans="1:12" x14ac:dyDescent="0.35">
      <c r="A1022" s="1">
        <v>45444</v>
      </c>
      <c r="B1022" t="s">
        <v>10</v>
      </c>
      <c r="C1022" t="s">
        <v>24</v>
      </c>
      <c r="E1022">
        <v>1</v>
      </c>
      <c r="F1022">
        <v>33.490997</v>
      </c>
      <c r="G1022">
        <v>35.700000000000003</v>
      </c>
      <c r="H1022">
        <v>303.81209999999999</v>
      </c>
      <c r="I1022">
        <v>1.7</v>
      </c>
      <c r="J1022">
        <v>317</v>
      </c>
      <c r="L1022">
        <v>0</v>
      </c>
    </row>
    <row r="1023" spans="1:12" x14ac:dyDescent="0.35">
      <c r="A1023" s="1">
        <v>45444</v>
      </c>
      <c r="B1023" t="s">
        <v>25</v>
      </c>
      <c r="C1023" t="s">
        <v>11</v>
      </c>
      <c r="E1023">
        <v>1</v>
      </c>
      <c r="F1023">
        <v>27.839666000000001</v>
      </c>
      <c r="G1023">
        <v>93</v>
      </c>
      <c r="H1023">
        <v>303.81209999999999</v>
      </c>
      <c r="I1023">
        <v>1.7</v>
      </c>
      <c r="J1023">
        <v>317</v>
      </c>
      <c r="L1023">
        <v>0</v>
      </c>
    </row>
    <row r="1024" spans="1:12" x14ac:dyDescent="0.35">
      <c r="A1024" s="1">
        <v>45444</v>
      </c>
      <c r="B1024" t="s">
        <v>25</v>
      </c>
      <c r="C1024" t="s">
        <v>12</v>
      </c>
      <c r="E1024">
        <v>1</v>
      </c>
      <c r="F1024">
        <v>28.140999999999998</v>
      </c>
      <c r="G1024">
        <v>128.40001000000001</v>
      </c>
      <c r="H1024">
        <v>303.81209999999999</v>
      </c>
      <c r="I1024">
        <v>1.7</v>
      </c>
      <c r="J1024">
        <v>317</v>
      </c>
      <c r="L1024">
        <v>0</v>
      </c>
    </row>
    <row r="1025" spans="1:12" x14ac:dyDescent="0.35">
      <c r="A1025" s="1">
        <v>45444</v>
      </c>
      <c r="B1025" t="s">
        <v>25</v>
      </c>
      <c r="C1025" t="s">
        <v>14</v>
      </c>
      <c r="E1025">
        <v>1</v>
      </c>
      <c r="F1025">
        <v>28.808</v>
      </c>
      <c r="G1025">
        <v>248.3</v>
      </c>
      <c r="H1025">
        <v>303.81209999999999</v>
      </c>
      <c r="I1025">
        <v>1.7</v>
      </c>
      <c r="J1025">
        <v>317</v>
      </c>
      <c r="L1025">
        <v>0</v>
      </c>
    </row>
    <row r="1026" spans="1:12" x14ac:dyDescent="0.35">
      <c r="A1026" s="1">
        <v>45444</v>
      </c>
      <c r="B1026" t="s">
        <v>25</v>
      </c>
      <c r="C1026" t="s">
        <v>16</v>
      </c>
      <c r="E1026">
        <v>1</v>
      </c>
      <c r="F1026">
        <v>29.910333999999999</v>
      </c>
      <c r="G1026">
        <v>75.200005000000004</v>
      </c>
      <c r="H1026">
        <v>303.81209999999999</v>
      </c>
      <c r="I1026">
        <v>1.7</v>
      </c>
      <c r="J1026">
        <v>317</v>
      </c>
      <c r="L1026">
        <v>0</v>
      </c>
    </row>
    <row r="1027" spans="1:12" x14ac:dyDescent="0.35">
      <c r="A1027" s="1">
        <v>45444</v>
      </c>
      <c r="B1027" t="s">
        <v>25</v>
      </c>
      <c r="C1027" t="s">
        <v>24</v>
      </c>
      <c r="E1027">
        <v>1</v>
      </c>
      <c r="F1027">
        <v>33.490997</v>
      </c>
      <c r="G1027">
        <v>35.700000000000003</v>
      </c>
      <c r="H1027">
        <v>303.81209999999999</v>
      </c>
      <c r="I1027">
        <v>1.7</v>
      </c>
      <c r="J1027">
        <v>317</v>
      </c>
      <c r="L1027">
        <v>0</v>
      </c>
    </row>
    <row r="1028" spans="1:12" x14ac:dyDescent="0.35">
      <c r="A1028" s="1">
        <v>45474</v>
      </c>
      <c r="B1028" t="s">
        <v>10</v>
      </c>
      <c r="C1028" t="s">
        <v>11</v>
      </c>
      <c r="E1028">
        <v>1</v>
      </c>
      <c r="F1028">
        <v>27.482354999999998</v>
      </c>
      <c r="G1028">
        <v>136.80000000000001</v>
      </c>
      <c r="H1028">
        <v>303.7559</v>
      </c>
      <c r="I1028">
        <v>2.4</v>
      </c>
      <c r="J1028">
        <v>317</v>
      </c>
      <c r="L1028">
        <v>0</v>
      </c>
    </row>
    <row r="1029" spans="1:12" x14ac:dyDescent="0.35">
      <c r="A1029" s="1">
        <v>45474</v>
      </c>
      <c r="B1029" t="s">
        <v>10</v>
      </c>
      <c r="C1029" t="s">
        <v>12</v>
      </c>
      <c r="E1029">
        <v>1</v>
      </c>
      <c r="F1029">
        <v>28.206322</v>
      </c>
      <c r="G1029">
        <v>123.9</v>
      </c>
      <c r="H1029">
        <v>303.7559</v>
      </c>
      <c r="I1029">
        <v>2.4</v>
      </c>
      <c r="J1029">
        <v>317</v>
      </c>
      <c r="L1029">
        <v>0</v>
      </c>
    </row>
    <row r="1030" spans="1:12" x14ac:dyDescent="0.35">
      <c r="A1030" s="1">
        <v>45474</v>
      </c>
      <c r="B1030" t="s">
        <v>10</v>
      </c>
      <c r="C1030" t="s">
        <v>13</v>
      </c>
      <c r="E1030">
        <v>1</v>
      </c>
      <c r="F1030">
        <v>18.317049000000001</v>
      </c>
      <c r="G1030">
        <v>208.5</v>
      </c>
      <c r="H1030">
        <v>303.7559</v>
      </c>
      <c r="I1030">
        <v>2.4</v>
      </c>
      <c r="J1030">
        <v>317</v>
      </c>
      <c r="L1030">
        <v>0</v>
      </c>
    </row>
    <row r="1031" spans="1:12" x14ac:dyDescent="0.35">
      <c r="A1031" s="1">
        <v>45474</v>
      </c>
      <c r="B1031" t="s">
        <v>10</v>
      </c>
      <c r="C1031" t="s">
        <v>14</v>
      </c>
      <c r="E1031">
        <v>1</v>
      </c>
      <c r="F1031">
        <v>29.001064</v>
      </c>
      <c r="G1031">
        <v>242.3</v>
      </c>
      <c r="H1031">
        <v>303.7559</v>
      </c>
      <c r="I1031">
        <v>2.4</v>
      </c>
      <c r="J1031">
        <v>317</v>
      </c>
      <c r="L1031">
        <v>0</v>
      </c>
    </row>
    <row r="1032" spans="1:12" x14ac:dyDescent="0.35">
      <c r="A1032" s="1">
        <v>45474</v>
      </c>
      <c r="B1032" t="s">
        <v>10</v>
      </c>
      <c r="C1032" t="s">
        <v>15</v>
      </c>
      <c r="E1032">
        <v>1</v>
      </c>
      <c r="F1032">
        <v>29.476224999999999</v>
      </c>
      <c r="G1032">
        <v>350.5</v>
      </c>
      <c r="H1032">
        <v>303.7559</v>
      </c>
      <c r="I1032">
        <v>2.4</v>
      </c>
      <c r="J1032">
        <v>317</v>
      </c>
      <c r="L1032">
        <v>0</v>
      </c>
    </row>
    <row r="1033" spans="1:12" x14ac:dyDescent="0.35">
      <c r="A1033" s="1">
        <v>45474</v>
      </c>
      <c r="B1033" t="s">
        <v>10</v>
      </c>
      <c r="C1033" t="s">
        <v>16</v>
      </c>
      <c r="E1033">
        <v>1</v>
      </c>
      <c r="F1033">
        <v>30.615065000000001</v>
      </c>
      <c r="G1033">
        <v>101</v>
      </c>
      <c r="H1033">
        <v>303.7559</v>
      </c>
      <c r="I1033">
        <v>2.4</v>
      </c>
      <c r="J1033">
        <v>317</v>
      </c>
      <c r="L1033">
        <v>0</v>
      </c>
    </row>
    <row r="1034" spans="1:12" x14ac:dyDescent="0.35">
      <c r="A1034" s="1">
        <v>45474</v>
      </c>
      <c r="B1034" t="s">
        <v>10</v>
      </c>
      <c r="C1034" t="s">
        <v>17</v>
      </c>
      <c r="E1034">
        <v>1</v>
      </c>
      <c r="F1034">
        <v>29.812452</v>
      </c>
      <c r="G1034">
        <v>126.200005</v>
      </c>
      <c r="H1034">
        <v>303.7559</v>
      </c>
      <c r="I1034">
        <v>2.4</v>
      </c>
      <c r="J1034">
        <v>317</v>
      </c>
      <c r="L1034">
        <v>0</v>
      </c>
    </row>
    <row r="1035" spans="1:12" x14ac:dyDescent="0.35">
      <c r="A1035" s="1">
        <v>45474</v>
      </c>
      <c r="B1035" t="s">
        <v>10</v>
      </c>
      <c r="C1035" t="s">
        <v>18</v>
      </c>
      <c r="E1035">
        <v>1</v>
      </c>
      <c r="F1035">
        <v>29.019162999999999</v>
      </c>
      <c r="G1035">
        <v>311.39999999999998</v>
      </c>
      <c r="H1035">
        <v>303.7559</v>
      </c>
      <c r="I1035">
        <v>2.4</v>
      </c>
      <c r="J1035">
        <v>317</v>
      </c>
      <c r="L1035">
        <v>0</v>
      </c>
    </row>
    <row r="1036" spans="1:12" x14ac:dyDescent="0.35">
      <c r="A1036" s="1">
        <v>45474</v>
      </c>
      <c r="B1036" t="s">
        <v>10</v>
      </c>
      <c r="C1036" t="s">
        <v>19</v>
      </c>
      <c r="E1036">
        <v>1</v>
      </c>
      <c r="F1036">
        <v>29.555966999999999</v>
      </c>
      <c r="G1036">
        <v>301.60000000000002</v>
      </c>
      <c r="H1036">
        <v>303.7559</v>
      </c>
      <c r="I1036">
        <v>2.4</v>
      </c>
      <c r="J1036">
        <v>317</v>
      </c>
      <c r="L1036">
        <v>0</v>
      </c>
    </row>
    <row r="1037" spans="1:12" x14ac:dyDescent="0.35">
      <c r="A1037" s="1">
        <v>45474</v>
      </c>
      <c r="B1037" t="s">
        <v>10</v>
      </c>
      <c r="C1037" t="s">
        <v>20</v>
      </c>
      <c r="E1037">
        <v>1</v>
      </c>
      <c r="F1037">
        <v>29.297998</v>
      </c>
      <c r="G1037">
        <v>296.2</v>
      </c>
      <c r="H1037">
        <v>303.7559</v>
      </c>
      <c r="I1037">
        <v>2.4</v>
      </c>
      <c r="J1037">
        <v>317</v>
      </c>
      <c r="L1037">
        <v>0</v>
      </c>
    </row>
    <row r="1038" spans="1:12" x14ac:dyDescent="0.35">
      <c r="A1038" s="1">
        <v>45474</v>
      </c>
      <c r="B1038" t="s">
        <v>10</v>
      </c>
      <c r="C1038" t="s">
        <v>21</v>
      </c>
      <c r="E1038">
        <v>1</v>
      </c>
      <c r="F1038">
        <v>29.331612</v>
      </c>
      <c r="G1038">
        <v>252.4</v>
      </c>
      <c r="H1038">
        <v>303.7559</v>
      </c>
      <c r="I1038">
        <v>2.4</v>
      </c>
      <c r="J1038">
        <v>317</v>
      </c>
      <c r="L1038">
        <v>0</v>
      </c>
    </row>
    <row r="1039" spans="1:12" x14ac:dyDescent="0.35">
      <c r="A1039" s="1">
        <v>45474</v>
      </c>
      <c r="B1039" t="s">
        <v>10</v>
      </c>
      <c r="C1039" t="s">
        <v>22</v>
      </c>
      <c r="E1039">
        <v>1</v>
      </c>
      <c r="F1039">
        <v>28.310998999999999</v>
      </c>
      <c r="G1039">
        <v>99.3</v>
      </c>
      <c r="H1039">
        <v>303.7559</v>
      </c>
      <c r="I1039">
        <v>2.4</v>
      </c>
      <c r="J1039">
        <v>317</v>
      </c>
      <c r="L1039">
        <v>0</v>
      </c>
    </row>
    <row r="1040" spans="1:12" x14ac:dyDescent="0.35">
      <c r="A1040" s="1">
        <v>45474</v>
      </c>
      <c r="B1040" t="s">
        <v>10</v>
      </c>
      <c r="C1040" t="s">
        <v>23</v>
      </c>
      <c r="E1040">
        <v>1</v>
      </c>
      <c r="F1040">
        <v>31.556260000000002</v>
      </c>
      <c r="G1040">
        <v>38.4</v>
      </c>
      <c r="H1040">
        <v>303.7559</v>
      </c>
      <c r="I1040">
        <v>2.4</v>
      </c>
      <c r="J1040">
        <v>317</v>
      </c>
      <c r="L1040">
        <v>0</v>
      </c>
    </row>
    <row r="1041" spans="1:12" x14ac:dyDescent="0.35">
      <c r="A1041" s="1">
        <v>45474</v>
      </c>
      <c r="B1041" t="s">
        <v>10</v>
      </c>
      <c r="C1041" t="s">
        <v>24</v>
      </c>
      <c r="E1041">
        <v>1</v>
      </c>
      <c r="F1041">
        <v>35.273739999999997</v>
      </c>
      <c r="G1041">
        <v>24.5</v>
      </c>
      <c r="H1041">
        <v>303.7559</v>
      </c>
      <c r="I1041">
        <v>2.4</v>
      </c>
      <c r="J1041">
        <v>317</v>
      </c>
      <c r="L1041">
        <v>0</v>
      </c>
    </row>
    <row r="1042" spans="1:12" x14ac:dyDescent="0.35">
      <c r="A1042" s="1">
        <v>45474</v>
      </c>
      <c r="B1042" t="s">
        <v>25</v>
      </c>
      <c r="C1042" t="s">
        <v>11</v>
      </c>
      <c r="E1042">
        <v>1</v>
      </c>
      <c r="F1042">
        <v>27.482354999999998</v>
      </c>
      <c r="G1042">
        <v>136.80000000000001</v>
      </c>
      <c r="H1042">
        <v>303.7559</v>
      </c>
      <c r="I1042">
        <v>2.4</v>
      </c>
      <c r="J1042">
        <v>317</v>
      </c>
      <c r="L1042">
        <v>0</v>
      </c>
    </row>
    <row r="1043" spans="1:12" x14ac:dyDescent="0.35">
      <c r="A1043" s="1">
        <v>45474</v>
      </c>
      <c r="B1043" t="s">
        <v>25</v>
      </c>
      <c r="C1043" t="s">
        <v>12</v>
      </c>
      <c r="E1043">
        <v>1</v>
      </c>
      <c r="F1043">
        <v>28.206322</v>
      </c>
      <c r="G1043">
        <v>123.9</v>
      </c>
      <c r="H1043">
        <v>303.7559</v>
      </c>
      <c r="I1043">
        <v>2.4</v>
      </c>
      <c r="J1043">
        <v>317</v>
      </c>
      <c r="L1043">
        <v>0</v>
      </c>
    </row>
    <row r="1044" spans="1:12" x14ac:dyDescent="0.35">
      <c r="A1044" s="1">
        <v>45474</v>
      </c>
      <c r="B1044" t="s">
        <v>25</v>
      </c>
      <c r="C1044" t="s">
        <v>14</v>
      </c>
      <c r="E1044">
        <v>1</v>
      </c>
      <c r="F1044">
        <v>29.001064</v>
      </c>
      <c r="G1044">
        <v>242.3</v>
      </c>
      <c r="H1044">
        <v>303.7559</v>
      </c>
      <c r="I1044">
        <v>2.4</v>
      </c>
      <c r="J1044">
        <v>317</v>
      </c>
      <c r="L1044">
        <v>0</v>
      </c>
    </row>
    <row r="1045" spans="1:12" x14ac:dyDescent="0.35">
      <c r="A1045" s="1">
        <v>45474</v>
      </c>
      <c r="B1045" t="s">
        <v>25</v>
      </c>
      <c r="C1045" t="s">
        <v>16</v>
      </c>
      <c r="E1045">
        <v>1</v>
      </c>
      <c r="F1045">
        <v>30.615065000000001</v>
      </c>
      <c r="G1045">
        <v>101</v>
      </c>
      <c r="H1045">
        <v>303.7559</v>
      </c>
      <c r="I1045">
        <v>2.4</v>
      </c>
      <c r="J1045">
        <v>317</v>
      </c>
      <c r="L1045">
        <v>0</v>
      </c>
    </row>
    <row r="1046" spans="1:12" x14ac:dyDescent="0.35">
      <c r="A1046" s="1">
        <v>45474</v>
      </c>
      <c r="B1046" t="s">
        <v>25</v>
      </c>
      <c r="C1046" t="s">
        <v>24</v>
      </c>
      <c r="E1046">
        <v>1</v>
      </c>
      <c r="F1046">
        <v>35.273739999999997</v>
      </c>
      <c r="G1046">
        <v>24.5</v>
      </c>
      <c r="H1046">
        <v>303.7559</v>
      </c>
      <c r="I1046">
        <v>2.4</v>
      </c>
      <c r="J1046">
        <v>317</v>
      </c>
      <c r="L1046">
        <v>0</v>
      </c>
    </row>
    <row r="1047" spans="1:12" x14ac:dyDescent="0.35">
      <c r="A1047" s="1">
        <v>45505</v>
      </c>
      <c r="B1047" t="s">
        <v>10</v>
      </c>
      <c r="C1047" t="s">
        <v>11</v>
      </c>
      <c r="E1047">
        <v>1</v>
      </c>
      <c r="F1047">
        <v>27.562999999999999</v>
      </c>
      <c r="G1047">
        <v>150.69999999999999</v>
      </c>
      <c r="H1047">
        <v>300.66829999999999</v>
      </c>
      <c r="I1047">
        <v>0.5</v>
      </c>
      <c r="J1047">
        <v>307</v>
      </c>
      <c r="L1047">
        <v>0</v>
      </c>
    </row>
    <row r="1048" spans="1:12" x14ac:dyDescent="0.35">
      <c r="A1048" s="1">
        <v>45505</v>
      </c>
      <c r="B1048" t="s">
        <v>10</v>
      </c>
      <c r="C1048" t="s">
        <v>12</v>
      </c>
      <c r="E1048">
        <v>1</v>
      </c>
      <c r="F1048">
        <v>28.062777000000001</v>
      </c>
      <c r="G1048">
        <v>183.8</v>
      </c>
      <c r="H1048">
        <v>300.66829999999999</v>
      </c>
      <c r="I1048">
        <v>0.5</v>
      </c>
      <c r="J1048">
        <v>307</v>
      </c>
      <c r="L1048">
        <v>0</v>
      </c>
    </row>
    <row r="1049" spans="1:12" x14ac:dyDescent="0.35">
      <c r="A1049" s="1">
        <v>45505</v>
      </c>
      <c r="B1049" t="s">
        <v>10</v>
      </c>
      <c r="C1049" t="s">
        <v>13</v>
      </c>
      <c r="E1049">
        <v>1</v>
      </c>
      <c r="F1049">
        <v>19.233174999999999</v>
      </c>
      <c r="G1049">
        <v>205.5</v>
      </c>
      <c r="H1049">
        <v>300.66829999999999</v>
      </c>
      <c r="I1049">
        <v>0.5</v>
      </c>
      <c r="J1049">
        <v>307</v>
      </c>
      <c r="L1049">
        <v>0</v>
      </c>
    </row>
    <row r="1050" spans="1:12" x14ac:dyDescent="0.35">
      <c r="A1050" s="1">
        <v>45505</v>
      </c>
      <c r="B1050" t="s">
        <v>10</v>
      </c>
      <c r="C1050" t="s">
        <v>14</v>
      </c>
      <c r="E1050">
        <v>1</v>
      </c>
      <c r="F1050">
        <v>28.630098</v>
      </c>
      <c r="G1050">
        <v>240.69998000000001</v>
      </c>
      <c r="H1050">
        <v>300.66829999999999</v>
      </c>
      <c r="I1050">
        <v>0.5</v>
      </c>
      <c r="J1050">
        <v>307</v>
      </c>
      <c r="L1050">
        <v>0</v>
      </c>
    </row>
    <row r="1051" spans="1:12" x14ac:dyDescent="0.35">
      <c r="A1051" s="1">
        <v>45505</v>
      </c>
      <c r="B1051" t="s">
        <v>10</v>
      </c>
      <c r="C1051" t="s">
        <v>15</v>
      </c>
      <c r="E1051">
        <v>1</v>
      </c>
      <c r="F1051">
        <v>29.014935999999999</v>
      </c>
      <c r="G1051">
        <v>455.00002999999998</v>
      </c>
      <c r="H1051">
        <v>300.66829999999999</v>
      </c>
      <c r="I1051">
        <v>0.5</v>
      </c>
      <c r="J1051">
        <v>307</v>
      </c>
      <c r="L1051">
        <v>0</v>
      </c>
    </row>
    <row r="1052" spans="1:12" x14ac:dyDescent="0.35">
      <c r="A1052" s="1">
        <v>45505</v>
      </c>
      <c r="B1052" t="s">
        <v>10</v>
      </c>
      <c r="C1052" t="s">
        <v>16</v>
      </c>
      <c r="E1052">
        <v>1</v>
      </c>
      <c r="F1052">
        <v>29.29571</v>
      </c>
      <c r="G1052">
        <v>202.3</v>
      </c>
      <c r="H1052">
        <v>300.66829999999999</v>
      </c>
      <c r="I1052">
        <v>0.5</v>
      </c>
      <c r="J1052">
        <v>307</v>
      </c>
      <c r="L1052">
        <v>0</v>
      </c>
    </row>
    <row r="1053" spans="1:12" x14ac:dyDescent="0.35">
      <c r="A1053" s="1">
        <v>45505</v>
      </c>
      <c r="B1053" t="s">
        <v>10</v>
      </c>
      <c r="C1053" t="s">
        <v>17</v>
      </c>
      <c r="E1053">
        <v>1</v>
      </c>
      <c r="F1053">
        <v>29.597937000000002</v>
      </c>
      <c r="G1053">
        <v>187.7</v>
      </c>
      <c r="H1053">
        <v>300.66829999999999</v>
      </c>
      <c r="I1053">
        <v>0.5</v>
      </c>
      <c r="J1053">
        <v>307</v>
      </c>
      <c r="L1053">
        <v>0</v>
      </c>
    </row>
    <row r="1054" spans="1:12" x14ac:dyDescent="0.35">
      <c r="A1054" s="1">
        <v>45505</v>
      </c>
      <c r="B1054" t="s">
        <v>10</v>
      </c>
      <c r="C1054" t="s">
        <v>18</v>
      </c>
      <c r="E1054">
        <v>1</v>
      </c>
      <c r="F1054">
        <v>28.590132000000001</v>
      </c>
      <c r="G1054">
        <v>355.80002000000002</v>
      </c>
      <c r="H1054">
        <v>300.66829999999999</v>
      </c>
      <c r="I1054">
        <v>0.5</v>
      </c>
      <c r="J1054">
        <v>307</v>
      </c>
      <c r="L1054">
        <v>0</v>
      </c>
    </row>
    <row r="1055" spans="1:12" x14ac:dyDescent="0.35">
      <c r="A1055" s="1">
        <v>45505</v>
      </c>
      <c r="B1055" t="s">
        <v>10</v>
      </c>
      <c r="C1055" t="s">
        <v>19</v>
      </c>
      <c r="E1055">
        <v>1</v>
      </c>
      <c r="F1055">
        <v>29.102741000000002</v>
      </c>
      <c r="G1055">
        <v>292.10000000000002</v>
      </c>
      <c r="H1055">
        <v>300.66829999999999</v>
      </c>
      <c r="I1055">
        <v>0.5</v>
      </c>
      <c r="J1055">
        <v>307</v>
      </c>
      <c r="L1055">
        <v>0</v>
      </c>
    </row>
    <row r="1056" spans="1:12" x14ac:dyDescent="0.35">
      <c r="A1056" s="1">
        <v>45505</v>
      </c>
      <c r="B1056" t="s">
        <v>10</v>
      </c>
      <c r="C1056" t="s">
        <v>20</v>
      </c>
      <c r="E1056">
        <v>1</v>
      </c>
      <c r="F1056">
        <v>28.773806</v>
      </c>
      <c r="G1056">
        <v>366.2</v>
      </c>
      <c r="H1056">
        <v>300.66829999999999</v>
      </c>
      <c r="I1056">
        <v>0.5</v>
      </c>
      <c r="J1056">
        <v>307</v>
      </c>
      <c r="L1056">
        <v>0</v>
      </c>
    </row>
    <row r="1057" spans="1:12" x14ac:dyDescent="0.35">
      <c r="A1057" s="1">
        <v>45505</v>
      </c>
      <c r="B1057" t="s">
        <v>10</v>
      </c>
      <c r="C1057" t="s">
        <v>21</v>
      </c>
      <c r="E1057">
        <v>1</v>
      </c>
      <c r="F1057">
        <v>28.739677</v>
      </c>
      <c r="G1057">
        <v>398.2</v>
      </c>
      <c r="H1057">
        <v>300.66829999999999</v>
      </c>
      <c r="I1057">
        <v>0.5</v>
      </c>
      <c r="J1057">
        <v>307</v>
      </c>
      <c r="L1057">
        <v>0</v>
      </c>
    </row>
    <row r="1058" spans="1:12" x14ac:dyDescent="0.35">
      <c r="A1058" s="1">
        <v>45505</v>
      </c>
      <c r="B1058" t="s">
        <v>10</v>
      </c>
      <c r="C1058" t="s">
        <v>22</v>
      </c>
      <c r="E1058">
        <v>1</v>
      </c>
      <c r="F1058">
        <v>28.259388000000001</v>
      </c>
      <c r="G1058">
        <v>225.5</v>
      </c>
      <c r="H1058">
        <v>300.66829999999999</v>
      </c>
      <c r="I1058">
        <v>0.5</v>
      </c>
      <c r="J1058">
        <v>307</v>
      </c>
      <c r="L1058">
        <v>0</v>
      </c>
    </row>
    <row r="1059" spans="1:12" x14ac:dyDescent="0.35">
      <c r="A1059" s="1">
        <v>45505</v>
      </c>
      <c r="B1059" t="s">
        <v>10</v>
      </c>
      <c r="C1059" t="s">
        <v>23</v>
      </c>
      <c r="E1059">
        <v>1</v>
      </c>
      <c r="F1059">
        <v>30.927226999999998</v>
      </c>
      <c r="G1059">
        <v>109.3</v>
      </c>
      <c r="H1059">
        <v>300.66829999999999</v>
      </c>
      <c r="I1059">
        <v>0.5</v>
      </c>
      <c r="J1059">
        <v>307</v>
      </c>
      <c r="L1059">
        <v>0</v>
      </c>
    </row>
    <row r="1060" spans="1:12" x14ac:dyDescent="0.35">
      <c r="A1060" s="1">
        <v>45505</v>
      </c>
      <c r="B1060" t="s">
        <v>10</v>
      </c>
      <c r="C1060" t="s">
        <v>24</v>
      </c>
      <c r="E1060">
        <v>1</v>
      </c>
      <c r="F1060">
        <v>32.867289999999997</v>
      </c>
      <c r="G1060">
        <v>136.5</v>
      </c>
      <c r="H1060">
        <v>300.66829999999999</v>
      </c>
      <c r="I1060">
        <v>0.5</v>
      </c>
      <c r="J1060">
        <v>307</v>
      </c>
      <c r="L1060">
        <v>0</v>
      </c>
    </row>
    <row r="1061" spans="1:12" x14ac:dyDescent="0.35">
      <c r="A1061" s="1">
        <v>45505</v>
      </c>
      <c r="B1061" t="s">
        <v>25</v>
      </c>
      <c r="C1061" t="s">
        <v>11</v>
      </c>
      <c r="E1061">
        <v>1</v>
      </c>
      <c r="F1061">
        <v>27.562999999999999</v>
      </c>
      <c r="G1061">
        <v>150.69999999999999</v>
      </c>
      <c r="H1061">
        <v>300.66829999999999</v>
      </c>
      <c r="I1061">
        <v>0.5</v>
      </c>
      <c r="J1061">
        <v>307</v>
      </c>
      <c r="L1061">
        <v>0</v>
      </c>
    </row>
    <row r="1062" spans="1:12" x14ac:dyDescent="0.35">
      <c r="A1062" s="1">
        <v>45505</v>
      </c>
      <c r="B1062" t="s">
        <v>25</v>
      </c>
      <c r="C1062" t="s">
        <v>12</v>
      </c>
      <c r="E1062">
        <v>1</v>
      </c>
      <c r="F1062">
        <v>28.062777000000001</v>
      </c>
      <c r="G1062">
        <v>183.8</v>
      </c>
      <c r="H1062">
        <v>300.66829999999999</v>
      </c>
      <c r="I1062">
        <v>0.5</v>
      </c>
      <c r="J1062">
        <v>307</v>
      </c>
      <c r="L1062">
        <v>0</v>
      </c>
    </row>
    <row r="1063" spans="1:12" x14ac:dyDescent="0.35">
      <c r="A1063" s="1">
        <v>45505</v>
      </c>
      <c r="B1063" t="s">
        <v>25</v>
      </c>
      <c r="C1063" t="s">
        <v>14</v>
      </c>
      <c r="E1063">
        <v>1</v>
      </c>
      <c r="F1063">
        <v>28.630098</v>
      </c>
      <c r="G1063">
        <v>240.69998000000001</v>
      </c>
      <c r="H1063">
        <v>300.66829999999999</v>
      </c>
      <c r="I1063">
        <v>0.5</v>
      </c>
      <c r="J1063">
        <v>307</v>
      </c>
      <c r="L1063">
        <v>0</v>
      </c>
    </row>
    <row r="1064" spans="1:12" x14ac:dyDescent="0.35">
      <c r="A1064" s="1">
        <v>45505</v>
      </c>
      <c r="B1064" t="s">
        <v>25</v>
      </c>
      <c r="C1064" t="s">
        <v>16</v>
      </c>
      <c r="E1064">
        <v>1</v>
      </c>
      <c r="F1064">
        <v>29.29571</v>
      </c>
      <c r="G1064">
        <v>202.3</v>
      </c>
      <c r="H1064">
        <v>300.66829999999999</v>
      </c>
      <c r="I1064">
        <v>0.5</v>
      </c>
      <c r="J1064">
        <v>307</v>
      </c>
      <c r="L1064">
        <v>0</v>
      </c>
    </row>
    <row r="1065" spans="1:12" x14ac:dyDescent="0.35">
      <c r="A1065" s="1">
        <v>45505</v>
      </c>
      <c r="B1065" t="s">
        <v>25</v>
      </c>
      <c r="C1065" t="s">
        <v>24</v>
      </c>
      <c r="E1065">
        <v>1</v>
      </c>
      <c r="F1065">
        <v>32.867289999999997</v>
      </c>
      <c r="G1065">
        <v>136.5</v>
      </c>
      <c r="H1065">
        <v>300.66829999999999</v>
      </c>
      <c r="I1065">
        <v>0.5</v>
      </c>
      <c r="J1065">
        <v>307</v>
      </c>
      <c r="L1065">
        <v>0</v>
      </c>
    </row>
    <row r="1066" spans="1:12" x14ac:dyDescent="0.35">
      <c r="A1066" s="1">
        <v>45536</v>
      </c>
      <c r="B1066" t="s">
        <v>10</v>
      </c>
      <c r="C1066" t="s">
        <v>11</v>
      </c>
      <c r="E1066">
        <v>0</v>
      </c>
      <c r="F1066">
        <v>28.172999999999998</v>
      </c>
      <c r="G1066">
        <v>104.8</v>
      </c>
      <c r="H1066">
        <v>301.15050000000002</v>
      </c>
      <c r="I1066">
        <v>-0.5</v>
      </c>
      <c r="J1066">
        <v>283</v>
      </c>
      <c r="L1066">
        <v>0</v>
      </c>
    </row>
    <row r="1067" spans="1:12" x14ac:dyDescent="0.35">
      <c r="A1067" s="1">
        <v>45536</v>
      </c>
      <c r="B1067" t="s">
        <v>10</v>
      </c>
      <c r="C1067" t="s">
        <v>12</v>
      </c>
      <c r="E1067">
        <v>0</v>
      </c>
      <c r="F1067">
        <v>28.464333</v>
      </c>
      <c r="G1067">
        <v>119</v>
      </c>
      <c r="H1067">
        <v>301.15050000000002</v>
      </c>
      <c r="I1067">
        <v>-0.5</v>
      </c>
      <c r="J1067">
        <v>283</v>
      </c>
      <c r="L1067">
        <v>0</v>
      </c>
    </row>
    <row r="1068" spans="1:12" x14ac:dyDescent="0.35">
      <c r="A1068" s="1">
        <v>45536</v>
      </c>
      <c r="B1068" t="s">
        <v>10</v>
      </c>
      <c r="C1068" t="s">
        <v>13</v>
      </c>
      <c r="E1068">
        <v>0</v>
      </c>
      <c r="F1068">
        <v>18.773499999999999</v>
      </c>
      <c r="G1068">
        <v>164</v>
      </c>
      <c r="H1068">
        <v>301.15050000000002</v>
      </c>
      <c r="I1068">
        <v>-0.5</v>
      </c>
      <c r="J1068">
        <v>283</v>
      </c>
      <c r="L1068">
        <v>0</v>
      </c>
    </row>
    <row r="1069" spans="1:12" x14ac:dyDescent="0.35">
      <c r="A1069" s="1">
        <v>45536</v>
      </c>
      <c r="B1069" t="s">
        <v>10</v>
      </c>
      <c r="C1069" t="s">
        <v>14</v>
      </c>
      <c r="E1069">
        <v>0</v>
      </c>
      <c r="F1069">
        <v>29.111333999999999</v>
      </c>
      <c r="G1069">
        <v>175.2</v>
      </c>
      <c r="H1069">
        <v>301.15050000000002</v>
      </c>
      <c r="I1069">
        <v>-0.5</v>
      </c>
      <c r="J1069">
        <v>283</v>
      </c>
      <c r="L1069">
        <v>0</v>
      </c>
    </row>
    <row r="1070" spans="1:12" x14ac:dyDescent="0.35">
      <c r="A1070" s="1">
        <v>45536</v>
      </c>
      <c r="B1070" t="s">
        <v>10</v>
      </c>
      <c r="C1070" t="s">
        <v>15</v>
      </c>
      <c r="E1070">
        <v>0</v>
      </c>
      <c r="F1070">
        <v>29.334667</v>
      </c>
      <c r="G1070">
        <v>350.30002000000002</v>
      </c>
      <c r="H1070">
        <v>301.15050000000002</v>
      </c>
      <c r="I1070">
        <v>-0.5</v>
      </c>
      <c r="J1070">
        <v>283</v>
      </c>
      <c r="L1070">
        <v>0</v>
      </c>
    </row>
    <row r="1071" spans="1:12" x14ac:dyDescent="0.35">
      <c r="A1071" s="1">
        <v>45536</v>
      </c>
      <c r="B1071" t="s">
        <v>10</v>
      </c>
      <c r="C1071" t="s">
        <v>16</v>
      </c>
      <c r="E1071">
        <v>0</v>
      </c>
      <c r="F1071">
        <v>31.153666000000001</v>
      </c>
      <c r="G1071">
        <v>148</v>
      </c>
      <c r="H1071">
        <v>301.15050000000002</v>
      </c>
      <c r="I1071">
        <v>-0.5</v>
      </c>
      <c r="J1071">
        <v>283</v>
      </c>
      <c r="L1071">
        <v>0</v>
      </c>
    </row>
    <row r="1072" spans="1:12" x14ac:dyDescent="0.35">
      <c r="A1072" s="1">
        <v>45536</v>
      </c>
      <c r="B1072" t="s">
        <v>10</v>
      </c>
      <c r="C1072" t="s">
        <v>17</v>
      </c>
      <c r="E1072">
        <v>0</v>
      </c>
      <c r="F1072">
        <v>30.225999999999999</v>
      </c>
      <c r="G1072">
        <v>121.5</v>
      </c>
      <c r="H1072">
        <v>301.15050000000002</v>
      </c>
      <c r="I1072">
        <v>-0.5</v>
      </c>
      <c r="J1072">
        <v>283</v>
      </c>
      <c r="L1072">
        <v>0</v>
      </c>
    </row>
    <row r="1073" spans="1:12" x14ac:dyDescent="0.35">
      <c r="A1073" s="1">
        <v>45536</v>
      </c>
      <c r="B1073" t="s">
        <v>10</v>
      </c>
      <c r="C1073" t="s">
        <v>18</v>
      </c>
      <c r="E1073">
        <v>0</v>
      </c>
      <c r="F1073">
        <v>29.242334</v>
      </c>
      <c r="G1073">
        <v>286.60000000000002</v>
      </c>
      <c r="H1073">
        <v>301.15050000000002</v>
      </c>
      <c r="I1073">
        <v>-0.5</v>
      </c>
      <c r="J1073">
        <v>283</v>
      </c>
      <c r="L1073">
        <v>0</v>
      </c>
    </row>
    <row r="1074" spans="1:12" x14ac:dyDescent="0.35">
      <c r="A1074" s="1">
        <v>45536</v>
      </c>
      <c r="B1074" t="s">
        <v>10</v>
      </c>
      <c r="C1074" t="s">
        <v>19</v>
      </c>
      <c r="E1074">
        <v>0</v>
      </c>
      <c r="F1074">
        <v>29.948332000000001</v>
      </c>
      <c r="G1074">
        <v>295.10000000000002</v>
      </c>
      <c r="H1074">
        <v>301.15050000000002</v>
      </c>
      <c r="I1074">
        <v>-0.5</v>
      </c>
      <c r="J1074">
        <v>283</v>
      </c>
      <c r="L1074">
        <v>0</v>
      </c>
    </row>
    <row r="1075" spans="1:12" x14ac:dyDescent="0.35">
      <c r="A1075" s="1">
        <v>45536</v>
      </c>
      <c r="B1075" t="s">
        <v>10</v>
      </c>
      <c r="C1075" t="s">
        <v>20</v>
      </c>
      <c r="E1075">
        <v>0</v>
      </c>
      <c r="F1075">
        <v>29.402998</v>
      </c>
      <c r="G1075">
        <v>311.39999999999998</v>
      </c>
      <c r="H1075">
        <v>301.15050000000002</v>
      </c>
      <c r="I1075">
        <v>-0.5</v>
      </c>
      <c r="J1075">
        <v>283</v>
      </c>
      <c r="L1075">
        <v>0</v>
      </c>
    </row>
    <row r="1076" spans="1:12" x14ac:dyDescent="0.35">
      <c r="A1076" s="1">
        <v>45536</v>
      </c>
      <c r="B1076" t="s">
        <v>10</v>
      </c>
      <c r="C1076" t="s">
        <v>21</v>
      </c>
      <c r="E1076">
        <v>0</v>
      </c>
      <c r="F1076">
        <v>29.144998999999999</v>
      </c>
      <c r="G1076">
        <v>290.3</v>
      </c>
      <c r="H1076">
        <v>301.15050000000002</v>
      </c>
      <c r="I1076">
        <v>-0.5</v>
      </c>
      <c r="J1076">
        <v>283</v>
      </c>
      <c r="L1076">
        <v>0</v>
      </c>
    </row>
    <row r="1077" spans="1:12" x14ac:dyDescent="0.35">
      <c r="A1077" s="1">
        <v>45536</v>
      </c>
      <c r="B1077" t="s">
        <v>10</v>
      </c>
      <c r="C1077" t="s">
        <v>22</v>
      </c>
      <c r="E1077">
        <v>0</v>
      </c>
      <c r="F1077">
        <v>28.311</v>
      </c>
      <c r="G1077">
        <v>154.69999999999999</v>
      </c>
      <c r="H1077">
        <v>301.15050000000002</v>
      </c>
      <c r="I1077">
        <v>-0.5</v>
      </c>
      <c r="J1077">
        <v>283</v>
      </c>
      <c r="L1077">
        <v>0</v>
      </c>
    </row>
    <row r="1078" spans="1:12" x14ac:dyDescent="0.35">
      <c r="A1078" s="1">
        <v>45536</v>
      </c>
      <c r="B1078" t="s">
        <v>10</v>
      </c>
      <c r="C1078" t="s">
        <v>23</v>
      </c>
      <c r="E1078">
        <v>0</v>
      </c>
      <c r="F1078">
        <v>31.470666999999999</v>
      </c>
      <c r="G1078">
        <v>75</v>
      </c>
      <c r="H1078">
        <v>301.15050000000002</v>
      </c>
      <c r="I1078">
        <v>-0.5</v>
      </c>
      <c r="J1078">
        <v>283</v>
      </c>
      <c r="L1078">
        <v>0</v>
      </c>
    </row>
    <row r="1079" spans="1:12" x14ac:dyDescent="0.35">
      <c r="A1079" s="1">
        <v>45536</v>
      </c>
      <c r="B1079" t="s">
        <v>10</v>
      </c>
      <c r="C1079" t="s">
        <v>24</v>
      </c>
      <c r="E1079">
        <v>0</v>
      </c>
      <c r="F1079">
        <v>35.079334000000003</v>
      </c>
      <c r="G1079">
        <v>110.60000599999999</v>
      </c>
      <c r="H1079">
        <v>301.15050000000002</v>
      </c>
      <c r="I1079">
        <v>-0.5</v>
      </c>
      <c r="J1079">
        <v>283</v>
      </c>
      <c r="L1079">
        <v>0</v>
      </c>
    </row>
    <row r="1080" spans="1:12" x14ac:dyDescent="0.35">
      <c r="A1080" s="1">
        <v>45536</v>
      </c>
      <c r="B1080" t="s">
        <v>25</v>
      </c>
      <c r="C1080" t="s">
        <v>11</v>
      </c>
      <c r="E1080">
        <v>0</v>
      </c>
      <c r="F1080">
        <v>28.172999999999998</v>
      </c>
      <c r="G1080">
        <v>104.8</v>
      </c>
      <c r="H1080">
        <v>301.15050000000002</v>
      </c>
      <c r="I1080">
        <v>-0.5</v>
      </c>
      <c r="J1080">
        <v>283</v>
      </c>
      <c r="L1080">
        <v>0</v>
      </c>
    </row>
    <row r="1081" spans="1:12" x14ac:dyDescent="0.35">
      <c r="A1081" s="1">
        <v>45536</v>
      </c>
      <c r="B1081" t="s">
        <v>25</v>
      </c>
      <c r="C1081" t="s">
        <v>12</v>
      </c>
      <c r="E1081">
        <v>0</v>
      </c>
      <c r="F1081">
        <v>28.464333</v>
      </c>
      <c r="G1081">
        <v>119</v>
      </c>
      <c r="H1081">
        <v>301.15050000000002</v>
      </c>
      <c r="I1081">
        <v>-0.5</v>
      </c>
      <c r="J1081">
        <v>283</v>
      </c>
      <c r="L1081">
        <v>0</v>
      </c>
    </row>
    <row r="1082" spans="1:12" x14ac:dyDescent="0.35">
      <c r="A1082" s="1">
        <v>45536</v>
      </c>
      <c r="B1082" t="s">
        <v>25</v>
      </c>
      <c r="C1082" t="s">
        <v>14</v>
      </c>
      <c r="E1082">
        <v>0</v>
      </c>
      <c r="F1082">
        <v>29.111333999999999</v>
      </c>
      <c r="G1082">
        <v>175.2</v>
      </c>
      <c r="H1082">
        <v>301.15050000000002</v>
      </c>
      <c r="I1082">
        <v>-0.5</v>
      </c>
      <c r="J1082">
        <v>283</v>
      </c>
      <c r="L1082">
        <v>0</v>
      </c>
    </row>
    <row r="1083" spans="1:12" x14ac:dyDescent="0.35">
      <c r="A1083" s="1">
        <v>45536</v>
      </c>
      <c r="B1083" t="s">
        <v>25</v>
      </c>
      <c r="C1083" t="s">
        <v>16</v>
      </c>
      <c r="E1083">
        <v>0</v>
      </c>
      <c r="F1083">
        <v>31.153666000000001</v>
      </c>
      <c r="G1083">
        <v>148</v>
      </c>
      <c r="H1083">
        <v>301.15050000000002</v>
      </c>
      <c r="I1083">
        <v>-0.5</v>
      </c>
      <c r="J1083">
        <v>283</v>
      </c>
      <c r="L1083">
        <v>0</v>
      </c>
    </row>
    <row r="1084" spans="1:12" x14ac:dyDescent="0.35">
      <c r="A1084" s="1">
        <v>45536</v>
      </c>
      <c r="B1084" t="s">
        <v>25</v>
      </c>
      <c r="C1084" t="s">
        <v>24</v>
      </c>
      <c r="E1084">
        <v>0</v>
      </c>
      <c r="F1084">
        <v>35.079334000000003</v>
      </c>
      <c r="G1084">
        <v>110.60000599999999</v>
      </c>
      <c r="H1084">
        <v>301.15050000000002</v>
      </c>
      <c r="I1084">
        <v>-0.5</v>
      </c>
      <c r="J1084">
        <v>283</v>
      </c>
      <c r="L1084">
        <v>0</v>
      </c>
    </row>
    <row r="1085" spans="1:12" x14ac:dyDescent="0.35">
      <c r="A1085" s="1">
        <v>45566</v>
      </c>
      <c r="B1085" t="s">
        <v>10</v>
      </c>
      <c r="C1085" t="s">
        <v>11</v>
      </c>
      <c r="E1085">
        <v>0</v>
      </c>
      <c r="F1085">
        <v>27.413001999999999</v>
      </c>
      <c r="G1085">
        <v>186.20000999999999</v>
      </c>
      <c r="H1085">
        <v>293.7851</v>
      </c>
      <c r="I1085">
        <v>-0.8</v>
      </c>
      <c r="J1085">
        <v>283</v>
      </c>
      <c r="L1085">
        <v>0</v>
      </c>
    </row>
    <row r="1086" spans="1:12" x14ac:dyDescent="0.35">
      <c r="A1086" s="1">
        <v>45566</v>
      </c>
      <c r="B1086" t="s">
        <v>10</v>
      </c>
      <c r="C1086" t="s">
        <v>12</v>
      </c>
      <c r="E1086">
        <v>0</v>
      </c>
      <c r="F1086">
        <v>27.911161</v>
      </c>
      <c r="G1086">
        <v>321</v>
      </c>
      <c r="H1086">
        <v>293.7851</v>
      </c>
      <c r="I1086">
        <v>-0.8</v>
      </c>
      <c r="J1086">
        <v>283</v>
      </c>
      <c r="L1086">
        <v>0</v>
      </c>
    </row>
    <row r="1087" spans="1:12" x14ac:dyDescent="0.35">
      <c r="A1087" s="1">
        <v>45566</v>
      </c>
      <c r="B1087" t="s">
        <v>10</v>
      </c>
      <c r="C1087" t="s">
        <v>13</v>
      </c>
      <c r="E1087">
        <v>0</v>
      </c>
      <c r="F1087">
        <v>19.310596</v>
      </c>
      <c r="G1087">
        <v>215.3</v>
      </c>
      <c r="H1087">
        <v>293.7851</v>
      </c>
      <c r="I1087">
        <v>-0.8</v>
      </c>
      <c r="J1087">
        <v>283</v>
      </c>
      <c r="L1087">
        <v>0</v>
      </c>
    </row>
    <row r="1088" spans="1:12" x14ac:dyDescent="0.35">
      <c r="A1088" s="1">
        <v>45566</v>
      </c>
      <c r="B1088" t="s">
        <v>10</v>
      </c>
      <c r="C1088" t="s">
        <v>14</v>
      </c>
      <c r="E1088">
        <v>0</v>
      </c>
      <c r="F1088">
        <v>28.563969</v>
      </c>
      <c r="G1088">
        <v>346.09998000000002</v>
      </c>
      <c r="H1088">
        <v>293.7851</v>
      </c>
      <c r="I1088">
        <v>-0.8</v>
      </c>
      <c r="J1088">
        <v>283</v>
      </c>
      <c r="L1088">
        <v>0</v>
      </c>
    </row>
    <row r="1089" spans="1:12" x14ac:dyDescent="0.35">
      <c r="A1089" s="1">
        <v>45566</v>
      </c>
      <c r="B1089" t="s">
        <v>10</v>
      </c>
      <c r="C1089" t="s">
        <v>15</v>
      </c>
      <c r="E1089">
        <v>0</v>
      </c>
      <c r="F1089">
        <v>28.785903999999999</v>
      </c>
      <c r="G1089">
        <v>506.6</v>
      </c>
      <c r="H1089">
        <v>293.7851</v>
      </c>
      <c r="I1089">
        <v>-0.8</v>
      </c>
      <c r="J1089">
        <v>283</v>
      </c>
      <c r="L1089">
        <v>0</v>
      </c>
    </row>
    <row r="1090" spans="1:12" x14ac:dyDescent="0.35">
      <c r="A1090" s="1">
        <v>45566</v>
      </c>
      <c r="B1090" t="s">
        <v>10</v>
      </c>
      <c r="C1090" t="s">
        <v>16</v>
      </c>
      <c r="E1090">
        <v>0</v>
      </c>
      <c r="F1090">
        <v>27.732804999999999</v>
      </c>
      <c r="G1090">
        <v>218.2</v>
      </c>
      <c r="H1090">
        <v>293.7851</v>
      </c>
      <c r="I1090">
        <v>-0.8</v>
      </c>
      <c r="J1090">
        <v>283</v>
      </c>
      <c r="L1090">
        <v>0</v>
      </c>
    </row>
    <row r="1091" spans="1:12" x14ac:dyDescent="0.35">
      <c r="A1091" s="1">
        <v>45566</v>
      </c>
      <c r="B1091" t="s">
        <v>10</v>
      </c>
      <c r="C1091" t="s">
        <v>17</v>
      </c>
      <c r="E1091">
        <v>0</v>
      </c>
      <c r="F1091">
        <v>29.265678000000001</v>
      </c>
      <c r="G1091">
        <v>307.7</v>
      </c>
      <c r="H1091">
        <v>293.7851</v>
      </c>
      <c r="I1091">
        <v>-0.8</v>
      </c>
      <c r="J1091">
        <v>283</v>
      </c>
      <c r="L1091">
        <v>0</v>
      </c>
    </row>
    <row r="1092" spans="1:12" x14ac:dyDescent="0.35">
      <c r="A1092" s="1">
        <v>45566</v>
      </c>
      <c r="B1092" t="s">
        <v>10</v>
      </c>
      <c r="C1092" t="s">
        <v>18</v>
      </c>
      <c r="E1092">
        <v>0</v>
      </c>
      <c r="F1092">
        <v>28.549807000000001</v>
      </c>
      <c r="G1092">
        <v>419.2</v>
      </c>
      <c r="H1092">
        <v>293.7851</v>
      </c>
      <c r="I1092">
        <v>-0.8</v>
      </c>
      <c r="J1092">
        <v>283</v>
      </c>
      <c r="L1092">
        <v>0</v>
      </c>
    </row>
    <row r="1093" spans="1:12" x14ac:dyDescent="0.35">
      <c r="A1093" s="1">
        <v>45566</v>
      </c>
      <c r="B1093" t="s">
        <v>10</v>
      </c>
      <c r="C1093" t="s">
        <v>19</v>
      </c>
      <c r="E1093">
        <v>0</v>
      </c>
      <c r="F1093">
        <v>29.199515999999999</v>
      </c>
      <c r="G1093">
        <v>408.2</v>
      </c>
      <c r="H1093">
        <v>293.7851</v>
      </c>
      <c r="I1093">
        <v>-0.8</v>
      </c>
      <c r="J1093">
        <v>283</v>
      </c>
      <c r="L1093">
        <v>0</v>
      </c>
    </row>
    <row r="1094" spans="1:12" x14ac:dyDescent="0.35">
      <c r="A1094" s="1">
        <v>45566</v>
      </c>
      <c r="B1094" t="s">
        <v>10</v>
      </c>
      <c r="C1094" t="s">
        <v>20</v>
      </c>
      <c r="E1094">
        <v>0</v>
      </c>
      <c r="F1094">
        <v>28.801226</v>
      </c>
      <c r="G1094">
        <v>401.8</v>
      </c>
      <c r="H1094">
        <v>293.7851</v>
      </c>
      <c r="I1094">
        <v>-0.8</v>
      </c>
      <c r="J1094">
        <v>283</v>
      </c>
      <c r="L1094">
        <v>0</v>
      </c>
    </row>
    <row r="1095" spans="1:12" x14ac:dyDescent="0.35">
      <c r="A1095" s="1">
        <v>45566</v>
      </c>
      <c r="B1095" t="s">
        <v>10</v>
      </c>
      <c r="C1095" t="s">
        <v>21</v>
      </c>
      <c r="E1095">
        <v>0</v>
      </c>
      <c r="F1095">
        <v>28.723548999999998</v>
      </c>
      <c r="G1095">
        <v>303.8</v>
      </c>
      <c r="H1095">
        <v>293.7851</v>
      </c>
      <c r="I1095">
        <v>-0.8</v>
      </c>
      <c r="J1095">
        <v>283</v>
      </c>
      <c r="L1095">
        <v>0</v>
      </c>
    </row>
    <row r="1096" spans="1:12" x14ac:dyDescent="0.35">
      <c r="A1096" s="1">
        <v>45566</v>
      </c>
      <c r="B1096" t="s">
        <v>10</v>
      </c>
      <c r="C1096" t="s">
        <v>22</v>
      </c>
      <c r="E1096">
        <v>0</v>
      </c>
      <c r="F1096">
        <v>28.080356999999999</v>
      </c>
      <c r="G1096">
        <v>204.8</v>
      </c>
      <c r="H1096">
        <v>293.7851</v>
      </c>
      <c r="I1096">
        <v>-0.8</v>
      </c>
      <c r="J1096">
        <v>283</v>
      </c>
      <c r="L1096">
        <v>0</v>
      </c>
    </row>
    <row r="1097" spans="1:12" x14ac:dyDescent="0.35">
      <c r="A1097" s="1">
        <v>45566</v>
      </c>
      <c r="B1097" t="s">
        <v>10</v>
      </c>
      <c r="C1097" t="s">
        <v>23</v>
      </c>
      <c r="E1097">
        <v>0</v>
      </c>
      <c r="F1097">
        <v>30.390131</v>
      </c>
      <c r="G1097">
        <v>156.40001000000001</v>
      </c>
      <c r="H1097">
        <v>293.7851</v>
      </c>
      <c r="I1097">
        <v>-0.8</v>
      </c>
      <c r="J1097">
        <v>283</v>
      </c>
      <c r="L1097">
        <v>0</v>
      </c>
    </row>
    <row r="1098" spans="1:12" x14ac:dyDescent="0.35">
      <c r="A1098" s="1">
        <v>45566</v>
      </c>
      <c r="B1098" t="s">
        <v>10</v>
      </c>
      <c r="C1098" t="s">
        <v>24</v>
      </c>
      <c r="E1098">
        <v>0</v>
      </c>
      <c r="F1098">
        <v>31.297934000000001</v>
      </c>
      <c r="G1098">
        <v>200.9</v>
      </c>
      <c r="H1098">
        <v>293.7851</v>
      </c>
      <c r="I1098">
        <v>-0.8</v>
      </c>
      <c r="J1098">
        <v>283</v>
      </c>
      <c r="L1098">
        <v>0</v>
      </c>
    </row>
    <row r="1099" spans="1:12" x14ac:dyDescent="0.35">
      <c r="A1099" s="1">
        <v>45566</v>
      </c>
      <c r="B1099" t="s">
        <v>25</v>
      </c>
      <c r="C1099" t="s">
        <v>11</v>
      </c>
      <c r="E1099">
        <v>0</v>
      </c>
      <c r="F1099">
        <v>27.413001999999999</v>
      </c>
      <c r="G1099">
        <v>186.20000999999999</v>
      </c>
      <c r="H1099">
        <v>293.7851</v>
      </c>
      <c r="I1099">
        <v>-0.8</v>
      </c>
      <c r="J1099">
        <v>283</v>
      </c>
      <c r="L1099">
        <v>0</v>
      </c>
    </row>
    <row r="1100" spans="1:12" x14ac:dyDescent="0.35">
      <c r="A1100" s="1">
        <v>45566</v>
      </c>
      <c r="B1100" t="s">
        <v>25</v>
      </c>
      <c r="C1100" t="s">
        <v>12</v>
      </c>
      <c r="E1100">
        <v>0</v>
      </c>
      <c r="F1100">
        <v>27.911161</v>
      </c>
      <c r="G1100">
        <v>321</v>
      </c>
      <c r="H1100">
        <v>293.7851</v>
      </c>
      <c r="I1100">
        <v>-0.8</v>
      </c>
      <c r="J1100">
        <v>283</v>
      </c>
      <c r="L1100">
        <v>0</v>
      </c>
    </row>
    <row r="1101" spans="1:12" x14ac:dyDescent="0.35">
      <c r="A1101" s="1">
        <v>45566</v>
      </c>
      <c r="B1101" t="s">
        <v>25</v>
      </c>
      <c r="C1101" t="s">
        <v>14</v>
      </c>
      <c r="E1101">
        <v>0</v>
      </c>
      <c r="F1101">
        <v>28.563969</v>
      </c>
      <c r="G1101">
        <v>346.09998000000002</v>
      </c>
      <c r="H1101">
        <v>293.7851</v>
      </c>
      <c r="I1101">
        <v>-0.8</v>
      </c>
      <c r="J1101">
        <v>283</v>
      </c>
      <c r="L1101">
        <v>0</v>
      </c>
    </row>
    <row r="1102" spans="1:12" x14ac:dyDescent="0.35">
      <c r="A1102" s="1">
        <v>45566</v>
      </c>
      <c r="B1102" t="s">
        <v>25</v>
      </c>
      <c r="C1102" t="s">
        <v>16</v>
      </c>
      <c r="E1102">
        <v>0</v>
      </c>
      <c r="F1102">
        <v>27.732804999999999</v>
      </c>
      <c r="G1102">
        <v>218.2</v>
      </c>
      <c r="H1102">
        <v>293.7851</v>
      </c>
      <c r="I1102">
        <v>-0.8</v>
      </c>
      <c r="J1102">
        <v>283</v>
      </c>
      <c r="L1102">
        <v>0</v>
      </c>
    </row>
    <row r="1103" spans="1:12" x14ac:dyDescent="0.35">
      <c r="A1103" s="1">
        <v>45566</v>
      </c>
      <c r="B1103" t="s">
        <v>25</v>
      </c>
      <c r="C1103" t="s">
        <v>24</v>
      </c>
      <c r="E1103">
        <v>0</v>
      </c>
      <c r="F1103">
        <v>31.297934000000001</v>
      </c>
      <c r="G1103">
        <v>200.9</v>
      </c>
      <c r="H1103">
        <v>293.7851</v>
      </c>
      <c r="I1103">
        <v>-0.8</v>
      </c>
      <c r="J1103">
        <v>283</v>
      </c>
      <c r="L1103">
        <v>0</v>
      </c>
    </row>
    <row r="1104" spans="1:12" x14ac:dyDescent="0.35">
      <c r="A1104" s="1">
        <v>45597</v>
      </c>
      <c r="B1104" t="s">
        <v>10</v>
      </c>
      <c r="C1104" t="s">
        <v>11</v>
      </c>
      <c r="E1104">
        <v>1</v>
      </c>
      <c r="F1104">
        <v>27.368002000000001</v>
      </c>
      <c r="G1104">
        <v>511.40001999999998</v>
      </c>
      <c r="H1104">
        <v>292.00920000000002</v>
      </c>
      <c r="I1104">
        <v>-2.1</v>
      </c>
      <c r="J1104">
        <v>286</v>
      </c>
      <c r="L1104">
        <v>0</v>
      </c>
    </row>
    <row r="1105" spans="1:12" x14ac:dyDescent="0.35">
      <c r="A1105" s="1">
        <v>45597</v>
      </c>
      <c r="B1105" t="s">
        <v>10</v>
      </c>
      <c r="C1105" t="s">
        <v>12</v>
      </c>
      <c r="E1105">
        <v>1</v>
      </c>
      <c r="F1105">
        <v>27.545999999999999</v>
      </c>
      <c r="G1105">
        <v>557.79999999999995</v>
      </c>
      <c r="H1105">
        <v>292.00920000000002</v>
      </c>
      <c r="I1105">
        <v>-2.1</v>
      </c>
      <c r="J1105">
        <v>286</v>
      </c>
      <c r="L1105">
        <v>0</v>
      </c>
    </row>
    <row r="1106" spans="1:12" x14ac:dyDescent="0.35">
      <c r="A1106" s="1">
        <v>45597</v>
      </c>
      <c r="B1106" t="s">
        <v>10</v>
      </c>
      <c r="C1106" t="s">
        <v>13</v>
      </c>
      <c r="E1106">
        <v>1</v>
      </c>
      <c r="F1106">
        <v>19.146832</v>
      </c>
      <c r="G1106">
        <v>471</v>
      </c>
      <c r="H1106">
        <v>292.00920000000002</v>
      </c>
      <c r="I1106">
        <v>-2.1</v>
      </c>
      <c r="J1106">
        <v>286</v>
      </c>
      <c r="L1106">
        <v>0</v>
      </c>
    </row>
    <row r="1107" spans="1:12" x14ac:dyDescent="0.35">
      <c r="A1107" s="1">
        <v>45597</v>
      </c>
      <c r="B1107" t="s">
        <v>10</v>
      </c>
      <c r="C1107" t="s">
        <v>14</v>
      </c>
      <c r="E1107">
        <v>1</v>
      </c>
      <c r="F1107">
        <v>28.654667</v>
      </c>
      <c r="G1107">
        <v>539.20000000000005</v>
      </c>
      <c r="H1107">
        <v>292.00920000000002</v>
      </c>
      <c r="I1107">
        <v>-2.1</v>
      </c>
      <c r="J1107">
        <v>286</v>
      </c>
      <c r="L1107">
        <v>0</v>
      </c>
    </row>
    <row r="1108" spans="1:12" x14ac:dyDescent="0.35">
      <c r="A1108" s="1">
        <v>45597</v>
      </c>
      <c r="B1108" t="s">
        <v>10</v>
      </c>
      <c r="C1108" t="s">
        <v>15</v>
      </c>
      <c r="E1108">
        <v>1</v>
      </c>
      <c r="F1108">
        <v>29.499666000000001</v>
      </c>
      <c r="G1108">
        <v>405.90001999999998</v>
      </c>
      <c r="H1108">
        <v>292.00920000000002</v>
      </c>
      <c r="I1108">
        <v>-2.1</v>
      </c>
      <c r="J1108">
        <v>286</v>
      </c>
      <c r="L1108">
        <v>0</v>
      </c>
    </row>
    <row r="1109" spans="1:12" x14ac:dyDescent="0.35">
      <c r="A1109" s="1">
        <v>45597</v>
      </c>
      <c r="B1109" t="s">
        <v>10</v>
      </c>
      <c r="C1109" t="s">
        <v>16</v>
      </c>
      <c r="E1109">
        <v>1</v>
      </c>
      <c r="F1109">
        <v>26.202000000000002</v>
      </c>
      <c r="G1109">
        <v>547.20000000000005</v>
      </c>
      <c r="H1109">
        <v>292.00920000000002</v>
      </c>
      <c r="I1109">
        <v>-2.1</v>
      </c>
      <c r="J1109">
        <v>286</v>
      </c>
      <c r="L1109">
        <v>0</v>
      </c>
    </row>
    <row r="1110" spans="1:12" x14ac:dyDescent="0.35">
      <c r="A1110" s="1">
        <v>45597</v>
      </c>
      <c r="B1110" t="s">
        <v>10</v>
      </c>
      <c r="C1110" t="s">
        <v>17</v>
      </c>
      <c r="E1110">
        <v>1</v>
      </c>
      <c r="F1110">
        <v>29.050999999999998</v>
      </c>
      <c r="G1110">
        <v>444.3</v>
      </c>
      <c r="H1110">
        <v>292.00920000000002</v>
      </c>
      <c r="I1110">
        <v>-2.1</v>
      </c>
      <c r="J1110">
        <v>286</v>
      </c>
      <c r="L1110">
        <v>0</v>
      </c>
    </row>
    <row r="1111" spans="1:12" x14ac:dyDescent="0.35">
      <c r="A1111" s="1">
        <v>45597</v>
      </c>
      <c r="B1111" t="s">
        <v>10</v>
      </c>
      <c r="C1111" t="s">
        <v>18</v>
      </c>
      <c r="E1111">
        <v>1</v>
      </c>
      <c r="F1111">
        <v>29.019000999999999</v>
      </c>
      <c r="G1111">
        <v>343.69997999999998</v>
      </c>
      <c r="H1111">
        <v>292.00920000000002</v>
      </c>
      <c r="I1111">
        <v>-2.1</v>
      </c>
      <c r="J1111">
        <v>286</v>
      </c>
      <c r="L1111">
        <v>0</v>
      </c>
    </row>
    <row r="1112" spans="1:12" x14ac:dyDescent="0.35">
      <c r="A1112" s="1">
        <v>45597</v>
      </c>
      <c r="B1112" t="s">
        <v>10</v>
      </c>
      <c r="C1112" t="s">
        <v>19</v>
      </c>
      <c r="E1112">
        <v>1</v>
      </c>
      <c r="F1112">
        <v>29.554998000000001</v>
      </c>
      <c r="G1112">
        <v>422.9</v>
      </c>
      <c r="H1112">
        <v>292.00920000000002</v>
      </c>
      <c r="I1112">
        <v>-2.1</v>
      </c>
      <c r="J1112">
        <v>286</v>
      </c>
      <c r="L1112">
        <v>0</v>
      </c>
    </row>
    <row r="1113" spans="1:12" x14ac:dyDescent="0.35">
      <c r="A1113" s="1">
        <v>45597</v>
      </c>
      <c r="B1113" t="s">
        <v>10</v>
      </c>
      <c r="C1113" t="s">
        <v>20</v>
      </c>
      <c r="E1113">
        <v>1</v>
      </c>
      <c r="F1113">
        <v>29.103000000000002</v>
      </c>
      <c r="G1113">
        <v>324</v>
      </c>
      <c r="H1113">
        <v>292.00920000000002</v>
      </c>
      <c r="I1113">
        <v>-2.1</v>
      </c>
      <c r="J1113">
        <v>286</v>
      </c>
      <c r="L1113">
        <v>0</v>
      </c>
    </row>
    <row r="1114" spans="1:12" x14ac:dyDescent="0.35">
      <c r="A1114" s="1">
        <v>45597</v>
      </c>
      <c r="B1114" t="s">
        <v>10</v>
      </c>
      <c r="C1114" t="s">
        <v>21</v>
      </c>
      <c r="E1114">
        <v>1</v>
      </c>
      <c r="F1114">
        <v>29.17</v>
      </c>
      <c r="G1114">
        <v>385.69997999999998</v>
      </c>
      <c r="H1114">
        <v>292.00920000000002</v>
      </c>
      <c r="I1114">
        <v>-2.1</v>
      </c>
      <c r="J1114">
        <v>286</v>
      </c>
      <c r="L1114">
        <v>0</v>
      </c>
    </row>
    <row r="1115" spans="1:12" x14ac:dyDescent="0.35">
      <c r="A1115" s="1">
        <v>45597</v>
      </c>
      <c r="B1115" t="s">
        <v>10</v>
      </c>
      <c r="C1115" t="s">
        <v>22</v>
      </c>
      <c r="E1115">
        <v>1</v>
      </c>
      <c r="F1115">
        <v>28.119333000000001</v>
      </c>
      <c r="G1115">
        <v>209.1</v>
      </c>
      <c r="H1115">
        <v>292.00920000000002</v>
      </c>
      <c r="I1115">
        <v>-2.1</v>
      </c>
      <c r="J1115">
        <v>286</v>
      </c>
      <c r="L1115">
        <v>0</v>
      </c>
    </row>
    <row r="1116" spans="1:12" x14ac:dyDescent="0.35">
      <c r="A1116" s="1">
        <v>45597</v>
      </c>
      <c r="B1116" t="s">
        <v>10</v>
      </c>
      <c r="C1116" t="s">
        <v>23</v>
      </c>
      <c r="E1116">
        <v>1</v>
      </c>
      <c r="F1116">
        <v>29.769000999999999</v>
      </c>
      <c r="G1116">
        <v>314.90001999999998</v>
      </c>
      <c r="H1116">
        <v>292.00920000000002</v>
      </c>
      <c r="I1116">
        <v>-2.1</v>
      </c>
      <c r="J1116">
        <v>286</v>
      </c>
      <c r="L1116">
        <v>0</v>
      </c>
    </row>
    <row r="1117" spans="1:12" x14ac:dyDescent="0.35">
      <c r="A1117" s="1">
        <v>45597</v>
      </c>
      <c r="B1117" t="s">
        <v>10</v>
      </c>
      <c r="C1117" t="s">
        <v>24</v>
      </c>
      <c r="E1117">
        <v>1</v>
      </c>
      <c r="F1117">
        <v>29.799334000000002</v>
      </c>
      <c r="G1117">
        <v>462.5</v>
      </c>
      <c r="H1117">
        <v>292.00920000000002</v>
      </c>
      <c r="I1117">
        <v>-2.1</v>
      </c>
      <c r="J1117">
        <v>286</v>
      </c>
      <c r="L1117">
        <v>0</v>
      </c>
    </row>
    <row r="1118" spans="1:12" x14ac:dyDescent="0.35">
      <c r="A1118" s="1">
        <v>45597</v>
      </c>
      <c r="B1118" t="s">
        <v>25</v>
      </c>
      <c r="C1118" t="s">
        <v>11</v>
      </c>
      <c r="E1118">
        <v>1</v>
      </c>
      <c r="F1118">
        <v>27.368002000000001</v>
      </c>
      <c r="G1118">
        <v>511.40001999999998</v>
      </c>
      <c r="H1118">
        <v>292.00920000000002</v>
      </c>
      <c r="I1118">
        <v>-2.1</v>
      </c>
      <c r="J1118">
        <v>286</v>
      </c>
      <c r="L1118">
        <v>0</v>
      </c>
    </row>
    <row r="1119" spans="1:12" x14ac:dyDescent="0.35">
      <c r="A1119" s="1">
        <v>45597</v>
      </c>
      <c r="B1119" t="s">
        <v>25</v>
      </c>
      <c r="C1119" t="s">
        <v>12</v>
      </c>
      <c r="E1119">
        <v>1</v>
      </c>
      <c r="F1119">
        <v>27.545999999999999</v>
      </c>
      <c r="G1119">
        <v>557.79999999999995</v>
      </c>
      <c r="H1119">
        <v>292.00920000000002</v>
      </c>
      <c r="I1119">
        <v>-2.1</v>
      </c>
      <c r="J1119">
        <v>286</v>
      </c>
      <c r="L1119">
        <v>0</v>
      </c>
    </row>
    <row r="1120" spans="1:12" x14ac:dyDescent="0.35">
      <c r="A1120" s="1">
        <v>45597</v>
      </c>
      <c r="B1120" t="s">
        <v>25</v>
      </c>
      <c r="C1120" t="s">
        <v>14</v>
      </c>
      <c r="E1120">
        <v>1</v>
      </c>
      <c r="F1120">
        <v>28.654667</v>
      </c>
      <c r="G1120">
        <v>539.20000000000005</v>
      </c>
      <c r="H1120">
        <v>292.00920000000002</v>
      </c>
      <c r="I1120">
        <v>-2.1</v>
      </c>
      <c r="J1120">
        <v>286</v>
      </c>
      <c r="L1120">
        <v>0</v>
      </c>
    </row>
    <row r="1121" spans="1:12" x14ac:dyDescent="0.35">
      <c r="A1121" s="1">
        <v>45597</v>
      </c>
      <c r="B1121" t="s">
        <v>25</v>
      </c>
      <c r="C1121" t="s">
        <v>16</v>
      </c>
      <c r="E1121">
        <v>1</v>
      </c>
      <c r="F1121">
        <v>26.202000000000002</v>
      </c>
      <c r="G1121">
        <v>547.20000000000005</v>
      </c>
      <c r="H1121">
        <v>292.00920000000002</v>
      </c>
      <c r="I1121">
        <v>-2.1</v>
      </c>
      <c r="J1121">
        <v>286</v>
      </c>
      <c r="L1121">
        <v>0</v>
      </c>
    </row>
    <row r="1122" spans="1:12" x14ac:dyDescent="0.35">
      <c r="A1122" s="1">
        <v>45597</v>
      </c>
      <c r="B1122" t="s">
        <v>25</v>
      </c>
      <c r="C1122" t="s">
        <v>24</v>
      </c>
      <c r="E1122">
        <v>1</v>
      </c>
      <c r="F1122">
        <v>29.799334000000002</v>
      </c>
      <c r="G1122">
        <v>462.5</v>
      </c>
      <c r="H1122">
        <v>292.00920000000002</v>
      </c>
      <c r="I1122">
        <v>-2.1</v>
      </c>
      <c r="J1122">
        <v>286</v>
      </c>
      <c r="L1122">
        <v>0</v>
      </c>
    </row>
    <row r="1123" spans="1:12" x14ac:dyDescent="0.35">
      <c r="A1123" s="1">
        <v>45627</v>
      </c>
      <c r="B1123" t="s">
        <v>10</v>
      </c>
      <c r="C1123" t="s">
        <v>11</v>
      </c>
      <c r="E1123">
        <v>1</v>
      </c>
      <c r="F1123">
        <v>27.866226000000001</v>
      </c>
      <c r="G1123">
        <v>132.5</v>
      </c>
      <c r="H1123">
        <v>291.68049999999999</v>
      </c>
      <c r="I1123">
        <v>-1.7</v>
      </c>
      <c r="J1123">
        <v>286</v>
      </c>
      <c r="L1123">
        <v>0</v>
      </c>
    </row>
    <row r="1124" spans="1:12" x14ac:dyDescent="0.35">
      <c r="A1124" s="1">
        <v>45627</v>
      </c>
      <c r="B1124" t="s">
        <v>10</v>
      </c>
      <c r="C1124" t="s">
        <v>12</v>
      </c>
      <c r="E1124">
        <v>1</v>
      </c>
      <c r="F1124">
        <v>28.122451999999999</v>
      </c>
      <c r="G1124">
        <v>120.200005</v>
      </c>
      <c r="H1124">
        <v>291.68049999999999</v>
      </c>
      <c r="I1124">
        <v>-1.7</v>
      </c>
      <c r="J1124">
        <v>286</v>
      </c>
      <c r="L1124">
        <v>0</v>
      </c>
    </row>
    <row r="1125" spans="1:12" x14ac:dyDescent="0.35">
      <c r="A1125" s="1">
        <v>45627</v>
      </c>
      <c r="B1125" t="s">
        <v>10</v>
      </c>
      <c r="C1125" t="s">
        <v>13</v>
      </c>
      <c r="E1125">
        <v>1</v>
      </c>
      <c r="F1125">
        <v>19.900918999999998</v>
      </c>
      <c r="G1125">
        <v>149.5</v>
      </c>
      <c r="H1125">
        <v>291.68049999999999</v>
      </c>
      <c r="I1125">
        <v>-1.7</v>
      </c>
      <c r="J1125">
        <v>286</v>
      </c>
      <c r="L1125">
        <v>0</v>
      </c>
    </row>
    <row r="1126" spans="1:12" x14ac:dyDescent="0.35">
      <c r="A1126" s="1">
        <v>45627</v>
      </c>
      <c r="B1126" t="s">
        <v>10</v>
      </c>
      <c r="C1126" t="s">
        <v>14</v>
      </c>
      <c r="E1126">
        <v>1</v>
      </c>
      <c r="F1126">
        <v>29.449451</v>
      </c>
      <c r="G1126">
        <v>150.80000000000001</v>
      </c>
      <c r="H1126">
        <v>291.68049999999999</v>
      </c>
      <c r="I1126">
        <v>-1.7</v>
      </c>
      <c r="J1126">
        <v>286</v>
      </c>
      <c r="L1126">
        <v>0</v>
      </c>
    </row>
    <row r="1127" spans="1:12" x14ac:dyDescent="0.35">
      <c r="A1127" s="1">
        <v>45627</v>
      </c>
      <c r="B1127" t="s">
        <v>10</v>
      </c>
      <c r="C1127" t="s">
        <v>15</v>
      </c>
      <c r="E1127">
        <v>1</v>
      </c>
      <c r="F1127">
        <v>30.482676999999999</v>
      </c>
      <c r="G1127">
        <v>204.3</v>
      </c>
      <c r="H1127">
        <v>291.68049999999999</v>
      </c>
      <c r="I1127">
        <v>-1.7</v>
      </c>
      <c r="J1127">
        <v>286</v>
      </c>
      <c r="L1127">
        <v>0</v>
      </c>
    </row>
    <row r="1128" spans="1:12" x14ac:dyDescent="0.35">
      <c r="A1128" s="1">
        <v>45627</v>
      </c>
      <c r="B1128" t="s">
        <v>10</v>
      </c>
      <c r="C1128" t="s">
        <v>16</v>
      </c>
      <c r="E1128">
        <v>1</v>
      </c>
      <c r="F1128">
        <v>26.210224</v>
      </c>
      <c r="G1128">
        <v>228.70000999999999</v>
      </c>
      <c r="H1128">
        <v>291.68049999999999</v>
      </c>
      <c r="I1128">
        <v>-1.7</v>
      </c>
      <c r="J1128">
        <v>286</v>
      </c>
      <c r="L1128">
        <v>0</v>
      </c>
    </row>
    <row r="1129" spans="1:12" x14ac:dyDescent="0.35">
      <c r="A1129" s="1">
        <v>45627</v>
      </c>
      <c r="B1129" t="s">
        <v>10</v>
      </c>
      <c r="C1129" t="s">
        <v>17</v>
      </c>
      <c r="E1129">
        <v>1</v>
      </c>
      <c r="F1129">
        <v>29.226969</v>
      </c>
      <c r="G1129">
        <v>117.6</v>
      </c>
      <c r="H1129">
        <v>291.68049999999999</v>
      </c>
      <c r="I1129">
        <v>-1.7</v>
      </c>
      <c r="J1129">
        <v>286</v>
      </c>
      <c r="L1129">
        <v>0</v>
      </c>
    </row>
    <row r="1130" spans="1:12" x14ac:dyDescent="0.35">
      <c r="A1130" s="1">
        <v>45627</v>
      </c>
      <c r="B1130" t="s">
        <v>10</v>
      </c>
      <c r="C1130" t="s">
        <v>18</v>
      </c>
      <c r="E1130">
        <v>1</v>
      </c>
      <c r="F1130">
        <v>30.140131</v>
      </c>
      <c r="G1130">
        <v>152.30000000000001</v>
      </c>
      <c r="H1130">
        <v>291.68049999999999</v>
      </c>
      <c r="I1130">
        <v>-1.7</v>
      </c>
      <c r="J1130">
        <v>286</v>
      </c>
      <c r="L1130">
        <v>0</v>
      </c>
    </row>
    <row r="1131" spans="1:12" x14ac:dyDescent="0.35">
      <c r="A1131" s="1">
        <v>45627</v>
      </c>
      <c r="B1131" t="s">
        <v>10</v>
      </c>
      <c r="C1131" t="s">
        <v>19</v>
      </c>
      <c r="E1131">
        <v>1</v>
      </c>
      <c r="F1131">
        <v>30.147901999999998</v>
      </c>
      <c r="G1131">
        <v>171.40001000000001</v>
      </c>
      <c r="H1131">
        <v>291.68049999999999</v>
      </c>
      <c r="I1131">
        <v>-1.7</v>
      </c>
      <c r="J1131">
        <v>286</v>
      </c>
      <c r="L1131">
        <v>0</v>
      </c>
    </row>
    <row r="1132" spans="1:12" x14ac:dyDescent="0.35">
      <c r="A1132" s="1">
        <v>45627</v>
      </c>
      <c r="B1132" t="s">
        <v>10</v>
      </c>
      <c r="C1132" t="s">
        <v>20</v>
      </c>
      <c r="E1132">
        <v>1</v>
      </c>
      <c r="F1132">
        <v>29.373805999999998</v>
      </c>
      <c r="G1132">
        <v>137.1</v>
      </c>
      <c r="H1132">
        <v>291.68049999999999</v>
      </c>
      <c r="I1132">
        <v>-1.7</v>
      </c>
      <c r="J1132">
        <v>286</v>
      </c>
      <c r="L1132">
        <v>0</v>
      </c>
    </row>
    <row r="1133" spans="1:12" x14ac:dyDescent="0.35">
      <c r="A1133" s="1">
        <v>45627</v>
      </c>
      <c r="B1133" t="s">
        <v>10</v>
      </c>
      <c r="C1133" t="s">
        <v>21</v>
      </c>
      <c r="E1133">
        <v>1</v>
      </c>
      <c r="F1133">
        <v>29.710643999999998</v>
      </c>
      <c r="G1133">
        <v>199.5</v>
      </c>
      <c r="H1133">
        <v>291.68049999999999</v>
      </c>
      <c r="I1133">
        <v>-1.7</v>
      </c>
      <c r="J1133">
        <v>286</v>
      </c>
      <c r="L1133">
        <v>0</v>
      </c>
    </row>
    <row r="1134" spans="1:12" x14ac:dyDescent="0.35">
      <c r="A1134" s="1">
        <v>45627</v>
      </c>
      <c r="B1134" t="s">
        <v>10</v>
      </c>
      <c r="C1134" t="s">
        <v>22</v>
      </c>
      <c r="E1134">
        <v>1</v>
      </c>
      <c r="F1134">
        <v>28.341646000000001</v>
      </c>
      <c r="G1134">
        <v>141.30000000000001</v>
      </c>
      <c r="H1134">
        <v>291.68049999999999</v>
      </c>
      <c r="I1134">
        <v>-1.7</v>
      </c>
      <c r="J1134">
        <v>286</v>
      </c>
      <c r="L1134">
        <v>0</v>
      </c>
    </row>
    <row r="1135" spans="1:12" x14ac:dyDescent="0.35">
      <c r="A1135" s="1">
        <v>45627</v>
      </c>
      <c r="B1135" t="s">
        <v>10</v>
      </c>
      <c r="C1135" t="s">
        <v>23</v>
      </c>
      <c r="E1135">
        <v>1</v>
      </c>
      <c r="F1135">
        <v>29.803034</v>
      </c>
      <c r="G1135">
        <v>201.90001000000001</v>
      </c>
      <c r="H1135">
        <v>291.68049999999999</v>
      </c>
      <c r="I1135">
        <v>-1.7</v>
      </c>
      <c r="J1135">
        <v>286</v>
      </c>
      <c r="L1135">
        <v>0</v>
      </c>
    </row>
    <row r="1136" spans="1:12" x14ac:dyDescent="0.35">
      <c r="A1136" s="1">
        <v>45627</v>
      </c>
      <c r="B1136" t="s">
        <v>10</v>
      </c>
      <c r="C1136" t="s">
        <v>24</v>
      </c>
      <c r="E1136">
        <v>1</v>
      </c>
      <c r="F1136">
        <v>29.699546999999999</v>
      </c>
      <c r="G1136">
        <v>303</v>
      </c>
      <c r="H1136">
        <v>291.68049999999999</v>
      </c>
      <c r="I1136">
        <v>-1.7</v>
      </c>
      <c r="J1136">
        <v>286</v>
      </c>
      <c r="L1136">
        <v>0</v>
      </c>
    </row>
    <row r="1137" spans="1:12" x14ac:dyDescent="0.35">
      <c r="A1137" s="1">
        <v>45627</v>
      </c>
      <c r="B1137" t="s">
        <v>25</v>
      </c>
      <c r="C1137" t="s">
        <v>11</v>
      </c>
      <c r="E1137">
        <v>1</v>
      </c>
      <c r="F1137">
        <v>27.866226000000001</v>
      </c>
      <c r="G1137">
        <v>132.5</v>
      </c>
      <c r="H1137">
        <v>291.68049999999999</v>
      </c>
      <c r="I1137">
        <v>-1.7</v>
      </c>
      <c r="J1137">
        <v>286</v>
      </c>
      <c r="L1137">
        <v>0</v>
      </c>
    </row>
    <row r="1138" spans="1:12" x14ac:dyDescent="0.35">
      <c r="A1138" s="1">
        <v>45627</v>
      </c>
      <c r="B1138" t="s">
        <v>25</v>
      </c>
      <c r="C1138" t="s">
        <v>12</v>
      </c>
      <c r="E1138">
        <v>1</v>
      </c>
      <c r="F1138">
        <v>28.122451999999999</v>
      </c>
      <c r="G1138">
        <v>120.200005</v>
      </c>
      <c r="H1138">
        <v>291.68049999999999</v>
      </c>
      <c r="I1138">
        <v>-1.7</v>
      </c>
      <c r="J1138">
        <v>286</v>
      </c>
      <c r="L1138">
        <v>0</v>
      </c>
    </row>
    <row r="1139" spans="1:12" x14ac:dyDescent="0.35">
      <c r="A1139" s="1">
        <v>45627</v>
      </c>
      <c r="B1139" t="s">
        <v>25</v>
      </c>
      <c r="C1139" t="s">
        <v>14</v>
      </c>
      <c r="E1139">
        <v>1</v>
      </c>
      <c r="F1139">
        <v>29.449451</v>
      </c>
      <c r="G1139">
        <v>150.80000000000001</v>
      </c>
      <c r="H1139">
        <v>291.68049999999999</v>
      </c>
      <c r="I1139">
        <v>-1.7</v>
      </c>
      <c r="J1139">
        <v>286</v>
      </c>
      <c r="L1139">
        <v>0</v>
      </c>
    </row>
    <row r="1140" spans="1:12" x14ac:dyDescent="0.35">
      <c r="A1140" s="1">
        <v>45627</v>
      </c>
      <c r="B1140" t="s">
        <v>25</v>
      </c>
      <c r="C1140" t="s">
        <v>16</v>
      </c>
      <c r="E1140">
        <v>1</v>
      </c>
      <c r="F1140">
        <v>26.210224</v>
      </c>
      <c r="G1140">
        <v>228.70000999999999</v>
      </c>
      <c r="H1140">
        <v>291.68049999999999</v>
      </c>
      <c r="I1140">
        <v>-1.7</v>
      </c>
      <c r="J1140">
        <v>286</v>
      </c>
      <c r="L1140">
        <v>0</v>
      </c>
    </row>
    <row r="1141" spans="1:12" x14ac:dyDescent="0.35">
      <c r="A1141" s="1">
        <v>45627</v>
      </c>
      <c r="B1141" t="s">
        <v>25</v>
      </c>
      <c r="C1141" t="s">
        <v>24</v>
      </c>
      <c r="E1141">
        <v>1</v>
      </c>
      <c r="F1141">
        <v>29.699546999999999</v>
      </c>
      <c r="G1141">
        <v>303</v>
      </c>
      <c r="H1141">
        <v>291.68049999999999</v>
      </c>
      <c r="I1141">
        <v>-1.7</v>
      </c>
      <c r="J1141">
        <v>286</v>
      </c>
      <c r="L1141">
        <v>0</v>
      </c>
    </row>
    <row r="1142" spans="1:12" x14ac:dyDescent="0.35">
      <c r="A1142" s="1">
        <v>45658</v>
      </c>
      <c r="B1142" t="s">
        <v>10</v>
      </c>
      <c r="C1142" t="s">
        <v>11</v>
      </c>
      <c r="E1142">
        <v>1</v>
      </c>
      <c r="F1142">
        <v>27.106549999999999</v>
      </c>
      <c r="G1142">
        <v>266.19997999999998</v>
      </c>
      <c r="H1142">
        <v>296.17959999999999</v>
      </c>
      <c r="I1142">
        <v>-4</v>
      </c>
      <c r="J1142">
        <v>286</v>
      </c>
      <c r="L1142">
        <v>0</v>
      </c>
    </row>
    <row r="1143" spans="1:12" x14ac:dyDescent="0.35">
      <c r="A1143" s="1">
        <v>45658</v>
      </c>
      <c r="B1143" t="s">
        <v>10</v>
      </c>
      <c r="C1143" t="s">
        <v>12</v>
      </c>
      <c r="E1143">
        <v>1</v>
      </c>
      <c r="F1143">
        <v>27.738579999999999</v>
      </c>
      <c r="G1143">
        <v>246.49997999999999</v>
      </c>
      <c r="H1143">
        <v>296.17959999999999</v>
      </c>
      <c r="I1143">
        <v>-4</v>
      </c>
      <c r="J1143">
        <v>286</v>
      </c>
      <c r="L1143">
        <v>0</v>
      </c>
    </row>
    <row r="1144" spans="1:12" x14ac:dyDescent="0.35">
      <c r="A1144" s="1">
        <v>45658</v>
      </c>
      <c r="B1144" t="s">
        <v>10</v>
      </c>
      <c r="C1144" t="s">
        <v>13</v>
      </c>
      <c r="E1144">
        <v>1</v>
      </c>
      <c r="F1144">
        <v>19.192854000000001</v>
      </c>
      <c r="G1144">
        <v>276.5</v>
      </c>
      <c r="H1144">
        <v>296.17959999999999</v>
      </c>
      <c r="I1144">
        <v>-4</v>
      </c>
      <c r="J1144">
        <v>286</v>
      </c>
      <c r="L1144">
        <v>0</v>
      </c>
    </row>
    <row r="1145" spans="1:12" x14ac:dyDescent="0.35">
      <c r="A1145" s="1">
        <v>45658</v>
      </c>
      <c r="B1145" t="s">
        <v>10</v>
      </c>
      <c r="C1145" t="s">
        <v>14</v>
      </c>
      <c r="E1145">
        <v>1</v>
      </c>
      <c r="F1145">
        <v>29.304289000000001</v>
      </c>
      <c r="G1145">
        <v>279.39999999999998</v>
      </c>
      <c r="H1145">
        <v>296.17959999999999</v>
      </c>
      <c r="I1145">
        <v>-4</v>
      </c>
      <c r="J1145">
        <v>286</v>
      </c>
      <c r="L1145">
        <v>0</v>
      </c>
    </row>
    <row r="1146" spans="1:12" x14ac:dyDescent="0.35">
      <c r="A1146" s="1">
        <v>45658</v>
      </c>
      <c r="B1146" t="s">
        <v>10</v>
      </c>
      <c r="C1146" t="s">
        <v>15</v>
      </c>
      <c r="E1146">
        <v>1</v>
      </c>
      <c r="F1146">
        <v>29.802033999999999</v>
      </c>
      <c r="G1146">
        <v>285.7</v>
      </c>
      <c r="H1146">
        <v>296.17959999999999</v>
      </c>
      <c r="I1146">
        <v>-4</v>
      </c>
      <c r="J1146">
        <v>286</v>
      </c>
      <c r="L1146">
        <v>0</v>
      </c>
    </row>
    <row r="1147" spans="1:12" x14ac:dyDescent="0.35">
      <c r="A1147" s="1">
        <v>45658</v>
      </c>
      <c r="B1147" t="s">
        <v>10</v>
      </c>
      <c r="C1147" t="s">
        <v>16</v>
      </c>
      <c r="E1147">
        <v>1</v>
      </c>
      <c r="F1147">
        <v>24.184419999999999</v>
      </c>
      <c r="G1147">
        <v>466.7</v>
      </c>
      <c r="H1147">
        <v>296.17959999999999</v>
      </c>
      <c r="I1147">
        <v>-4</v>
      </c>
      <c r="J1147">
        <v>286</v>
      </c>
      <c r="L1147">
        <v>0</v>
      </c>
    </row>
    <row r="1148" spans="1:12" x14ac:dyDescent="0.35">
      <c r="A1148" s="1">
        <v>45658</v>
      </c>
      <c r="B1148" t="s">
        <v>10</v>
      </c>
      <c r="C1148" t="s">
        <v>17</v>
      </c>
      <c r="E1148">
        <v>1</v>
      </c>
      <c r="F1148">
        <v>28.872129999999999</v>
      </c>
      <c r="G1148">
        <v>228.2</v>
      </c>
      <c r="H1148">
        <v>296.17959999999999</v>
      </c>
      <c r="I1148">
        <v>-4</v>
      </c>
      <c r="J1148">
        <v>286</v>
      </c>
      <c r="L1148">
        <v>0</v>
      </c>
    </row>
    <row r="1149" spans="1:12" x14ac:dyDescent="0.35">
      <c r="A1149" s="1">
        <v>45658</v>
      </c>
      <c r="B1149" t="s">
        <v>10</v>
      </c>
      <c r="C1149" t="s">
        <v>18</v>
      </c>
      <c r="E1149">
        <v>1</v>
      </c>
      <c r="F1149">
        <v>29.570775999999999</v>
      </c>
      <c r="G1149">
        <v>256.3</v>
      </c>
      <c r="H1149">
        <v>296.17959999999999</v>
      </c>
      <c r="I1149">
        <v>-4</v>
      </c>
      <c r="J1149">
        <v>286</v>
      </c>
      <c r="L1149">
        <v>0</v>
      </c>
    </row>
    <row r="1150" spans="1:12" x14ac:dyDescent="0.35">
      <c r="A1150" s="1">
        <v>45658</v>
      </c>
      <c r="B1150" t="s">
        <v>10</v>
      </c>
      <c r="C1150" t="s">
        <v>19</v>
      </c>
      <c r="E1150">
        <v>1</v>
      </c>
      <c r="F1150">
        <v>29.835000999999998</v>
      </c>
      <c r="G1150">
        <v>283.2</v>
      </c>
      <c r="H1150">
        <v>296.17959999999999</v>
      </c>
      <c r="I1150">
        <v>-4</v>
      </c>
      <c r="J1150">
        <v>286</v>
      </c>
      <c r="L1150">
        <v>0</v>
      </c>
    </row>
    <row r="1151" spans="1:12" x14ac:dyDescent="0.35">
      <c r="A1151" s="1">
        <v>45658</v>
      </c>
      <c r="B1151" t="s">
        <v>10</v>
      </c>
      <c r="C1151" t="s">
        <v>20</v>
      </c>
      <c r="E1151">
        <v>1</v>
      </c>
      <c r="F1151">
        <v>28.668966000000001</v>
      </c>
      <c r="G1151">
        <v>194.9</v>
      </c>
      <c r="H1151">
        <v>296.17959999999999</v>
      </c>
      <c r="I1151">
        <v>-4</v>
      </c>
      <c r="J1151">
        <v>286</v>
      </c>
      <c r="L1151">
        <v>0</v>
      </c>
    </row>
    <row r="1152" spans="1:12" x14ac:dyDescent="0.35">
      <c r="A1152" s="1">
        <v>45658</v>
      </c>
      <c r="B1152" t="s">
        <v>10</v>
      </c>
      <c r="C1152" t="s">
        <v>21</v>
      </c>
      <c r="E1152">
        <v>1</v>
      </c>
      <c r="F1152">
        <v>28.591290000000001</v>
      </c>
      <c r="G1152">
        <v>336.5</v>
      </c>
      <c r="H1152">
        <v>296.17959999999999</v>
      </c>
      <c r="I1152">
        <v>-4</v>
      </c>
      <c r="J1152">
        <v>286</v>
      </c>
      <c r="L1152">
        <v>0</v>
      </c>
    </row>
    <row r="1153" spans="1:12" x14ac:dyDescent="0.35">
      <c r="A1153" s="1">
        <v>45658</v>
      </c>
      <c r="B1153" t="s">
        <v>10</v>
      </c>
      <c r="C1153" t="s">
        <v>22</v>
      </c>
      <c r="E1153">
        <v>1</v>
      </c>
      <c r="F1153">
        <v>27.425518</v>
      </c>
      <c r="G1153">
        <v>267.39999999999998</v>
      </c>
      <c r="H1153">
        <v>296.17959999999999</v>
      </c>
      <c r="I1153">
        <v>-4</v>
      </c>
      <c r="J1153">
        <v>286</v>
      </c>
      <c r="L1153">
        <v>0</v>
      </c>
    </row>
    <row r="1154" spans="1:12" x14ac:dyDescent="0.35">
      <c r="A1154" s="1">
        <v>45658</v>
      </c>
      <c r="B1154" t="s">
        <v>10</v>
      </c>
      <c r="C1154" t="s">
        <v>23</v>
      </c>
      <c r="E1154">
        <v>1</v>
      </c>
      <c r="F1154">
        <v>28.561098000000001</v>
      </c>
      <c r="G1154">
        <v>394.4</v>
      </c>
      <c r="H1154">
        <v>296.17959999999999</v>
      </c>
      <c r="I1154">
        <v>-4</v>
      </c>
      <c r="J1154">
        <v>286</v>
      </c>
      <c r="L1154">
        <v>0</v>
      </c>
    </row>
    <row r="1155" spans="1:12" x14ac:dyDescent="0.35">
      <c r="A1155" s="1">
        <v>45658</v>
      </c>
      <c r="B1155" t="s">
        <v>10</v>
      </c>
      <c r="C1155" t="s">
        <v>24</v>
      </c>
      <c r="E1155">
        <v>1</v>
      </c>
      <c r="F1155">
        <v>27.714064</v>
      </c>
      <c r="G1155">
        <v>331.3</v>
      </c>
      <c r="H1155">
        <v>296.17959999999999</v>
      </c>
      <c r="I1155">
        <v>-4</v>
      </c>
      <c r="J1155">
        <v>286</v>
      </c>
      <c r="L1155">
        <v>0</v>
      </c>
    </row>
    <row r="1156" spans="1:12" x14ac:dyDescent="0.35">
      <c r="A1156" s="1">
        <v>45658</v>
      </c>
      <c r="B1156" t="s">
        <v>25</v>
      </c>
      <c r="C1156" t="s">
        <v>11</v>
      </c>
      <c r="E1156">
        <v>1</v>
      </c>
      <c r="F1156">
        <v>27.106549999999999</v>
      </c>
      <c r="G1156">
        <v>266.19997999999998</v>
      </c>
      <c r="H1156">
        <v>296.17959999999999</v>
      </c>
      <c r="I1156">
        <v>-4</v>
      </c>
      <c r="J1156">
        <v>286</v>
      </c>
      <c r="L1156">
        <v>0</v>
      </c>
    </row>
    <row r="1157" spans="1:12" x14ac:dyDescent="0.35">
      <c r="A1157" s="1">
        <v>45658</v>
      </c>
      <c r="B1157" t="s">
        <v>25</v>
      </c>
      <c r="C1157" t="s">
        <v>12</v>
      </c>
      <c r="E1157">
        <v>1</v>
      </c>
      <c r="F1157">
        <v>27.738579999999999</v>
      </c>
      <c r="G1157">
        <v>246.49997999999999</v>
      </c>
      <c r="H1157">
        <v>296.17959999999999</v>
      </c>
      <c r="I1157">
        <v>-4</v>
      </c>
      <c r="J1157">
        <v>286</v>
      </c>
      <c r="L1157">
        <v>0</v>
      </c>
    </row>
    <row r="1158" spans="1:12" x14ac:dyDescent="0.35">
      <c r="A1158" s="1">
        <v>45658</v>
      </c>
      <c r="B1158" t="s">
        <v>25</v>
      </c>
      <c r="C1158" t="s">
        <v>14</v>
      </c>
      <c r="E1158">
        <v>1</v>
      </c>
      <c r="F1158">
        <v>29.304289000000001</v>
      </c>
      <c r="G1158">
        <v>279.39999999999998</v>
      </c>
      <c r="H1158">
        <v>296.17959999999999</v>
      </c>
      <c r="I1158">
        <v>-4</v>
      </c>
      <c r="J1158">
        <v>286</v>
      </c>
      <c r="L1158">
        <v>0</v>
      </c>
    </row>
    <row r="1159" spans="1:12" x14ac:dyDescent="0.35">
      <c r="A1159" s="1">
        <v>45658</v>
      </c>
      <c r="B1159" t="s">
        <v>25</v>
      </c>
      <c r="C1159" t="s">
        <v>16</v>
      </c>
      <c r="E1159">
        <v>1</v>
      </c>
      <c r="F1159">
        <v>24.184419999999999</v>
      </c>
      <c r="G1159">
        <v>466.7</v>
      </c>
      <c r="H1159">
        <v>296.17959999999999</v>
      </c>
      <c r="I1159">
        <v>-4</v>
      </c>
      <c r="J1159">
        <v>286</v>
      </c>
      <c r="L1159">
        <v>0</v>
      </c>
    </row>
    <row r="1160" spans="1:12" x14ac:dyDescent="0.35">
      <c r="A1160" s="1">
        <v>45658</v>
      </c>
      <c r="B1160" t="s">
        <v>25</v>
      </c>
      <c r="C1160" t="s">
        <v>24</v>
      </c>
      <c r="E1160">
        <v>1</v>
      </c>
      <c r="F1160">
        <v>27.714064</v>
      </c>
      <c r="G1160">
        <v>331.3</v>
      </c>
      <c r="H1160">
        <v>296.17959999999999</v>
      </c>
      <c r="I1160">
        <v>-4</v>
      </c>
      <c r="J1160">
        <v>286</v>
      </c>
      <c r="L1160">
        <v>0</v>
      </c>
    </row>
    <row r="1161" spans="1:12" x14ac:dyDescent="0.35">
      <c r="A1161" s="1">
        <v>45689</v>
      </c>
      <c r="B1161" t="s">
        <v>10</v>
      </c>
      <c r="C1161" t="s">
        <v>11</v>
      </c>
      <c r="E1161">
        <v>1</v>
      </c>
      <c r="F1161">
        <v>29.818356999999999</v>
      </c>
      <c r="G1161">
        <v>22</v>
      </c>
      <c r="H1161">
        <v>296.80340000000001</v>
      </c>
      <c r="I1161">
        <v>-4.2</v>
      </c>
      <c r="J1161">
        <v>286</v>
      </c>
      <c r="L1161">
        <v>1</v>
      </c>
    </row>
    <row r="1162" spans="1:12" x14ac:dyDescent="0.35">
      <c r="A1162" s="1">
        <v>45689</v>
      </c>
      <c r="B1162" t="s">
        <v>10</v>
      </c>
      <c r="C1162" t="s">
        <v>12</v>
      </c>
      <c r="E1162">
        <v>1</v>
      </c>
      <c r="F1162">
        <v>30.833857999999999</v>
      </c>
      <c r="G1162">
        <v>37.700000000000003</v>
      </c>
      <c r="H1162">
        <v>296.80340000000001</v>
      </c>
      <c r="I1162">
        <v>-4.2</v>
      </c>
      <c r="J1162">
        <v>286</v>
      </c>
      <c r="L1162">
        <v>1</v>
      </c>
    </row>
    <row r="1163" spans="1:12" x14ac:dyDescent="0.35">
      <c r="A1163" s="1">
        <v>45689</v>
      </c>
      <c r="B1163" t="s">
        <v>10</v>
      </c>
      <c r="C1163" t="s">
        <v>13</v>
      </c>
      <c r="E1163">
        <v>1</v>
      </c>
      <c r="F1163">
        <v>21.266356999999999</v>
      </c>
      <c r="G1163">
        <v>52.2</v>
      </c>
      <c r="H1163">
        <v>296.80340000000001</v>
      </c>
      <c r="I1163">
        <v>-4.2</v>
      </c>
      <c r="J1163">
        <v>286</v>
      </c>
      <c r="L1163">
        <v>1</v>
      </c>
    </row>
    <row r="1164" spans="1:12" x14ac:dyDescent="0.35">
      <c r="A1164" s="1">
        <v>45689</v>
      </c>
      <c r="B1164" t="s">
        <v>10</v>
      </c>
      <c r="C1164" t="s">
        <v>14</v>
      </c>
      <c r="E1164">
        <v>1</v>
      </c>
      <c r="F1164">
        <v>32.653713000000003</v>
      </c>
      <c r="G1164">
        <v>57.5</v>
      </c>
      <c r="H1164">
        <v>296.80340000000001</v>
      </c>
      <c r="I1164">
        <v>-4.2</v>
      </c>
      <c r="J1164">
        <v>286</v>
      </c>
      <c r="L1164">
        <v>1</v>
      </c>
    </row>
    <row r="1165" spans="1:12" x14ac:dyDescent="0.35">
      <c r="A1165" s="1">
        <v>45689</v>
      </c>
      <c r="B1165" t="s">
        <v>10</v>
      </c>
      <c r="C1165" t="s">
        <v>15</v>
      </c>
      <c r="E1165">
        <v>1</v>
      </c>
      <c r="F1165">
        <v>32.515858000000001</v>
      </c>
      <c r="G1165">
        <v>98.5</v>
      </c>
      <c r="H1165">
        <v>296.80340000000001</v>
      </c>
      <c r="I1165">
        <v>-4.2</v>
      </c>
      <c r="J1165">
        <v>286</v>
      </c>
      <c r="L1165">
        <v>1</v>
      </c>
    </row>
    <row r="1166" spans="1:12" x14ac:dyDescent="0.35">
      <c r="A1166" s="1">
        <v>45689</v>
      </c>
      <c r="B1166" t="s">
        <v>10</v>
      </c>
      <c r="C1166" t="s">
        <v>16</v>
      </c>
      <c r="E1166">
        <v>1</v>
      </c>
      <c r="F1166">
        <v>26.508785</v>
      </c>
      <c r="G1166">
        <v>112.200005</v>
      </c>
      <c r="H1166">
        <v>296.80340000000001</v>
      </c>
      <c r="I1166">
        <v>-4.2</v>
      </c>
      <c r="J1166">
        <v>286</v>
      </c>
      <c r="L1166">
        <v>1</v>
      </c>
    </row>
    <row r="1167" spans="1:12" x14ac:dyDescent="0.35">
      <c r="A1167" s="1">
        <v>45689</v>
      </c>
      <c r="B1167" t="s">
        <v>10</v>
      </c>
      <c r="C1167" t="s">
        <v>17</v>
      </c>
      <c r="E1167">
        <v>1</v>
      </c>
      <c r="F1167">
        <v>32.600642999999998</v>
      </c>
      <c r="G1167">
        <v>29.599997999999999</v>
      </c>
      <c r="H1167">
        <v>296.80340000000001</v>
      </c>
      <c r="I1167">
        <v>-4.2</v>
      </c>
      <c r="J1167">
        <v>286</v>
      </c>
      <c r="L1167">
        <v>1</v>
      </c>
    </row>
    <row r="1168" spans="1:12" x14ac:dyDescent="0.35">
      <c r="A1168" s="1">
        <v>45689</v>
      </c>
      <c r="B1168" t="s">
        <v>10</v>
      </c>
      <c r="C1168" t="s">
        <v>18</v>
      </c>
      <c r="E1168">
        <v>1</v>
      </c>
      <c r="F1168">
        <v>32.254356000000001</v>
      </c>
      <c r="G1168">
        <v>86.600005999999993</v>
      </c>
      <c r="H1168">
        <v>296.80340000000001</v>
      </c>
      <c r="I1168">
        <v>-4.2</v>
      </c>
      <c r="J1168">
        <v>286</v>
      </c>
      <c r="L1168">
        <v>1</v>
      </c>
    </row>
    <row r="1169" spans="1:12" x14ac:dyDescent="0.35">
      <c r="A1169" s="1">
        <v>45689</v>
      </c>
      <c r="B1169" t="s">
        <v>10</v>
      </c>
      <c r="C1169" t="s">
        <v>19</v>
      </c>
      <c r="E1169">
        <v>1</v>
      </c>
      <c r="F1169">
        <v>33.118929999999999</v>
      </c>
      <c r="G1169">
        <v>89.100005999999993</v>
      </c>
      <c r="H1169">
        <v>296.80340000000001</v>
      </c>
      <c r="I1169">
        <v>-4.2</v>
      </c>
      <c r="J1169">
        <v>286</v>
      </c>
      <c r="L1169">
        <v>1</v>
      </c>
    </row>
    <row r="1170" spans="1:12" x14ac:dyDescent="0.35">
      <c r="A1170" s="1">
        <v>45689</v>
      </c>
      <c r="B1170" t="s">
        <v>10</v>
      </c>
      <c r="C1170" t="s">
        <v>20</v>
      </c>
      <c r="E1170">
        <v>1</v>
      </c>
      <c r="F1170">
        <v>30.147998999999999</v>
      </c>
      <c r="G1170">
        <v>93.9</v>
      </c>
      <c r="H1170">
        <v>296.80340000000001</v>
      </c>
      <c r="I1170">
        <v>-4.2</v>
      </c>
      <c r="J1170">
        <v>286</v>
      </c>
      <c r="L1170">
        <v>1</v>
      </c>
    </row>
    <row r="1171" spans="1:12" x14ac:dyDescent="0.35">
      <c r="A1171" s="1">
        <v>45689</v>
      </c>
      <c r="B1171" t="s">
        <v>10</v>
      </c>
      <c r="C1171" t="s">
        <v>21</v>
      </c>
      <c r="E1171">
        <v>1</v>
      </c>
      <c r="F1171">
        <v>31.149643000000001</v>
      </c>
      <c r="G1171">
        <v>113.6</v>
      </c>
      <c r="H1171">
        <v>296.80340000000001</v>
      </c>
      <c r="I1171">
        <v>-4.2</v>
      </c>
      <c r="J1171">
        <v>286</v>
      </c>
      <c r="L1171">
        <v>1</v>
      </c>
    </row>
    <row r="1172" spans="1:12" x14ac:dyDescent="0.35">
      <c r="A1172" s="1">
        <v>45689</v>
      </c>
      <c r="B1172" t="s">
        <v>10</v>
      </c>
      <c r="C1172" t="s">
        <v>22</v>
      </c>
      <c r="E1172">
        <v>1</v>
      </c>
      <c r="F1172">
        <v>29.186</v>
      </c>
      <c r="G1172">
        <v>40.399997999999997</v>
      </c>
      <c r="H1172">
        <v>296.80340000000001</v>
      </c>
      <c r="I1172">
        <v>-4.2</v>
      </c>
      <c r="J1172">
        <v>286</v>
      </c>
      <c r="L1172">
        <v>1</v>
      </c>
    </row>
    <row r="1173" spans="1:12" x14ac:dyDescent="0.35">
      <c r="A1173" s="1">
        <v>45689</v>
      </c>
      <c r="B1173" t="s">
        <v>10</v>
      </c>
      <c r="C1173" t="s">
        <v>23</v>
      </c>
      <c r="E1173">
        <v>1</v>
      </c>
      <c r="F1173">
        <v>31.082930000000001</v>
      </c>
      <c r="G1173">
        <v>55.8</v>
      </c>
      <c r="H1173">
        <v>296.80340000000001</v>
      </c>
      <c r="I1173">
        <v>-4.2</v>
      </c>
      <c r="J1173">
        <v>286</v>
      </c>
      <c r="L1173">
        <v>1</v>
      </c>
    </row>
    <row r="1174" spans="1:12" x14ac:dyDescent="0.35">
      <c r="A1174" s="1">
        <v>45689</v>
      </c>
      <c r="B1174" t="s">
        <v>10</v>
      </c>
      <c r="C1174" t="s">
        <v>24</v>
      </c>
      <c r="E1174">
        <v>1</v>
      </c>
      <c r="F1174">
        <v>30.348858</v>
      </c>
      <c r="G1174">
        <v>110.8</v>
      </c>
      <c r="H1174">
        <v>296.80340000000001</v>
      </c>
      <c r="I1174">
        <v>-4.2</v>
      </c>
      <c r="J1174">
        <v>286</v>
      </c>
      <c r="L1174">
        <v>1</v>
      </c>
    </row>
    <row r="1175" spans="1:12" x14ac:dyDescent="0.35">
      <c r="A1175" s="1">
        <v>45689</v>
      </c>
      <c r="B1175" t="s">
        <v>25</v>
      </c>
      <c r="C1175" t="s">
        <v>11</v>
      </c>
      <c r="E1175">
        <v>1</v>
      </c>
      <c r="F1175">
        <v>29.818356999999999</v>
      </c>
      <c r="G1175">
        <v>22</v>
      </c>
      <c r="H1175">
        <v>296.80340000000001</v>
      </c>
      <c r="I1175">
        <v>-4.2</v>
      </c>
      <c r="J1175">
        <v>286</v>
      </c>
      <c r="L1175">
        <v>1</v>
      </c>
    </row>
    <row r="1176" spans="1:12" x14ac:dyDescent="0.35">
      <c r="A1176" s="1">
        <v>45689</v>
      </c>
      <c r="B1176" t="s">
        <v>25</v>
      </c>
      <c r="C1176" t="s">
        <v>12</v>
      </c>
      <c r="E1176">
        <v>1</v>
      </c>
      <c r="F1176">
        <v>30.833857999999999</v>
      </c>
      <c r="G1176">
        <v>37.700000000000003</v>
      </c>
      <c r="H1176">
        <v>296.80340000000001</v>
      </c>
      <c r="I1176">
        <v>-4.2</v>
      </c>
      <c r="J1176">
        <v>286</v>
      </c>
      <c r="L1176">
        <v>1</v>
      </c>
    </row>
    <row r="1177" spans="1:12" x14ac:dyDescent="0.35">
      <c r="A1177" s="1">
        <v>45689</v>
      </c>
      <c r="B1177" t="s">
        <v>25</v>
      </c>
      <c r="C1177" t="s">
        <v>14</v>
      </c>
      <c r="E1177">
        <v>1</v>
      </c>
      <c r="F1177">
        <v>32.653713000000003</v>
      </c>
      <c r="G1177">
        <v>57.5</v>
      </c>
      <c r="H1177">
        <v>296.80340000000001</v>
      </c>
      <c r="I1177">
        <v>-4.2</v>
      </c>
      <c r="J1177">
        <v>286</v>
      </c>
      <c r="L1177">
        <v>1</v>
      </c>
    </row>
    <row r="1178" spans="1:12" x14ac:dyDescent="0.35">
      <c r="A1178" s="1">
        <v>45689</v>
      </c>
      <c r="B1178" t="s">
        <v>25</v>
      </c>
      <c r="C1178" t="s">
        <v>16</v>
      </c>
      <c r="E1178">
        <v>1</v>
      </c>
      <c r="F1178">
        <v>26.508785</v>
      </c>
      <c r="G1178">
        <v>112.200005</v>
      </c>
      <c r="H1178">
        <v>296.80340000000001</v>
      </c>
      <c r="I1178">
        <v>-4.2</v>
      </c>
      <c r="J1178">
        <v>286</v>
      </c>
      <c r="L1178">
        <v>1</v>
      </c>
    </row>
    <row r="1179" spans="1:12" x14ac:dyDescent="0.35">
      <c r="A1179" s="1">
        <v>45689</v>
      </c>
      <c r="B1179" t="s">
        <v>25</v>
      </c>
      <c r="C1179" t="s">
        <v>24</v>
      </c>
      <c r="E1179">
        <v>1</v>
      </c>
      <c r="F1179">
        <v>30.348858</v>
      </c>
      <c r="G1179">
        <v>110.8</v>
      </c>
      <c r="H1179">
        <v>296.80340000000001</v>
      </c>
      <c r="I1179">
        <v>-4.2</v>
      </c>
      <c r="J1179">
        <v>286</v>
      </c>
      <c r="L1179">
        <v>1</v>
      </c>
    </row>
    <row r="1180" spans="1:12" x14ac:dyDescent="0.35">
      <c r="A1180" s="1">
        <v>45717</v>
      </c>
      <c r="B1180" t="s">
        <v>10</v>
      </c>
      <c r="C1180" t="s">
        <v>11</v>
      </c>
      <c r="E1180">
        <v>1</v>
      </c>
      <c r="F1180">
        <v>30.764612</v>
      </c>
      <c r="G1180">
        <v>90</v>
      </c>
      <c r="H1180">
        <v>295.90899999999999</v>
      </c>
      <c r="I1180">
        <v>-2.6</v>
      </c>
      <c r="J1180">
        <v>286</v>
      </c>
      <c r="L1180">
        <v>1</v>
      </c>
    </row>
    <row r="1181" spans="1:12" x14ac:dyDescent="0.35">
      <c r="A1181" s="1">
        <v>45717</v>
      </c>
      <c r="B1181" t="s">
        <v>10</v>
      </c>
      <c r="C1181" t="s">
        <v>12</v>
      </c>
      <c r="E1181">
        <v>1</v>
      </c>
      <c r="F1181">
        <v>31.699871000000002</v>
      </c>
      <c r="G1181">
        <v>112.39999400000001</v>
      </c>
      <c r="H1181">
        <v>295.90899999999999</v>
      </c>
      <c r="I1181">
        <v>-2.6</v>
      </c>
      <c r="J1181">
        <v>286</v>
      </c>
      <c r="L1181">
        <v>1</v>
      </c>
    </row>
    <row r="1182" spans="1:12" x14ac:dyDescent="0.35">
      <c r="A1182" s="1">
        <v>45717</v>
      </c>
      <c r="B1182" t="s">
        <v>10</v>
      </c>
      <c r="C1182" t="s">
        <v>13</v>
      </c>
      <c r="E1182">
        <v>1</v>
      </c>
      <c r="F1182">
        <v>21.299306999999999</v>
      </c>
      <c r="G1182">
        <v>86.9</v>
      </c>
      <c r="H1182">
        <v>295.90899999999999</v>
      </c>
      <c r="I1182">
        <v>-2.6</v>
      </c>
      <c r="J1182">
        <v>286</v>
      </c>
      <c r="L1182">
        <v>1</v>
      </c>
    </row>
    <row r="1183" spans="1:12" x14ac:dyDescent="0.35">
      <c r="A1183" s="1">
        <v>45717</v>
      </c>
      <c r="B1183" t="s">
        <v>10</v>
      </c>
      <c r="C1183" t="s">
        <v>14</v>
      </c>
      <c r="E1183">
        <v>1</v>
      </c>
      <c r="F1183">
        <v>32.591389999999997</v>
      </c>
      <c r="G1183">
        <v>100.3</v>
      </c>
      <c r="H1183">
        <v>295.90899999999999</v>
      </c>
      <c r="I1183">
        <v>-2.6</v>
      </c>
      <c r="J1183">
        <v>286</v>
      </c>
      <c r="L1183">
        <v>1</v>
      </c>
    </row>
    <row r="1184" spans="1:12" x14ac:dyDescent="0.35">
      <c r="A1184" s="1">
        <v>45717</v>
      </c>
      <c r="B1184" t="s">
        <v>10</v>
      </c>
      <c r="C1184" t="s">
        <v>15</v>
      </c>
      <c r="E1184">
        <v>1</v>
      </c>
      <c r="F1184">
        <v>32.142353</v>
      </c>
      <c r="G1184">
        <v>154.69999999999999</v>
      </c>
      <c r="H1184">
        <v>295.90899999999999</v>
      </c>
      <c r="I1184">
        <v>-2.6</v>
      </c>
      <c r="J1184">
        <v>286</v>
      </c>
      <c r="L1184">
        <v>1</v>
      </c>
    </row>
    <row r="1185" spans="1:12" x14ac:dyDescent="0.35">
      <c r="A1185" s="1">
        <v>45717</v>
      </c>
      <c r="B1185" t="s">
        <v>10</v>
      </c>
      <c r="C1185" t="s">
        <v>16</v>
      </c>
      <c r="E1185">
        <v>1</v>
      </c>
      <c r="F1185">
        <v>27.648935000000002</v>
      </c>
      <c r="G1185">
        <v>127.8</v>
      </c>
      <c r="H1185">
        <v>295.90899999999999</v>
      </c>
      <c r="I1185">
        <v>-2.6</v>
      </c>
      <c r="J1185">
        <v>286</v>
      </c>
      <c r="L1185">
        <v>1</v>
      </c>
    </row>
    <row r="1186" spans="1:12" x14ac:dyDescent="0.35">
      <c r="A1186" s="1">
        <v>45717</v>
      </c>
      <c r="B1186" t="s">
        <v>10</v>
      </c>
      <c r="C1186" t="s">
        <v>17</v>
      </c>
      <c r="E1186">
        <v>1</v>
      </c>
      <c r="F1186">
        <v>33.310836999999999</v>
      </c>
      <c r="G1186">
        <v>103.7</v>
      </c>
      <c r="H1186">
        <v>295.90899999999999</v>
      </c>
      <c r="I1186">
        <v>-2.6</v>
      </c>
      <c r="J1186">
        <v>286</v>
      </c>
      <c r="L1186">
        <v>1</v>
      </c>
    </row>
    <row r="1187" spans="1:12" x14ac:dyDescent="0.35">
      <c r="A1187" s="1">
        <v>45717</v>
      </c>
      <c r="B1187" t="s">
        <v>10</v>
      </c>
      <c r="C1187" t="s">
        <v>18</v>
      </c>
      <c r="E1187">
        <v>1</v>
      </c>
      <c r="F1187">
        <v>31.320775999999999</v>
      </c>
      <c r="G1187">
        <v>86.4</v>
      </c>
      <c r="H1187">
        <v>295.90899999999999</v>
      </c>
      <c r="I1187">
        <v>-2.6</v>
      </c>
      <c r="J1187">
        <v>286</v>
      </c>
      <c r="L1187">
        <v>1</v>
      </c>
    </row>
    <row r="1188" spans="1:12" x14ac:dyDescent="0.35">
      <c r="A1188" s="1">
        <v>45717</v>
      </c>
      <c r="B1188" t="s">
        <v>10</v>
      </c>
      <c r="C1188" t="s">
        <v>19</v>
      </c>
      <c r="E1188">
        <v>1</v>
      </c>
      <c r="F1188">
        <v>32.064033999999999</v>
      </c>
      <c r="G1188">
        <v>156.6</v>
      </c>
      <c r="H1188">
        <v>295.90899999999999</v>
      </c>
      <c r="I1188">
        <v>-2.6</v>
      </c>
      <c r="J1188">
        <v>286</v>
      </c>
      <c r="L1188">
        <v>1</v>
      </c>
    </row>
    <row r="1189" spans="1:12" x14ac:dyDescent="0.35">
      <c r="A1189" s="1">
        <v>45717</v>
      </c>
      <c r="B1189" t="s">
        <v>10</v>
      </c>
      <c r="C1189" t="s">
        <v>20</v>
      </c>
      <c r="E1189">
        <v>1</v>
      </c>
      <c r="F1189">
        <v>30.722193000000001</v>
      </c>
      <c r="G1189">
        <v>131.1</v>
      </c>
      <c r="H1189">
        <v>295.90899999999999</v>
      </c>
      <c r="I1189">
        <v>-2.6</v>
      </c>
      <c r="J1189">
        <v>286</v>
      </c>
      <c r="L1189">
        <v>1</v>
      </c>
    </row>
    <row r="1190" spans="1:12" x14ac:dyDescent="0.35">
      <c r="A1190" s="1">
        <v>45717</v>
      </c>
      <c r="B1190" t="s">
        <v>10</v>
      </c>
      <c r="C1190" t="s">
        <v>21</v>
      </c>
      <c r="E1190">
        <v>1</v>
      </c>
      <c r="F1190">
        <v>30.741289999999999</v>
      </c>
      <c r="G1190">
        <v>178.3</v>
      </c>
      <c r="H1190">
        <v>295.90899999999999</v>
      </c>
      <c r="I1190">
        <v>-2.6</v>
      </c>
      <c r="J1190">
        <v>286</v>
      </c>
      <c r="L1190">
        <v>1</v>
      </c>
    </row>
    <row r="1191" spans="1:12" x14ac:dyDescent="0.35">
      <c r="A1191" s="1">
        <v>45717</v>
      </c>
      <c r="B1191" t="s">
        <v>10</v>
      </c>
      <c r="C1191" t="s">
        <v>22</v>
      </c>
      <c r="E1191">
        <v>1</v>
      </c>
      <c r="F1191">
        <v>28.704547999999999</v>
      </c>
      <c r="G1191">
        <v>77.5</v>
      </c>
      <c r="H1191">
        <v>295.90899999999999</v>
      </c>
      <c r="I1191">
        <v>-2.6</v>
      </c>
      <c r="J1191">
        <v>286</v>
      </c>
      <c r="L1191">
        <v>1</v>
      </c>
    </row>
    <row r="1192" spans="1:12" x14ac:dyDescent="0.35">
      <c r="A1192" s="1">
        <v>45717</v>
      </c>
      <c r="B1192" t="s">
        <v>10</v>
      </c>
      <c r="C1192" t="s">
        <v>23</v>
      </c>
      <c r="E1192">
        <v>1</v>
      </c>
      <c r="F1192">
        <v>30.403032</v>
      </c>
      <c r="G1192">
        <v>158.1</v>
      </c>
      <c r="H1192">
        <v>295.90899999999999</v>
      </c>
      <c r="I1192">
        <v>-2.6</v>
      </c>
      <c r="J1192">
        <v>286</v>
      </c>
      <c r="L1192">
        <v>1</v>
      </c>
    </row>
    <row r="1193" spans="1:12" x14ac:dyDescent="0.35">
      <c r="A1193" s="1">
        <v>45717</v>
      </c>
      <c r="B1193" t="s">
        <v>10</v>
      </c>
      <c r="C1193" t="s">
        <v>24</v>
      </c>
      <c r="E1193">
        <v>1</v>
      </c>
      <c r="F1193">
        <v>30.788257999999999</v>
      </c>
      <c r="G1193">
        <v>174.3</v>
      </c>
      <c r="H1193">
        <v>295.90899999999999</v>
      </c>
      <c r="I1193">
        <v>-2.6</v>
      </c>
      <c r="J1193">
        <v>286</v>
      </c>
      <c r="L1193">
        <v>1</v>
      </c>
    </row>
    <row r="1194" spans="1:12" x14ac:dyDescent="0.35">
      <c r="A1194" s="1">
        <v>45717</v>
      </c>
      <c r="B1194" t="s">
        <v>25</v>
      </c>
      <c r="C1194" t="s">
        <v>11</v>
      </c>
      <c r="E1194">
        <v>1</v>
      </c>
      <c r="F1194">
        <v>30.764612</v>
      </c>
      <c r="G1194">
        <v>90</v>
      </c>
      <c r="H1194">
        <v>295.90899999999999</v>
      </c>
      <c r="I1194">
        <v>-2.6</v>
      </c>
      <c r="J1194">
        <v>286</v>
      </c>
      <c r="L1194">
        <v>1</v>
      </c>
    </row>
    <row r="1195" spans="1:12" x14ac:dyDescent="0.35">
      <c r="A1195" s="1">
        <v>45717</v>
      </c>
      <c r="B1195" t="s">
        <v>25</v>
      </c>
      <c r="C1195" t="s">
        <v>12</v>
      </c>
      <c r="E1195">
        <v>1</v>
      </c>
      <c r="F1195">
        <v>31.699871000000002</v>
      </c>
      <c r="G1195">
        <v>112.39999400000001</v>
      </c>
      <c r="H1195">
        <v>295.90899999999999</v>
      </c>
      <c r="I1195">
        <v>-2.6</v>
      </c>
      <c r="J1195">
        <v>286</v>
      </c>
      <c r="L1195">
        <v>1</v>
      </c>
    </row>
    <row r="1196" spans="1:12" x14ac:dyDescent="0.35">
      <c r="A1196" s="1">
        <v>45717</v>
      </c>
      <c r="B1196" t="s">
        <v>25</v>
      </c>
      <c r="C1196" t="s">
        <v>14</v>
      </c>
      <c r="E1196">
        <v>1</v>
      </c>
      <c r="F1196">
        <v>32.591389999999997</v>
      </c>
      <c r="G1196">
        <v>100.3</v>
      </c>
      <c r="H1196">
        <v>295.90899999999999</v>
      </c>
      <c r="I1196">
        <v>-2.6</v>
      </c>
      <c r="J1196">
        <v>286</v>
      </c>
      <c r="L1196">
        <v>1</v>
      </c>
    </row>
    <row r="1197" spans="1:12" x14ac:dyDescent="0.35">
      <c r="A1197" s="1">
        <v>45717</v>
      </c>
      <c r="B1197" t="s">
        <v>25</v>
      </c>
      <c r="C1197" t="s">
        <v>16</v>
      </c>
      <c r="E1197">
        <v>1</v>
      </c>
      <c r="F1197">
        <v>27.648935000000002</v>
      </c>
      <c r="G1197">
        <v>127.8</v>
      </c>
      <c r="H1197">
        <v>295.90899999999999</v>
      </c>
      <c r="I1197">
        <v>-2.6</v>
      </c>
      <c r="J1197">
        <v>286</v>
      </c>
      <c r="L1197">
        <v>1</v>
      </c>
    </row>
    <row r="1198" spans="1:12" x14ac:dyDescent="0.35">
      <c r="A1198" s="1">
        <v>45717</v>
      </c>
      <c r="B1198" t="s">
        <v>25</v>
      </c>
      <c r="C1198" t="s">
        <v>24</v>
      </c>
      <c r="E1198">
        <v>1</v>
      </c>
      <c r="F1198">
        <v>30.788257999999999</v>
      </c>
      <c r="G1198">
        <v>174.3</v>
      </c>
      <c r="H1198">
        <v>295.90899999999999</v>
      </c>
      <c r="I1198">
        <v>-2.6</v>
      </c>
      <c r="J1198">
        <v>286</v>
      </c>
      <c r="L1198">
        <v>1</v>
      </c>
    </row>
    <row r="1199" spans="1:12" x14ac:dyDescent="0.35">
      <c r="A1199" s="1">
        <v>45748</v>
      </c>
      <c r="B1199" t="s">
        <v>10</v>
      </c>
      <c r="C1199" t="s">
        <v>11</v>
      </c>
      <c r="E1199">
        <v>0</v>
      </c>
      <c r="F1199">
        <v>29.399666</v>
      </c>
      <c r="G1199">
        <v>157.40001000000001</v>
      </c>
      <c r="H1199">
        <v>298.53120000000001</v>
      </c>
      <c r="I1199">
        <v>-2</v>
      </c>
      <c r="J1199">
        <v>286</v>
      </c>
      <c r="L1199">
        <v>1</v>
      </c>
    </row>
    <row r="1200" spans="1:12" x14ac:dyDescent="0.35">
      <c r="A1200" s="1">
        <v>45748</v>
      </c>
      <c r="B1200" t="s">
        <v>10</v>
      </c>
      <c r="C1200" t="s">
        <v>12</v>
      </c>
      <c r="E1200">
        <v>0</v>
      </c>
      <c r="F1200">
        <v>30.657667</v>
      </c>
      <c r="G1200">
        <v>281.3</v>
      </c>
      <c r="H1200">
        <v>298.53120000000001</v>
      </c>
      <c r="I1200">
        <v>-2</v>
      </c>
      <c r="J1200">
        <v>286</v>
      </c>
      <c r="L1200">
        <v>1</v>
      </c>
    </row>
    <row r="1201" spans="1:12" x14ac:dyDescent="0.35">
      <c r="A1201" s="1">
        <v>45748</v>
      </c>
      <c r="B1201" t="s">
        <v>10</v>
      </c>
      <c r="C1201" t="s">
        <v>13</v>
      </c>
      <c r="E1201">
        <v>0</v>
      </c>
      <c r="F1201">
        <v>20.526833</v>
      </c>
      <c r="G1201">
        <v>227.40001000000001</v>
      </c>
      <c r="H1201">
        <v>298.53120000000001</v>
      </c>
      <c r="I1201">
        <v>-2</v>
      </c>
      <c r="J1201">
        <v>286</v>
      </c>
      <c r="L1201">
        <v>1</v>
      </c>
    </row>
    <row r="1202" spans="1:12" x14ac:dyDescent="0.35">
      <c r="A1202" s="1">
        <v>45748</v>
      </c>
      <c r="B1202" t="s">
        <v>10</v>
      </c>
      <c r="C1202" t="s">
        <v>14</v>
      </c>
      <c r="E1202">
        <v>0</v>
      </c>
      <c r="F1202">
        <v>31.506333999999999</v>
      </c>
      <c r="G1202">
        <v>216.7</v>
      </c>
      <c r="H1202">
        <v>298.53120000000001</v>
      </c>
      <c r="I1202">
        <v>-2</v>
      </c>
      <c r="J1202">
        <v>286</v>
      </c>
      <c r="L1202">
        <v>1</v>
      </c>
    </row>
    <row r="1203" spans="1:12" x14ac:dyDescent="0.35">
      <c r="A1203" s="1">
        <v>45748</v>
      </c>
      <c r="B1203" t="s">
        <v>10</v>
      </c>
      <c r="C1203" t="s">
        <v>15</v>
      </c>
      <c r="E1203">
        <v>0</v>
      </c>
      <c r="F1203">
        <v>31.054666999999998</v>
      </c>
      <c r="G1203">
        <v>339.5</v>
      </c>
      <c r="H1203">
        <v>298.53120000000001</v>
      </c>
      <c r="I1203">
        <v>-2</v>
      </c>
      <c r="J1203">
        <v>286</v>
      </c>
      <c r="L1203">
        <v>1</v>
      </c>
    </row>
    <row r="1204" spans="1:12" x14ac:dyDescent="0.35">
      <c r="A1204" s="1">
        <v>45748</v>
      </c>
      <c r="B1204" t="s">
        <v>10</v>
      </c>
      <c r="C1204" t="s">
        <v>16</v>
      </c>
      <c r="E1204">
        <v>0</v>
      </c>
      <c r="F1204">
        <v>28.293666999999999</v>
      </c>
      <c r="G1204">
        <v>191.1</v>
      </c>
      <c r="H1204">
        <v>298.53120000000001</v>
      </c>
      <c r="I1204">
        <v>-2</v>
      </c>
      <c r="J1204">
        <v>286</v>
      </c>
      <c r="L1204">
        <v>1</v>
      </c>
    </row>
    <row r="1205" spans="1:12" x14ac:dyDescent="0.35">
      <c r="A1205" s="1">
        <v>45748</v>
      </c>
      <c r="B1205" t="s">
        <v>10</v>
      </c>
      <c r="C1205" t="s">
        <v>17</v>
      </c>
      <c r="E1205">
        <v>0</v>
      </c>
      <c r="F1205">
        <v>32.510998000000001</v>
      </c>
      <c r="G1205">
        <v>202.3</v>
      </c>
      <c r="H1205">
        <v>298.53120000000001</v>
      </c>
      <c r="I1205">
        <v>-2</v>
      </c>
      <c r="J1205">
        <v>286</v>
      </c>
      <c r="L1205">
        <v>1</v>
      </c>
    </row>
    <row r="1206" spans="1:12" x14ac:dyDescent="0.35">
      <c r="A1206" s="1">
        <v>45748</v>
      </c>
      <c r="B1206" t="s">
        <v>10</v>
      </c>
      <c r="C1206" t="s">
        <v>18</v>
      </c>
      <c r="E1206">
        <v>0</v>
      </c>
      <c r="F1206">
        <v>30.597334</v>
      </c>
      <c r="G1206">
        <v>177.6</v>
      </c>
      <c r="H1206">
        <v>298.53120000000001</v>
      </c>
      <c r="I1206">
        <v>-2</v>
      </c>
      <c r="J1206">
        <v>286</v>
      </c>
      <c r="L1206">
        <v>1</v>
      </c>
    </row>
    <row r="1207" spans="1:12" x14ac:dyDescent="0.35">
      <c r="A1207" s="1">
        <v>45748</v>
      </c>
      <c r="B1207" t="s">
        <v>10</v>
      </c>
      <c r="C1207" t="s">
        <v>19</v>
      </c>
      <c r="E1207">
        <v>0</v>
      </c>
      <c r="F1207">
        <v>31.276667</v>
      </c>
      <c r="G1207">
        <v>230.3</v>
      </c>
      <c r="H1207">
        <v>298.53120000000001</v>
      </c>
      <c r="I1207">
        <v>-2</v>
      </c>
      <c r="J1207">
        <v>286</v>
      </c>
      <c r="L1207">
        <v>1</v>
      </c>
    </row>
    <row r="1208" spans="1:12" x14ac:dyDescent="0.35">
      <c r="A1208" s="1">
        <v>45748</v>
      </c>
      <c r="B1208" t="s">
        <v>10</v>
      </c>
      <c r="C1208" t="s">
        <v>20</v>
      </c>
      <c r="E1208">
        <v>0</v>
      </c>
      <c r="F1208">
        <v>29.722999999999999</v>
      </c>
      <c r="G1208">
        <v>238.70000999999999</v>
      </c>
      <c r="H1208">
        <v>298.53120000000001</v>
      </c>
      <c r="I1208">
        <v>-2</v>
      </c>
      <c r="J1208">
        <v>286</v>
      </c>
      <c r="L1208">
        <v>1</v>
      </c>
    </row>
    <row r="1209" spans="1:12" x14ac:dyDescent="0.35">
      <c r="A1209" s="1">
        <v>45748</v>
      </c>
      <c r="B1209" t="s">
        <v>10</v>
      </c>
      <c r="C1209" t="s">
        <v>21</v>
      </c>
      <c r="E1209">
        <v>0</v>
      </c>
      <c r="F1209">
        <v>30.146666</v>
      </c>
      <c r="G1209">
        <v>242.1</v>
      </c>
      <c r="H1209">
        <v>298.53120000000001</v>
      </c>
      <c r="I1209">
        <v>-2</v>
      </c>
      <c r="J1209">
        <v>286</v>
      </c>
      <c r="L1209">
        <v>1</v>
      </c>
    </row>
    <row r="1210" spans="1:12" x14ac:dyDescent="0.35">
      <c r="A1210" s="1">
        <v>45748</v>
      </c>
      <c r="B1210" t="s">
        <v>10</v>
      </c>
      <c r="C1210" t="s">
        <v>22</v>
      </c>
      <c r="E1210">
        <v>0</v>
      </c>
      <c r="F1210">
        <v>28.754332999999999</v>
      </c>
      <c r="G1210">
        <v>202.1</v>
      </c>
      <c r="H1210">
        <v>298.53120000000001</v>
      </c>
      <c r="I1210">
        <v>-2</v>
      </c>
      <c r="J1210">
        <v>286</v>
      </c>
      <c r="L1210">
        <v>1</v>
      </c>
    </row>
    <row r="1211" spans="1:12" x14ac:dyDescent="0.35">
      <c r="A1211" s="1">
        <v>45748</v>
      </c>
      <c r="B1211" t="s">
        <v>10</v>
      </c>
      <c r="C1211" t="s">
        <v>23</v>
      </c>
      <c r="E1211">
        <v>0</v>
      </c>
      <c r="F1211">
        <v>30.879000000000001</v>
      </c>
      <c r="G1211">
        <v>122.299995</v>
      </c>
      <c r="H1211">
        <v>298.53120000000001</v>
      </c>
      <c r="I1211">
        <v>-2</v>
      </c>
      <c r="J1211">
        <v>286</v>
      </c>
      <c r="L1211">
        <v>1</v>
      </c>
    </row>
    <row r="1212" spans="1:12" x14ac:dyDescent="0.35">
      <c r="A1212" s="1">
        <v>45748</v>
      </c>
      <c r="B1212" t="s">
        <v>10</v>
      </c>
      <c r="C1212" t="s">
        <v>24</v>
      </c>
      <c r="E1212">
        <v>0</v>
      </c>
      <c r="F1212">
        <v>31.135999999999999</v>
      </c>
      <c r="G1212">
        <v>260.5</v>
      </c>
      <c r="H1212">
        <v>298.53120000000001</v>
      </c>
      <c r="I1212">
        <v>-2</v>
      </c>
      <c r="J1212">
        <v>286</v>
      </c>
      <c r="L1212">
        <v>1</v>
      </c>
    </row>
    <row r="1213" spans="1:12" x14ac:dyDescent="0.35">
      <c r="A1213" s="1">
        <v>45748</v>
      </c>
      <c r="B1213" t="s">
        <v>25</v>
      </c>
      <c r="C1213" t="s">
        <v>11</v>
      </c>
      <c r="E1213">
        <v>0</v>
      </c>
      <c r="F1213">
        <v>29.399666</v>
      </c>
      <c r="G1213">
        <v>157.40001000000001</v>
      </c>
      <c r="H1213">
        <v>298.53120000000001</v>
      </c>
      <c r="I1213">
        <v>-2</v>
      </c>
      <c r="J1213">
        <v>286</v>
      </c>
      <c r="L1213">
        <v>1</v>
      </c>
    </row>
    <row r="1214" spans="1:12" x14ac:dyDescent="0.35">
      <c r="A1214" s="1">
        <v>45748</v>
      </c>
      <c r="B1214" t="s">
        <v>25</v>
      </c>
      <c r="C1214" t="s">
        <v>12</v>
      </c>
      <c r="E1214">
        <v>0</v>
      </c>
      <c r="F1214">
        <v>30.657667</v>
      </c>
      <c r="G1214">
        <v>281.3</v>
      </c>
      <c r="H1214">
        <v>298.53120000000001</v>
      </c>
      <c r="I1214">
        <v>-2</v>
      </c>
      <c r="J1214">
        <v>286</v>
      </c>
      <c r="L1214">
        <v>1</v>
      </c>
    </row>
    <row r="1215" spans="1:12" x14ac:dyDescent="0.35">
      <c r="A1215" s="1">
        <v>45748</v>
      </c>
      <c r="B1215" t="s">
        <v>25</v>
      </c>
      <c r="C1215" t="s">
        <v>14</v>
      </c>
      <c r="E1215">
        <v>0</v>
      </c>
      <c r="F1215">
        <v>31.506333999999999</v>
      </c>
      <c r="G1215">
        <v>216.7</v>
      </c>
      <c r="H1215">
        <v>298.53120000000001</v>
      </c>
      <c r="I1215">
        <v>-2</v>
      </c>
      <c r="J1215">
        <v>286</v>
      </c>
      <c r="L1215">
        <v>1</v>
      </c>
    </row>
    <row r="1216" spans="1:12" x14ac:dyDescent="0.35">
      <c r="A1216" s="1">
        <v>45748</v>
      </c>
      <c r="B1216" t="s">
        <v>25</v>
      </c>
      <c r="C1216" t="s">
        <v>16</v>
      </c>
      <c r="E1216">
        <v>0</v>
      </c>
      <c r="F1216">
        <v>28.293666999999999</v>
      </c>
      <c r="G1216">
        <v>191.1</v>
      </c>
      <c r="H1216">
        <v>298.53120000000001</v>
      </c>
      <c r="I1216">
        <v>-2</v>
      </c>
      <c r="J1216">
        <v>286</v>
      </c>
      <c r="L1216">
        <v>1</v>
      </c>
    </row>
    <row r="1217" spans="1:12" x14ac:dyDescent="0.35">
      <c r="A1217" s="1">
        <v>45748</v>
      </c>
      <c r="B1217" t="s">
        <v>25</v>
      </c>
      <c r="C1217" t="s">
        <v>24</v>
      </c>
      <c r="E1217">
        <v>0</v>
      </c>
      <c r="F1217">
        <v>31.135999999999999</v>
      </c>
      <c r="G1217">
        <v>260.5</v>
      </c>
      <c r="H1217">
        <v>298.53120000000001</v>
      </c>
      <c r="I1217">
        <v>-2</v>
      </c>
      <c r="J1217">
        <v>286</v>
      </c>
      <c r="L1217">
        <v>1</v>
      </c>
    </row>
    <row r="1218" spans="1:12" x14ac:dyDescent="0.35">
      <c r="A1218" s="1">
        <v>45778</v>
      </c>
      <c r="B1218" t="s">
        <v>10</v>
      </c>
      <c r="C1218" t="s">
        <v>11</v>
      </c>
      <c r="E1218">
        <v>0</v>
      </c>
      <c r="F1218">
        <v>28.522677999999999</v>
      </c>
      <c r="G1218">
        <v>120.3</v>
      </c>
      <c r="H1218">
        <v>299.41419999999999</v>
      </c>
      <c r="I1218">
        <v>-0.7</v>
      </c>
      <c r="J1218">
        <v>274</v>
      </c>
      <c r="L1218">
        <v>0</v>
      </c>
    </row>
    <row r="1219" spans="1:12" x14ac:dyDescent="0.35">
      <c r="A1219" s="1">
        <v>45778</v>
      </c>
      <c r="B1219" t="s">
        <v>10</v>
      </c>
      <c r="C1219" t="s">
        <v>12</v>
      </c>
      <c r="E1219">
        <v>0</v>
      </c>
      <c r="F1219">
        <v>29.162775</v>
      </c>
      <c r="G1219">
        <v>190.1</v>
      </c>
      <c r="H1219">
        <v>299.41419999999999</v>
      </c>
      <c r="I1219">
        <v>-0.7</v>
      </c>
      <c r="J1219">
        <v>274</v>
      </c>
      <c r="L1219">
        <v>0</v>
      </c>
    </row>
    <row r="1220" spans="1:12" x14ac:dyDescent="0.35">
      <c r="A1220" s="1">
        <v>45778</v>
      </c>
      <c r="B1220" t="s">
        <v>10</v>
      </c>
      <c r="C1220" t="s">
        <v>13</v>
      </c>
      <c r="E1220">
        <v>0</v>
      </c>
      <c r="F1220">
        <v>19.518661000000002</v>
      </c>
      <c r="G1220">
        <v>269.60000000000002</v>
      </c>
      <c r="H1220">
        <v>299.41419999999999</v>
      </c>
      <c r="I1220">
        <v>-0.7</v>
      </c>
      <c r="J1220">
        <v>274</v>
      </c>
      <c r="L1220">
        <v>0</v>
      </c>
    </row>
    <row r="1221" spans="1:12" x14ac:dyDescent="0.35">
      <c r="A1221" s="1">
        <v>45778</v>
      </c>
      <c r="B1221" t="s">
        <v>10</v>
      </c>
      <c r="C1221" t="s">
        <v>14</v>
      </c>
      <c r="E1221">
        <v>0</v>
      </c>
      <c r="F1221">
        <v>30.32687</v>
      </c>
      <c r="G1221">
        <v>217.20000999999999</v>
      </c>
      <c r="H1221">
        <v>299.41419999999999</v>
      </c>
      <c r="I1221">
        <v>-0.7</v>
      </c>
      <c r="J1221">
        <v>274</v>
      </c>
      <c r="L1221">
        <v>0</v>
      </c>
    </row>
    <row r="1222" spans="1:12" x14ac:dyDescent="0.35">
      <c r="A1222" s="1">
        <v>45778</v>
      </c>
      <c r="B1222" t="s">
        <v>10</v>
      </c>
      <c r="C1222" t="s">
        <v>15</v>
      </c>
      <c r="E1222">
        <v>0</v>
      </c>
      <c r="F1222">
        <v>30.206871</v>
      </c>
      <c r="G1222">
        <v>374.7</v>
      </c>
      <c r="H1222">
        <v>299.41419999999999</v>
      </c>
      <c r="I1222">
        <v>-0.7</v>
      </c>
      <c r="J1222">
        <v>274</v>
      </c>
      <c r="L1222">
        <v>0</v>
      </c>
    </row>
    <row r="1223" spans="1:12" x14ac:dyDescent="0.35">
      <c r="A1223" s="1">
        <v>45778</v>
      </c>
      <c r="B1223" t="s">
        <v>10</v>
      </c>
      <c r="C1223" t="s">
        <v>16</v>
      </c>
      <c r="E1223">
        <v>0</v>
      </c>
      <c r="F1223">
        <v>29.934419999999999</v>
      </c>
      <c r="G1223">
        <v>62.5</v>
      </c>
      <c r="H1223">
        <v>299.41419999999999</v>
      </c>
      <c r="I1223">
        <v>-0.7</v>
      </c>
      <c r="J1223">
        <v>274</v>
      </c>
      <c r="L1223">
        <v>0</v>
      </c>
    </row>
    <row r="1224" spans="1:12" x14ac:dyDescent="0.35">
      <c r="A1224" s="1">
        <v>45778</v>
      </c>
      <c r="B1224" t="s">
        <v>10</v>
      </c>
      <c r="C1224" t="s">
        <v>17</v>
      </c>
      <c r="E1224">
        <v>0</v>
      </c>
      <c r="F1224">
        <v>31.147936000000001</v>
      </c>
      <c r="G1224">
        <v>146.80000000000001</v>
      </c>
      <c r="H1224">
        <v>299.41419999999999</v>
      </c>
      <c r="I1224">
        <v>-0.7</v>
      </c>
      <c r="J1224">
        <v>274</v>
      </c>
      <c r="L1224">
        <v>0</v>
      </c>
    </row>
    <row r="1225" spans="1:12" x14ac:dyDescent="0.35">
      <c r="A1225" s="1">
        <v>45778</v>
      </c>
      <c r="B1225" t="s">
        <v>10</v>
      </c>
      <c r="C1225" t="s">
        <v>18</v>
      </c>
      <c r="E1225">
        <v>0</v>
      </c>
      <c r="F1225">
        <v>30.241743</v>
      </c>
      <c r="G1225">
        <v>276.60000000000002</v>
      </c>
      <c r="H1225">
        <v>299.41419999999999</v>
      </c>
      <c r="I1225">
        <v>-0.7</v>
      </c>
      <c r="J1225">
        <v>274</v>
      </c>
      <c r="L1225">
        <v>0</v>
      </c>
    </row>
    <row r="1226" spans="1:12" x14ac:dyDescent="0.35">
      <c r="A1226" s="1">
        <v>45778</v>
      </c>
      <c r="B1226" t="s">
        <v>10</v>
      </c>
      <c r="C1226" t="s">
        <v>19</v>
      </c>
      <c r="E1226">
        <v>0</v>
      </c>
      <c r="F1226">
        <v>30.907581</v>
      </c>
      <c r="G1226">
        <v>289.80002000000002</v>
      </c>
      <c r="H1226">
        <v>299.41419999999999</v>
      </c>
      <c r="I1226">
        <v>-0.7</v>
      </c>
      <c r="J1226">
        <v>274</v>
      </c>
      <c r="L1226">
        <v>0</v>
      </c>
    </row>
    <row r="1227" spans="1:12" x14ac:dyDescent="0.35">
      <c r="A1227" s="1">
        <v>45778</v>
      </c>
      <c r="B1227" t="s">
        <v>10</v>
      </c>
      <c r="C1227" t="s">
        <v>20</v>
      </c>
      <c r="E1227">
        <v>0</v>
      </c>
      <c r="F1227">
        <v>30.043161000000001</v>
      </c>
      <c r="G1227">
        <v>281.80002000000002</v>
      </c>
      <c r="H1227">
        <v>299.41419999999999</v>
      </c>
      <c r="I1227">
        <v>-0.7</v>
      </c>
      <c r="J1227">
        <v>274</v>
      </c>
      <c r="L1227">
        <v>0</v>
      </c>
    </row>
    <row r="1228" spans="1:12" x14ac:dyDescent="0.35">
      <c r="A1228" s="1">
        <v>45778</v>
      </c>
      <c r="B1228" t="s">
        <v>10</v>
      </c>
      <c r="C1228" t="s">
        <v>21</v>
      </c>
      <c r="E1228">
        <v>0</v>
      </c>
      <c r="F1228">
        <v>29.957418000000001</v>
      </c>
      <c r="G1228">
        <v>237.1</v>
      </c>
      <c r="H1228">
        <v>299.41419999999999</v>
      </c>
      <c r="I1228">
        <v>-0.7</v>
      </c>
      <c r="J1228">
        <v>274</v>
      </c>
      <c r="L1228">
        <v>0</v>
      </c>
    </row>
    <row r="1229" spans="1:12" x14ac:dyDescent="0.35">
      <c r="A1229" s="1">
        <v>45778</v>
      </c>
      <c r="B1229" t="s">
        <v>10</v>
      </c>
      <c r="C1229" t="s">
        <v>22</v>
      </c>
      <c r="E1229">
        <v>0</v>
      </c>
      <c r="F1229">
        <v>28.967452999999999</v>
      </c>
      <c r="G1229">
        <v>159.20000999999999</v>
      </c>
      <c r="H1229">
        <v>299.41419999999999</v>
      </c>
      <c r="I1229">
        <v>-0.7</v>
      </c>
      <c r="J1229">
        <v>274</v>
      </c>
      <c r="L1229">
        <v>0</v>
      </c>
    </row>
    <row r="1230" spans="1:12" x14ac:dyDescent="0.35">
      <c r="A1230" s="1">
        <v>45778</v>
      </c>
      <c r="B1230" t="s">
        <v>10</v>
      </c>
      <c r="C1230" t="s">
        <v>23</v>
      </c>
      <c r="E1230">
        <v>0</v>
      </c>
      <c r="F1230">
        <v>32.304645999999998</v>
      </c>
      <c r="G1230">
        <v>54.9</v>
      </c>
      <c r="H1230">
        <v>299.41419999999999</v>
      </c>
      <c r="I1230">
        <v>-0.7</v>
      </c>
      <c r="J1230">
        <v>274</v>
      </c>
      <c r="L1230">
        <v>0</v>
      </c>
    </row>
    <row r="1231" spans="1:12" x14ac:dyDescent="0.35">
      <c r="A1231" s="1">
        <v>45778</v>
      </c>
      <c r="B1231" t="s">
        <v>10</v>
      </c>
      <c r="C1231" t="s">
        <v>24</v>
      </c>
      <c r="E1231">
        <v>0</v>
      </c>
      <c r="F1231">
        <v>31.978580000000001</v>
      </c>
      <c r="G1231">
        <v>54.9</v>
      </c>
      <c r="H1231">
        <v>299.41419999999999</v>
      </c>
      <c r="I1231">
        <v>-0.7</v>
      </c>
      <c r="J1231">
        <v>274</v>
      </c>
      <c r="L1231">
        <v>0</v>
      </c>
    </row>
    <row r="1232" spans="1:12" x14ac:dyDescent="0.35">
      <c r="A1232" s="1">
        <v>45778</v>
      </c>
      <c r="B1232" t="s">
        <v>25</v>
      </c>
      <c r="C1232" t="s">
        <v>11</v>
      </c>
      <c r="E1232">
        <v>0</v>
      </c>
      <c r="F1232">
        <v>28.522677999999999</v>
      </c>
      <c r="G1232">
        <v>120.3</v>
      </c>
      <c r="H1232">
        <v>299.41419999999999</v>
      </c>
      <c r="I1232">
        <v>-0.7</v>
      </c>
      <c r="J1232">
        <v>274</v>
      </c>
      <c r="L1232">
        <v>0</v>
      </c>
    </row>
    <row r="1233" spans="1:12" x14ac:dyDescent="0.35">
      <c r="A1233" s="1">
        <v>45778</v>
      </c>
      <c r="B1233" t="s">
        <v>25</v>
      </c>
      <c r="C1233" t="s">
        <v>12</v>
      </c>
      <c r="E1233">
        <v>0</v>
      </c>
      <c r="F1233">
        <v>29.162775</v>
      </c>
      <c r="G1233">
        <v>190.1</v>
      </c>
      <c r="H1233">
        <v>299.41419999999999</v>
      </c>
      <c r="I1233">
        <v>-0.7</v>
      </c>
      <c r="J1233">
        <v>274</v>
      </c>
      <c r="L1233">
        <v>0</v>
      </c>
    </row>
    <row r="1234" spans="1:12" x14ac:dyDescent="0.35">
      <c r="A1234" s="1">
        <v>45778</v>
      </c>
      <c r="B1234" t="s">
        <v>25</v>
      </c>
      <c r="C1234" t="s">
        <v>14</v>
      </c>
      <c r="E1234">
        <v>0</v>
      </c>
      <c r="F1234">
        <v>30.32687</v>
      </c>
      <c r="G1234">
        <v>217.20000999999999</v>
      </c>
      <c r="H1234">
        <v>299.41419999999999</v>
      </c>
      <c r="I1234">
        <v>-0.7</v>
      </c>
      <c r="J1234">
        <v>274</v>
      </c>
      <c r="L1234">
        <v>0</v>
      </c>
    </row>
    <row r="1235" spans="1:12" x14ac:dyDescent="0.35">
      <c r="A1235" s="1">
        <v>45778</v>
      </c>
      <c r="B1235" t="s">
        <v>25</v>
      </c>
      <c r="C1235" t="s">
        <v>16</v>
      </c>
      <c r="E1235">
        <v>0</v>
      </c>
      <c r="F1235">
        <v>29.934419999999999</v>
      </c>
      <c r="G1235">
        <v>62.5</v>
      </c>
      <c r="H1235">
        <v>299.41419999999999</v>
      </c>
      <c r="I1235">
        <v>-0.7</v>
      </c>
      <c r="J1235">
        <v>274</v>
      </c>
      <c r="L1235">
        <v>0</v>
      </c>
    </row>
    <row r="1236" spans="1:12" x14ac:dyDescent="0.35">
      <c r="A1236" s="1">
        <v>45778</v>
      </c>
      <c r="B1236" t="s">
        <v>25</v>
      </c>
      <c r="C1236" t="s">
        <v>24</v>
      </c>
      <c r="E1236">
        <v>0</v>
      </c>
      <c r="F1236">
        <v>31.978580000000001</v>
      </c>
      <c r="G1236">
        <v>54.9</v>
      </c>
      <c r="H1236">
        <v>299.41419999999999</v>
      </c>
      <c r="I1236">
        <v>-0.7</v>
      </c>
      <c r="J1236">
        <v>274</v>
      </c>
      <c r="L1236">
        <v>0</v>
      </c>
    </row>
    <row r="1237" spans="1:12" x14ac:dyDescent="0.35">
      <c r="A1237" s="1">
        <v>45809</v>
      </c>
      <c r="B1237" t="s">
        <v>10</v>
      </c>
      <c r="C1237" t="s">
        <v>11</v>
      </c>
      <c r="E1237">
        <v>1</v>
      </c>
      <c r="F1237">
        <v>27.599667</v>
      </c>
      <c r="G1237">
        <v>132.6</v>
      </c>
      <c r="H1237">
        <v>299.90140000000002</v>
      </c>
      <c r="I1237">
        <v>-0.6</v>
      </c>
      <c r="J1237">
        <v>274</v>
      </c>
      <c r="L1237">
        <v>0</v>
      </c>
    </row>
    <row r="1238" spans="1:12" x14ac:dyDescent="0.35">
      <c r="A1238" s="1">
        <v>45809</v>
      </c>
      <c r="B1238" t="s">
        <v>10</v>
      </c>
      <c r="C1238" t="s">
        <v>12</v>
      </c>
      <c r="E1238">
        <v>1</v>
      </c>
      <c r="F1238">
        <v>27.764336</v>
      </c>
      <c r="G1238">
        <v>171.50002000000001</v>
      </c>
      <c r="H1238">
        <v>299.90140000000002</v>
      </c>
      <c r="I1238">
        <v>-0.6</v>
      </c>
      <c r="J1238">
        <v>274</v>
      </c>
      <c r="L1238">
        <v>0</v>
      </c>
    </row>
    <row r="1239" spans="1:12" x14ac:dyDescent="0.35">
      <c r="A1239" s="1">
        <v>45809</v>
      </c>
      <c r="B1239" t="s">
        <v>10</v>
      </c>
      <c r="C1239" t="s">
        <v>13</v>
      </c>
      <c r="E1239">
        <v>1</v>
      </c>
      <c r="F1239">
        <v>18.203499000000001</v>
      </c>
      <c r="G1239">
        <v>277.19997999999998</v>
      </c>
      <c r="H1239">
        <v>299.90140000000002</v>
      </c>
      <c r="I1239">
        <v>-0.6</v>
      </c>
      <c r="J1239">
        <v>274</v>
      </c>
      <c r="L1239">
        <v>0</v>
      </c>
    </row>
    <row r="1240" spans="1:12" x14ac:dyDescent="0.35">
      <c r="A1240" s="1">
        <v>45809</v>
      </c>
      <c r="B1240" t="s">
        <v>10</v>
      </c>
      <c r="C1240" t="s">
        <v>14</v>
      </c>
      <c r="E1240">
        <v>1</v>
      </c>
      <c r="F1240">
        <v>28.571332999999999</v>
      </c>
      <c r="G1240">
        <v>306.39999999999998</v>
      </c>
      <c r="H1240">
        <v>299.90140000000002</v>
      </c>
      <c r="I1240">
        <v>-0.6</v>
      </c>
      <c r="J1240">
        <v>274</v>
      </c>
      <c r="L1240">
        <v>0</v>
      </c>
    </row>
    <row r="1241" spans="1:12" x14ac:dyDescent="0.35">
      <c r="A1241" s="1">
        <v>45809</v>
      </c>
      <c r="B1241" t="s">
        <v>10</v>
      </c>
      <c r="C1241" t="s">
        <v>15</v>
      </c>
      <c r="E1241">
        <v>1</v>
      </c>
      <c r="F1241">
        <v>29.329668000000002</v>
      </c>
      <c r="G1241">
        <v>498.6</v>
      </c>
      <c r="H1241">
        <v>299.90140000000002</v>
      </c>
      <c r="I1241">
        <v>-0.6</v>
      </c>
      <c r="J1241">
        <v>274</v>
      </c>
      <c r="L1241">
        <v>0</v>
      </c>
    </row>
    <row r="1242" spans="1:12" x14ac:dyDescent="0.35">
      <c r="A1242" s="1">
        <v>45809</v>
      </c>
      <c r="B1242" t="s">
        <v>10</v>
      </c>
      <c r="C1242" t="s">
        <v>16</v>
      </c>
      <c r="E1242">
        <v>1</v>
      </c>
      <c r="F1242">
        <v>31.063665</v>
      </c>
      <c r="G1242">
        <v>80.5</v>
      </c>
      <c r="H1242">
        <v>299.90140000000002</v>
      </c>
      <c r="I1242">
        <v>-0.6</v>
      </c>
      <c r="J1242">
        <v>274</v>
      </c>
      <c r="L1242">
        <v>0</v>
      </c>
    </row>
    <row r="1243" spans="1:12" x14ac:dyDescent="0.35">
      <c r="A1243" s="1">
        <v>45809</v>
      </c>
      <c r="B1243" t="s">
        <v>10</v>
      </c>
      <c r="C1243" t="s">
        <v>17</v>
      </c>
      <c r="E1243">
        <v>1</v>
      </c>
      <c r="F1243">
        <v>29.384335</v>
      </c>
      <c r="G1243">
        <v>182.40001000000001</v>
      </c>
      <c r="H1243">
        <v>299.90140000000002</v>
      </c>
      <c r="I1243">
        <v>-0.6</v>
      </c>
      <c r="J1243">
        <v>274</v>
      </c>
      <c r="L1243">
        <v>0</v>
      </c>
    </row>
    <row r="1244" spans="1:12" x14ac:dyDescent="0.35">
      <c r="A1244" s="1">
        <v>45809</v>
      </c>
      <c r="B1244" t="s">
        <v>10</v>
      </c>
      <c r="C1244" t="s">
        <v>18</v>
      </c>
      <c r="E1244">
        <v>1</v>
      </c>
      <c r="F1244">
        <v>29.055668000000001</v>
      </c>
      <c r="G1244">
        <v>301.3</v>
      </c>
      <c r="H1244">
        <v>299.90140000000002</v>
      </c>
      <c r="I1244">
        <v>-0.6</v>
      </c>
      <c r="J1244">
        <v>274</v>
      </c>
      <c r="L1244">
        <v>0</v>
      </c>
    </row>
    <row r="1245" spans="1:12" x14ac:dyDescent="0.35">
      <c r="A1245" s="1">
        <v>45809</v>
      </c>
      <c r="B1245" t="s">
        <v>10</v>
      </c>
      <c r="C1245" t="s">
        <v>19</v>
      </c>
      <c r="E1245">
        <v>1</v>
      </c>
      <c r="F1245">
        <v>29.531668</v>
      </c>
      <c r="G1245">
        <v>380.1</v>
      </c>
      <c r="H1245">
        <v>299.90140000000002</v>
      </c>
      <c r="I1245">
        <v>-0.6</v>
      </c>
      <c r="J1245">
        <v>274</v>
      </c>
      <c r="L1245">
        <v>0</v>
      </c>
    </row>
    <row r="1246" spans="1:12" x14ac:dyDescent="0.35">
      <c r="A1246" s="1">
        <v>45809</v>
      </c>
      <c r="B1246" t="s">
        <v>10</v>
      </c>
      <c r="C1246" t="s">
        <v>20</v>
      </c>
      <c r="E1246">
        <v>1</v>
      </c>
      <c r="F1246">
        <v>28.896334</v>
      </c>
      <c r="G1246">
        <v>298.10000000000002</v>
      </c>
      <c r="H1246">
        <v>299.90140000000002</v>
      </c>
      <c r="I1246">
        <v>-0.6</v>
      </c>
      <c r="J1246">
        <v>274</v>
      </c>
      <c r="L1246">
        <v>0</v>
      </c>
    </row>
    <row r="1247" spans="1:12" x14ac:dyDescent="0.35">
      <c r="A1247" s="1">
        <v>45809</v>
      </c>
      <c r="B1247" t="s">
        <v>10</v>
      </c>
      <c r="C1247" t="s">
        <v>21</v>
      </c>
      <c r="E1247">
        <v>1</v>
      </c>
      <c r="F1247">
        <v>29.35</v>
      </c>
      <c r="G1247">
        <v>282</v>
      </c>
      <c r="H1247">
        <v>299.90140000000002</v>
      </c>
      <c r="I1247">
        <v>-0.6</v>
      </c>
      <c r="J1247">
        <v>274</v>
      </c>
      <c r="L1247">
        <v>0</v>
      </c>
    </row>
    <row r="1248" spans="1:12" x14ac:dyDescent="0.35">
      <c r="A1248" s="1">
        <v>45809</v>
      </c>
      <c r="B1248" t="s">
        <v>10</v>
      </c>
      <c r="C1248" t="s">
        <v>22</v>
      </c>
      <c r="E1248">
        <v>1</v>
      </c>
      <c r="F1248">
        <v>28.312666</v>
      </c>
      <c r="G1248">
        <v>151.79999000000001</v>
      </c>
      <c r="H1248">
        <v>299.90140000000002</v>
      </c>
      <c r="I1248">
        <v>-0.6</v>
      </c>
      <c r="J1248">
        <v>274</v>
      </c>
      <c r="L1248">
        <v>0</v>
      </c>
    </row>
    <row r="1249" spans="1:12" x14ac:dyDescent="0.35">
      <c r="A1249" s="1">
        <v>45809</v>
      </c>
      <c r="B1249" t="s">
        <v>10</v>
      </c>
      <c r="C1249" t="s">
        <v>23</v>
      </c>
      <c r="E1249">
        <v>1</v>
      </c>
      <c r="F1249">
        <v>32.537334000000001</v>
      </c>
      <c r="G1249">
        <v>40.799999999999997</v>
      </c>
      <c r="H1249">
        <v>299.90140000000002</v>
      </c>
      <c r="I1249">
        <v>-0.6</v>
      </c>
      <c r="J1249">
        <v>274</v>
      </c>
      <c r="L1249">
        <v>0</v>
      </c>
    </row>
    <row r="1250" spans="1:12" x14ac:dyDescent="0.35">
      <c r="A1250" s="1">
        <v>45809</v>
      </c>
      <c r="B1250" t="s">
        <v>10</v>
      </c>
      <c r="C1250" t="s">
        <v>24</v>
      </c>
      <c r="E1250">
        <v>1</v>
      </c>
      <c r="F1250">
        <v>34.036000000000001</v>
      </c>
      <c r="G1250">
        <v>35.5</v>
      </c>
      <c r="H1250">
        <v>299.90140000000002</v>
      </c>
      <c r="I1250">
        <v>-0.6</v>
      </c>
      <c r="J1250">
        <v>274</v>
      </c>
      <c r="L1250">
        <v>0</v>
      </c>
    </row>
    <row r="1251" spans="1:12" x14ac:dyDescent="0.35">
      <c r="A1251" s="1">
        <v>45809</v>
      </c>
      <c r="B1251" t="s">
        <v>25</v>
      </c>
      <c r="C1251" t="s">
        <v>11</v>
      </c>
      <c r="E1251">
        <v>1</v>
      </c>
      <c r="F1251">
        <v>27.599667</v>
      </c>
      <c r="G1251">
        <v>132.6</v>
      </c>
      <c r="H1251">
        <v>299.90140000000002</v>
      </c>
      <c r="I1251">
        <v>-0.6</v>
      </c>
      <c r="J1251">
        <v>274</v>
      </c>
      <c r="L1251">
        <v>0</v>
      </c>
    </row>
    <row r="1252" spans="1:12" x14ac:dyDescent="0.35">
      <c r="A1252" s="1">
        <v>45809</v>
      </c>
      <c r="B1252" t="s">
        <v>25</v>
      </c>
      <c r="C1252" t="s">
        <v>12</v>
      </c>
      <c r="E1252">
        <v>1</v>
      </c>
      <c r="F1252">
        <v>27.764336</v>
      </c>
      <c r="G1252">
        <v>171.50002000000001</v>
      </c>
      <c r="H1252">
        <v>299.90140000000002</v>
      </c>
      <c r="I1252">
        <v>-0.6</v>
      </c>
      <c r="J1252">
        <v>274</v>
      </c>
      <c r="L1252">
        <v>0</v>
      </c>
    </row>
    <row r="1253" spans="1:12" x14ac:dyDescent="0.35">
      <c r="A1253" s="1">
        <v>45809</v>
      </c>
      <c r="B1253" t="s">
        <v>25</v>
      </c>
      <c r="C1253" t="s">
        <v>14</v>
      </c>
      <c r="E1253">
        <v>1</v>
      </c>
      <c r="F1253">
        <v>28.571332999999999</v>
      </c>
      <c r="G1253">
        <v>306.39999999999998</v>
      </c>
      <c r="H1253">
        <v>299.90140000000002</v>
      </c>
      <c r="I1253">
        <v>-0.6</v>
      </c>
      <c r="J1253">
        <v>274</v>
      </c>
      <c r="L1253">
        <v>0</v>
      </c>
    </row>
    <row r="1254" spans="1:12" x14ac:dyDescent="0.35">
      <c r="A1254" s="1">
        <v>45809</v>
      </c>
      <c r="B1254" t="s">
        <v>25</v>
      </c>
      <c r="C1254" t="s">
        <v>16</v>
      </c>
      <c r="E1254">
        <v>1</v>
      </c>
      <c r="F1254">
        <v>31.063665</v>
      </c>
      <c r="G1254">
        <v>80.5</v>
      </c>
      <c r="H1254">
        <v>299.90140000000002</v>
      </c>
      <c r="I1254">
        <v>-0.6</v>
      </c>
      <c r="J1254">
        <v>274</v>
      </c>
      <c r="L1254">
        <v>0</v>
      </c>
    </row>
    <row r="1255" spans="1:12" x14ac:dyDescent="0.35">
      <c r="A1255" s="1">
        <v>45809</v>
      </c>
      <c r="B1255" t="s">
        <v>25</v>
      </c>
      <c r="C1255" t="s">
        <v>24</v>
      </c>
      <c r="E1255">
        <v>1</v>
      </c>
      <c r="F1255">
        <v>34.036000000000001</v>
      </c>
      <c r="G1255">
        <v>35.5</v>
      </c>
      <c r="H1255">
        <v>299.90140000000002</v>
      </c>
      <c r="I1255">
        <v>-0.6</v>
      </c>
      <c r="J1255">
        <v>274</v>
      </c>
      <c r="L1255">
        <v>0</v>
      </c>
    </row>
    <row r="1256" spans="1:12" x14ac:dyDescent="0.35">
      <c r="A1256" s="1">
        <v>45839</v>
      </c>
      <c r="B1256" t="s">
        <v>10</v>
      </c>
      <c r="C1256" t="s">
        <v>11</v>
      </c>
      <c r="E1256">
        <v>1</v>
      </c>
      <c r="F1256">
        <v>27.553324</v>
      </c>
      <c r="G1256">
        <v>178.5</v>
      </c>
      <c r="H1256">
        <v>301.12169999999998</v>
      </c>
      <c r="I1256">
        <v>-0.3</v>
      </c>
      <c r="J1256">
        <v>289</v>
      </c>
      <c r="L1256">
        <v>0</v>
      </c>
    </row>
    <row r="1257" spans="1:12" x14ac:dyDescent="0.35">
      <c r="A1257" s="1">
        <v>45839</v>
      </c>
      <c r="B1257" t="s">
        <v>10</v>
      </c>
      <c r="C1257" t="s">
        <v>12</v>
      </c>
      <c r="E1257">
        <v>1</v>
      </c>
      <c r="F1257">
        <v>28.143421</v>
      </c>
      <c r="G1257">
        <v>176.6</v>
      </c>
      <c r="H1257">
        <v>301.12169999999998</v>
      </c>
      <c r="I1257">
        <v>-0.3</v>
      </c>
      <c r="J1257">
        <v>289</v>
      </c>
      <c r="L1257">
        <v>0</v>
      </c>
    </row>
    <row r="1258" spans="1:12" x14ac:dyDescent="0.35">
      <c r="A1258" s="1">
        <v>45839</v>
      </c>
      <c r="B1258" t="s">
        <v>10</v>
      </c>
      <c r="C1258" t="s">
        <v>13</v>
      </c>
      <c r="E1258">
        <v>1</v>
      </c>
      <c r="F1258">
        <v>17.770273</v>
      </c>
      <c r="G1258">
        <v>450.40001999999998</v>
      </c>
      <c r="H1258">
        <v>301.12169999999998</v>
      </c>
      <c r="I1258">
        <v>-0.3</v>
      </c>
      <c r="J1258">
        <v>289</v>
      </c>
      <c r="L1258">
        <v>0</v>
      </c>
    </row>
    <row r="1259" spans="1:12" x14ac:dyDescent="0.35">
      <c r="A1259" s="1">
        <v>45839</v>
      </c>
      <c r="B1259" t="s">
        <v>10</v>
      </c>
      <c r="C1259" t="s">
        <v>14</v>
      </c>
      <c r="E1259">
        <v>1</v>
      </c>
      <c r="F1259">
        <v>28.675256999999998</v>
      </c>
      <c r="G1259">
        <v>262.89999999999998</v>
      </c>
      <c r="H1259">
        <v>301.12169999999998</v>
      </c>
      <c r="I1259">
        <v>-0.3</v>
      </c>
      <c r="J1259">
        <v>289</v>
      </c>
      <c r="L1259">
        <v>0</v>
      </c>
    </row>
    <row r="1260" spans="1:12" x14ac:dyDescent="0.35">
      <c r="A1260" s="1">
        <v>45839</v>
      </c>
      <c r="B1260" t="s">
        <v>10</v>
      </c>
      <c r="C1260" t="s">
        <v>15</v>
      </c>
      <c r="E1260">
        <v>1</v>
      </c>
      <c r="F1260">
        <v>29.416550000000001</v>
      </c>
      <c r="G1260">
        <v>484.5</v>
      </c>
      <c r="H1260">
        <v>301.12169999999998</v>
      </c>
      <c r="I1260">
        <v>-0.3</v>
      </c>
      <c r="J1260">
        <v>289</v>
      </c>
      <c r="L1260">
        <v>0</v>
      </c>
    </row>
    <row r="1261" spans="1:12" x14ac:dyDescent="0.35">
      <c r="A1261" s="1">
        <v>45839</v>
      </c>
      <c r="B1261" t="s">
        <v>10</v>
      </c>
      <c r="C1261" t="s">
        <v>16</v>
      </c>
      <c r="E1261">
        <v>1</v>
      </c>
      <c r="F1261">
        <v>30.816676999999999</v>
      </c>
      <c r="G1261">
        <v>86.399994000000007</v>
      </c>
      <c r="H1261">
        <v>301.12169999999998</v>
      </c>
      <c r="I1261">
        <v>-0.3</v>
      </c>
      <c r="J1261">
        <v>289</v>
      </c>
      <c r="L1261">
        <v>0</v>
      </c>
    </row>
    <row r="1262" spans="1:12" x14ac:dyDescent="0.35">
      <c r="A1262" s="1">
        <v>45839</v>
      </c>
      <c r="B1262" t="s">
        <v>10</v>
      </c>
      <c r="C1262" t="s">
        <v>17</v>
      </c>
      <c r="E1262">
        <v>1</v>
      </c>
      <c r="F1262">
        <v>29.773743</v>
      </c>
      <c r="G1262">
        <v>172.5</v>
      </c>
      <c r="H1262">
        <v>301.12169999999998</v>
      </c>
      <c r="I1262">
        <v>-0.3</v>
      </c>
      <c r="J1262">
        <v>289</v>
      </c>
      <c r="L1262">
        <v>0</v>
      </c>
    </row>
    <row r="1263" spans="1:12" x14ac:dyDescent="0.35">
      <c r="A1263" s="1">
        <v>45839</v>
      </c>
      <c r="B1263" t="s">
        <v>10</v>
      </c>
      <c r="C1263" t="s">
        <v>18</v>
      </c>
      <c r="E1263">
        <v>1</v>
      </c>
      <c r="F1263">
        <v>28.912710000000001</v>
      </c>
      <c r="G1263">
        <v>266.90001999999998</v>
      </c>
      <c r="H1263">
        <v>301.12169999999998</v>
      </c>
      <c r="I1263">
        <v>-0.3</v>
      </c>
      <c r="J1263">
        <v>289</v>
      </c>
      <c r="L1263">
        <v>0</v>
      </c>
    </row>
    <row r="1264" spans="1:12" x14ac:dyDescent="0.35">
      <c r="A1264" s="1">
        <v>45839</v>
      </c>
      <c r="B1264" t="s">
        <v>10</v>
      </c>
      <c r="C1264" t="s">
        <v>19</v>
      </c>
      <c r="E1264">
        <v>1</v>
      </c>
      <c r="F1264">
        <v>29.336613</v>
      </c>
      <c r="G1264">
        <v>238.1</v>
      </c>
      <c r="H1264">
        <v>301.12169999999998</v>
      </c>
      <c r="I1264">
        <v>-0.3</v>
      </c>
      <c r="J1264">
        <v>289</v>
      </c>
      <c r="L1264">
        <v>0</v>
      </c>
    </row>
    <row r="1265" spans="1:12" x14ac:dyDescent="0.35">
      <c r="A1265" s="1">
        <v>45839</v>
      </c>
      <c r="B1265" t="s">
        <v>10</v>
      </c>
      <c r="C1265" t="s">
        <v>20</v>
      </c>
      <c r="E1265">
        <v>1</v>
      </c>
      <c r="F1265">
        <v>28.681871000000001</v>
      </c>
      <c r="G1265">
        <v>252</v>
      </c>
      <c r="H1265">
        <v>301.12169999999998</v>
      </c>
      <c r="I1265">
        <v>-0.3</v>
      </c>
      <c r="J1265">
        <v>289</v>
      </c>
      <c r="L1265">
        <v>0</v>
      </c>
    </row>
    <row r="1266" spans="1:12" x14ac:dyDescent="0.35">
      <c r="A1266" s="1">
        <v>45839</v>
      </c>
      <c r="B1266" t="s">
        <v>10</v>
      </c>
      <c r="C1266" t="s">
        <v>21</v>
      </c>
      <c r="E1266">
        <v>1</v>
      </c>
      <c r="F1266">
        <v>29.042902000000002</v>
      </c>
      <c r="G1266">
        <v>298</v>
      </c>
      <c r="H1266">
        <v>301.12169999999998</v>
      </c>
      <c r="I1266">
        <v>-0.3</v>
      </c>
      <c r="J1266">
        <v>289</v>
      </c>
      <c r="L1266">
        <v>0</v>
      </c>
    </row>
    <row r="1267" spans="1:12" x14ac:dyDescent="0.35">
      <c r="A1267" s="1">
        <v>45839</v>
      </c>
      <c r="B1267" t="s">
        <v>10</v>
      </c>
      <c r="C1267" t="s">
        <v>22</v>
      </c>
      <c r="E1267">
        <v>1</v>
      </c>
      <c r="F1267">
        <v>28.204547999999999</v>
      </c>
      <c r="G1267">
        <v>94.399994000000007</v>
      </c>
      <c r="H1267">
        <v>301.12169999999998</v>
      </c>
      <c r="I1267">
        <v>-0.3</v>
      </c>
      <c r="J1267">
        <v>289</v>
      </c>
      <c r="L1267">
        <v>0</v>
      </c>
    </row>
    <row r="1268" spans="1:12" x14ac:dyDescent="0.35">
      <c r="A1268" s="1">
        <v>45839</v>
      </c>
      <c r="B1268" t="s">
        <v>10</v>
      </c>
      <c r="C1268" t="s">
        <v>23</v>
      </c>
      <c r="E1268">
        <v>1</v>
      </c>
      <c r="F1268">
        <v>33.327224999999999</v>
      </c>
      <c r="G1268">
        <v>59.4</v>
      </c>
      <c r="H1268">
        <v>301.12169999999998</v>
      </c>
      <c r="I1268">
        <v>-0.3</v>
      </c>
      <c r="J1268">
        <v>289</v>
      </c>
      <c r="L1268">
        <v>0</v>
      </c>
    </row>
    <row r="1269" spans="1:12" x14ac:dyDescent="0.35">
      <c r="A1269" s="1">
        <v>45839</v>
      </c>
      <c r="B1269" t="s">
        <v>10</v>
      </c>
      <c r="C1269" t="s">
        <v>24</v>
      </c>
      <c r="E1269">
        <v>1</v>
      </c>
      <c r="F1269">
        <v>35.081806</v>
      </c>
      <c r="G1269">
        <v>70.099999999999994</v>
      </c>
      <c r="H1269">
        <v>301.12169999999998</v>
      </c>
      <c r="I1269">
        <v>-0.3</v>
      </c>
      <c r="J1269">
        <v>289</v>
      </c>
      <c r="L1269">
        <v>0</v>
      </c>
    </row>
    <row r="1270" spans="1:12" x14ac:dyDescent="0.35">
      <c r="A1270" s="1">
        <v>45839</v>
      </c>
      <c r="B1270" t="s">
        <v>25</v>
      </c>
      <c r="C1270" t="s">
        <v>11</v>
      </c>
      <c r="E1270">
        <v>1</v>
      </c>
      <c r="F1270">
        <v>27.553324</v>
      </c>
      <c r="G1270">
        <v>178.5</v>
      </c>
      <c r="H1270">
        <v>301.12169999999998</v>
      </c>
      <c r="I1270">
        <v>-0.3</v>
      </c>
      <c r="J1270">
        <v>289</v>
      </c>
      <c r="L1270">
        <v>0</v>
      </c>
    </row>
    <row r="1271" spans="1:12" x14ac:dyDescent="0.35">
      <c r="A1271" s="1">
        <v>45839</v>
      </c>
      <c r="B1271" t="s">
        <v>25</v>
      </c>
      <c r="C1271" t="s">
        <v>12</v>
      </c>
      <c r="E1271">
        <v>1</v>
      </c>
      <c r="F1271">
        <v>28.143421</v>
      </c>
      <c r="G1271">
        <v>176.6</v>
      </c>
      <c r="H1271">
        <v>301.12169999999998</v>
      </c>
      <c r="I1271">
        <v>-0.3</v>
      </c>
      <c r="J1271">
        <v>289</v>
      </c>
      <c r="L1271">
        <v>0</v>
      </c>
    </row>
    <row r="1272" spans="1:12" x14ac:dyDescent="0.35">
      <c r="A1272" s="1">
        <v>45839</v>
      </c>
      <c r="B1272" t="s">
        <v>25</v>
      </c>
      <c r="C1272" t="s">
        <v>14</v>
      </c>
      <c r="E1272">
        <v>1</v>
      </c>
      <c r="F1272">
        <v>28.675256999999998</v>
      </c>
      <c r="G1272">
        <v>262.89999999999998</v>
      </c>
      <c r="H1272">
        <v>301.12169999999998</v>
      </c>
      <c r="I1272">
        <v>-0.3</v>
      </c>
      <c r="J1272">
        <v>289</v>
      </c>
      <c r="L1272">
        <v>0</v>
      </c>
    </row>
    <row r="1273" spans="1:12" x14ac:dyDescent="0.35">
      <c r="A1273" s="1">
        <v>45839</v>
      </c>
      <c r="B1273" t="s">
        <v>25</v>
      </c>
      <c r="C1273" t="s">
        <v>16</v>
      </c>
      <c r="E1273">
        <v>1</v>
      </c>
      <c r="F1273">
        <v>30.816676999999999</v>
      </c>
      <c r="G1273">
        <v>86.399994000000007</v>
      </c>
      <c r="H1273">
        <v>301.12169999999998</v>
      </c>
      <c r="I1273">
        <v>-0.3</v>
      </c>
      <c r="J1273">
        <v>289</v>
      </c>
      <c r="L1273">
        <v>0</v>
      </c>
    </row>
    <row r="1274" spans="1:12" x14ac:dyDescent="0.35">
      <c r="A1274" s="1">
        <v>45839</v>
      </c>
      <c r="B1274" t="s">
        <v>25</v>
      </c>
      <c r="C1274" t="s">
        <v>24</v>
      </c>
      <c r="E1274">
        <v>1</v>
      </c>
      <c r="F1274">
        <v>35.081806</v>
      </c>
      <c r="G1274">
        <v>70.099999999999994</v>
      </c>
      <c r="H1274">
        <v>301.12169999999998</v>
      </c>
      <c r="I1274">
        <v>-0.3</v>
      </c>
      <c r="J1274">
        <v>289</v>
      </c>
      <c r="L1274">
        <v>0</v>
      </c>
    </row>
    <row r="1275" spans="1:12" x14ac:dyDescent="0.35">
      <c r="A1275" s="1">
        <v>45870</v>
      </c>
      <c r="B1275" t="s">
        <v>10</v>
      </c>
      <c r="C1275" t="s">
        <v>11</v>
      </c>
      <c r="E1275">
        <v>1</v>
      </c>
      <c r="F1275">
        <v>27.930741999999999</v>
      </c>
      <c r="G1275">
        <v>80.5</v>
      </c>
      <c r="H1275">
        <v>301.48910000000001</v>
      </c>
      <c r="I1275">
        <v>1.2</v>
      </c>
      <c r="J1275">
        <v>289</v>
      </c>
      <c r="L1275">
        <v>0</v>
      </c>
    </row>
    <row r="1276" spans="1:12" x14ac:dyDescent="0.35">
      <c r="A1276" s="1">
        <v>45870</v>
      </c>
      <c r="B1276" t="s">
        <v>10</v>
      </c>
      <c r="C1276" t="s">
        <v>12</v>
      </c>
      <c r="E1276">
        <v>1</v>
      </c>
      <c r="F1276">
        <v>28.474066000000001</v>
      </c>
      <c r="G1276">
        <v>107.9</v>
      </c>
      <c r="H1276">
        <v>301.48910000000001</v>
      </c>
      <c r="I1276">
        <v>1.2</v>
      </c>
      <c r="J1276">
        <v>289</v>
      </c>
      <c r="L1276">
        <v>0</v>
      </c>
    </row>
    <row r="1277" spans="1:12" x14ac:dyDescent="0.35">
      <c r="A1277" s="1">
        <v>45870</v>
      </c>
      <c r="B1277" t="s">
        <v>10</v>
      </c>
      <c r="C1277" t="s">
        <v>13</v>
      </c>
      <c r="E1277">
        <v>1</v>
      </c>
      <c r="F1277">
        <v>18.313821999999998</v>
      </c>
      <c r="G1277">
        <v>199.1</v>
      </c>
      <c r="H1277">
        <v>301.48910000000001</v>
      </c>
      <c r="I1277">
        <v>1.2</v>
      </c>
      <c r="J1277">
        <v>289</v>
      </c>
      <c r="L1277">
        <v>0</v>
      </c>
    </row>
    <row r="1278" spans="1:12" x14ac:dyDescent="0.35">
      <c r="A1278" s="1">
        <v>45870</v>
      </c>
      <c r="B1278" t="s">
        <v>10</v>
      </c>
      <c r="C1278" t="s">
        <v>14</v>
      </c>
      <c r="E1278">
        <v>1</v>
      </c>
      <c r="F1278">
        <v>28.833323</v>
      </c>
      <c r="G1278">
        <v>174.29999000000001</v>
      </c>
      <c r="H1278">
        <v>301.48910000000001</v>
      </c>
      <c r="I1278">
        <v>1.2</v>
      </c>
      <c r="J1278">
        <v>289</v>
      </c>
      <c r="L1278">
        <v>0</v>
      </c>
    </row>
    <row r="1279" spans="1:12" x14ac:dyDescent="0.35">
      <c r="A1279" s="1">
        <v>45870</v>
      </c>
      <c r="B1279" t="s">
        <v>10</v>
      </c>
      <c r="C1279" t="s">
        <v>15</v>
      </c>
      <c r="E1279">
        <v>1</v>
      </c>
      <c r="F1279">
        <v>29.502030999999999</v>
      </c>
      <c r="G1279">
        <v>328</v>
      </c>
      <c r="H1279">
        <v>301.48910000000001</v>
      </c>
      <c r="I1279">
        <v>1.2</v>
      </c>
      <c r="J1279">
        <v>289</v>
      </c>
      <c r="L1279">
        <v>0</v>
      </c>
    </row>
    <row r="1280" spans="1:12" x14ac:dyDescent="0.35">
      <c r="A1280" s="1">
        <v>45870</v>
      </c>
      <c r="B1280" t="s">
        <v>10</v>
      </c>
      <c r="C1280" t="s">
        <v>16</v>
      </c>
      <c r="E1280">
        <v>1</v>
      </c>
      <c r="F1280">
        <v>31.311838000000002</v>
      </c>
      <c r="G1280">
        <v>83.2</v>
      </c>
      <c r="H1280">
        <v>301.48910000000001</v>
      </c>
      <c r="I1280">
        <v>1.2</v>
      </c>
      <c r="J1280">
        <v>289</v>
      </c>
      <c r="L1280">
        <v>0</v>
      </c>
    </row>
    <row r="1281" spans="1:12" x14ac:dyDescent="0.35">
      <c r="A1281" s="1">
        <v>45870</v>
      </c>
      <c r="B1281" t="s">
        <v>10</v>
      </c>
      <c r="C1281" t="s">
        <v>17</v>
      </c>
      <c r="E1281">
        <v>1</v>
      </c>
      <c r="F1281">
        <v>30.399547999999999</v>
      </c>
      <c r="G1281">
        <v>95.9</v>
      </c>
      <c r="H1281">
        <v>301.48910000000001</v>
      </c>
      <c r="I1281">
        <v>1.2</v>
      </c>
      <c r="J1281">
        <v>289</v>
      </c>
      <c r="L1281">
        <v>0</v>
      </c>
    </row>
    <row r="1282" spans="1:12" x14ac:dyDescent="0.35">
      <c r="A1282" s="1">
        <v>45870</v>
      </c>
      <c r="B1282" t="s">
        <v>10</v>
      </c>
      <c r="C1282" t="s">
        <v>18</v>
      </c>
      <c r="E1282">
        <v>1</v>
      </c>
      <c r="F1282">
        <v>28.675612999999998</v>
      </c>
      <c r="G1282">
        <v>174.09998999999999</v>
      </c>
      <c r="H1282">
        <v>301.48910000000001</v>
      </c>
      <c r="I1282">
        <v>1.2</v>
      </c>
      <c r="J1282">
        <v>289</v>
      </c>
      <c r="L1282">
        <v>0</v>
      </c>
    </row>
    <row r="1283" spans="1:12" x14ac:dyDescent="0.35">
      <c r="A1283" s="1">
        <v>45870</v>
      </c>
      <c r="B1283" t="s">
        <v>10</v>
      </c>
      <c r="C1283" t="s">
        <v>19</v>
      </c>
      <c r="E1283">
        <v>1</v>
      </c>
      <c r="F1283">
        <v>29.26887</v>
      </c>
      <c r="G1283">
        <v>230.8</v>
      </c>
      <c r="H1283">
        <v>301.48910000000001</v>
      </c>
      <c r="I1283">
        <v>1.2</v>
      </c>
      <c r="J1283">
        <v>289</v>
      </c>
      <c r="L1283">
        <v>0</v>
      </c>
    </row>
    <row r="1284" spans="1:12" x14ac:dyDescent="0.35">
      <c r="A1284" s="1">
        <v>45870</v>
      </c>
      <c r="B1284" t="s">
        <v>10</v>
      </c>
      <c r="C1284" t="s">
        <v>20</v>
      </c>
      <c r="E1284">
        <v>1</v>
      </c>
      <c r="F1284">
        <v>28.575420000000001</v>
      </c>
      <c r="G1284">
        <v>206.3</v>
      </c>
      <c r="H1284">
        <v>301.48910000000001</v>
      </c>
      <c r="I1284">
        <v>1.2</v>
      </c>
      <c r="J1284">
        <v>289</v>
      </c>
      <c r="L1284">
        <v>0</v>
      </c>
    </row>
    <row r="1285" spans="1:12" x14ac:dyDescent="0.35">
      <c r="A1285" s="1">
        <v>45870</v>
      </c>
      <c r="B1285" t="s">
        <v>10</v>
      </c>
      <c r="C1285" t="s">
        <v>21</v>
      </c>
      <c r="E1285">
        <v>1</v>
      </c>
      <c r="F1285">
        <v>28.938063</v>
      </c>
      <c r="G1285">
        <v>200</v>
      </c>
      <c r="H1285">
        <v>301.48910000000001</v>
      </c>
      <c r="I1285">
        <v>1.2</v>
      </c>
      <c r="J1285">
        <v>289</v>
      </c>
      <c r="L1285">
        <v>0</v>
      </c>
    </row>
    <row r="1286" spans="1:12" x14ac:dyDescent="0.35">
      <c r="A1286" s="1">
        <v>45870</v>
      </c>
      <c r="B1286" t="s">
        <v>10</v>
      </c>
      <c r="C1286" t="s">
        <v>22</v>
      </c>
      <c r="E1286">
        <v>1</v>
      </c>
      <c r="F1286">
        <v>27.962612</v>
      </c>
      <c r="G1286">
        <v>77.399994000000007</v>
      </c>
      <c r="H1286">
        <v>301.48910000000001</v>
      </c>
      <c r="I1286">
        <v>1.2</v>
      </c>
      <c r="J1286">
        <v>289</v>
      </c>
      <c r="L1286">
        <v>0</v>
      </c>
    </row>
    <row r="1287" spans="1:12" x14ac:dyDescent="0.35">
      <c r="A1287" s="1">
        <v>45870</v>
      </c>
      <c r="B1287" t="s">
        <v>10</v>
      </c>
      <c r="C1287" t="s">
        <v>23</v>
      </c>
      <c r="E1287">
        <v>1</v>
      </c>
      <c r="F1287">
        <v>32.433678</v>
      </c>
      <c r="G1287">
        <v>23.4</v>
      </c>
      <c r="H1287">
        <v>301.48910000000001</v>
      </c>
      <c r="I1287">
        <v>1.2</v>
      </c>
      <c r="J1287">
        <v>289</v>
      </c>
      <c r="L1287">
        <v>0</v>
      </c>
    </row>
    <row r="1288" spans="1:12" x14ac:dyDescent="0.35">
      <c r="A1288" s="1">
        <v>45870</v>
      </c>
      <c r="B1288" t="s">
        <v>10</v>
      </c>
      <c r="C1288" t="s">
        <v>24</v>
      </c>
      <c r="E1288">
        <v>1</v>
      </c>
      <c r="F1288">
        <v>35.326970000000003</v>
      </c>
      <c r="G1288">
        <v>60.199997000000003</v>
      </c>
      <c r="H1288">
        <v>301.48910000000001</v>
      </c>
      <c r="I1288">
        <v>1.2</v>
      </c>
      <c r="J1288">
        <v>289</v>
      </c>
      <c r="L1288">
        <v>0</v>
      </c>
    </row>
    <row r="1289" spans="1:12" x14ac:dyDescent="0.35">
      <c r="A1289" s="1">
        <v>45870</v>
      </c>
      <c r="B1289" t="s">
        <v>25</v>
      </c>
      <c r="C1289" t="s">
        <v>11</v>
      </c>
      <c r="E1289">
        <v>1</v>
      </c>
      <c r="F1289">
        <v>27.930741999999999</v>
      </c>
      <c r="G1289">
        <v>80.5</v>
      </c>
      <c r="H1289">
        <v>301.48910000000001</v>
      </c>
      <c r="I1289">
        <v>1.2</v>
      </c>
      <c r="J1289">
        <v>289</v>
      </c>
      <c r="L1289">
        <v>0</v>
      </c>
    </row>
    <row r="1290" spans="1:12" x14ac:dyDescent="0.35">
      <c r="A1290" s="1">
        <v>45870</v>
      </c>
      <c r="B1290" t="s">
        <v>25</v>
      </c>
      <c r="C1290" t="s">
        <v>12</v>
      </c>
      <c r="E1290">
        <v>1</v>
      </c>
      <c r="F1290">
        <v>28.474066000000001</v>
      </c>
      <c r="G1290">
        <v>107.9</v>
      </c>
      <c r="H1290">
        <v>301.48910000000001</v>
      </c>
      <c r="I1290">
        <v>1.2</v>
      </c>
      <c r="J1290">
        <v>289</v>
      </c>
      <c r="L1290">
        <v>0</v>
      </c>
    </row>
    <row r="1291" spans="1:12" x14ac:dyDescent="0.35">
      <c r="A1291" s="1">
        <v>45870</v>
      </c>
      <c r="B1291" t="s">
        <v>25</v>
      </c>
      <c r="C1291" t="s">
        <v>14</v>
      </c>
      <c r="E1291">
        <v>1</v>
      </c>
      <c r="F1291">
        <v>28.833323</v>
      </c>
      <c r="G1291">
        <v>174.29999000000001</v>
      </c>
      <c r="H1291">
        <v>301.48910000000001</v>
      </c>
      <c r="I1291">
        <v>1.2</v>
      </c>
      <c r="J1291">
        <v>289</v>
      </c>
      <c r="L1291">
        <v>0</v>
      </c>
    </row>
    <row r="1292" spans="1:12" x14ac:dyDescent="0.35">
      <c r="A1292" s="1">
        <v>45870</v>
      </c>
      <c r="B1292" t="s">
        <v>25</v>
      </c>
      <c r="C1292" t="s">
        <v>16</v>
      </c>
      <c r="E1292">
        <v>1</v>
      </c>
      <c r="F1292">
        <v>31.311838000000002</v>
      </c>
      <c r="G1292">
        <v>83.2</v>
      </c>
      <c r="H1292">
        <v>301.48910000000001</v>
      </c>
      <c r="I1292">
        <v>1.2</v>
      </c>
      <c r="J1292">
        <v>289</v>
      </c>
      <c r="L1292">
        <v>0</v>
      </c>
    </row>
    <row r="1293" spans="1:12" x14ac:dyDescent="0.35">
      <c r="A1293" s="1">
        <v>45870</v>
      </c>
      <c r="B1293" t="s">
        <v>25</v>
      </c>
      <c r="C1293" t="s">
        <v>24</v>
      </c>
      <c r="E1293">
        <v>1</v>
      </c>
      <c r="F1293">
        <v>35.326970000000003</v>
      </c>
      <c r="G1293">
        <v>60.199997000000003</v>
      </c>
      <c r="H1293">
        <v>301.48910000000001</v>
      </c>
      <c r="I1293">
        <v>1.2</v>
      </c>
      <c r="J1293">
        <v>289</v>
      </c>
      <c r="L1293">
        <v>0</v>
      </c>
    </row>
    <row r="1294" spans="1:12" x14ac:dyDescent="0.35">
      <c r="A1294" s="1">
        <v>45901</v>
      </c>
      <c r="B1294" t="s">
        <v>10</v>
      </c>
      <c r="C1294" t="s">
        <v>11</v>
      </c>
      <c r="E1294">
        <v>0</v>
      </c>
      <c r="F1294">
        <v>28.518001999999999</v>
      </c>
      <c r="G1294">
        <v>112.1</v>
      </c>
      <c r="H1294">
        <v>302.19549999999998</v>
      </c>
      <c r="I1294">
        <v>1.5</v>
      </c>
      <c r="J1294">
        <v>283</v>
      </c>
      <c r="L1294">
        <v>0</v>
      </c>
    </row>
    <row r="1295" spans="1:12" x14ac:dyDescent="0.35">
      <c r="A1295" s="1">
        <v>45901</v>
      </c>
      <c r="B1295" t="s">
        <v>10</v>
      </c>
      <c r="C1295" t="s">
        <v>12</v>
      </c>
      <c r="E1295">
        <v>0</v>
      </c>
      <c r="F1295">
        <v>29.077667000000002</v>
      </c>
      <c r="G1295">
        <v>157.19999999999999</v>
      </c>
      <c r="H1295">
        <v>302.19549999999998</v>
      </c>
      <c r="I1295">
        <v>1.5</v>
      </c>
      <c r="J1295">
        <v>283</v>
      </c>
      <c r="L1295">
        <v>0</v>
      </c>
    </row>
    <row r="1296" spans="1:12" x14ac:dyDescent="0.35">
      <c r="A1296" s="1">
        <v>45901</v>
      </c>
      <c r="B1296" t="s">
        <v>10</v>
      </c>
      <c r="C1296" t="s">
        <v>13</v>
      </c>
      <c r="E1296">
        <v>0</v>
      </c>
      <c r="F1296">
        <v>18.680166</v>
      </c>
      <c r="G1296">
        <v>166.9</v>
      </c>
      <c r="H1296">
        <v>302.19549999999998</v>
      </c>
      <c r="I1296">
        <v>1.5</v>
      </c>
      <c r="J1296">
        <v>283</v>
      </c>
      <c r="L1296">
        <v>0</v>
      </c>
    </row>
    <row r="1297" spans="1:12" x14ac:dyDescent="0.35">
      <c r="A1297" s="1">
        <v>45901</v>
      </c>
      <c r="B1297" t="s">
        <v>10</v>
      </c>
      <c r="C1297" t="s">
        <v>14</v>
      </c>
      <c r="E1297">
        <v>0</v>
      </c>
      <c r="F1297">
        <v>28.984667000000002</v>
      </c>
      <c r="G1297">
        <v>180.3</v>
      </c>
      <c r="H1297">
        <v>302.19549999999998</v>
      </c>
      <c r="I1297">
        <v>1.5</v>
      </c>
      <c r="J1297">
        <v>283</v>
      </c>
      <c r="L1297">
        <v>0</v>
      </c>
    </row>
    <row r="1298" spans="1:12" x14ac:dyDescent="0.35">
      <c r="A1298" s="1">
        <v>45901</v>
      </c>
      <c r="B1298" t="s">
        <v>10</v>
      </c>
      <c r="C1298" t="s">
        <v>15</v>
      </c>
      <c r="E1298">
        <v>0</v>
      </c>
      <c r="F1298">
        <v>29.634668000000001</v>
      </c>
      <c r="G1298">
        <v>308.3</v>
      </c>
      <c r="H1298">
        <v>302.19549999999998</v>
      </c>
      <c r="I1298">
        <v>1.5</v>
      </c>
      <c r="J1298">
        <v>283</v>
      </c>
      <c r="L1298">
        <v>0</v>
      </c>
    </row>
    <row r="1299" spans="1:12" x14ac:dyDescent="0.35">
      <c r="A1299" s="1">
        <v>45901</v>
      </c>
      <c r="B1299" t="s">
        <v>10</v>
      </c>
      <c r="C1299" t="s">
        <v>16</v>
      </c>
      <c r="E1299">
        <v>0</v>
      </c>
      <c r="F1299">
        <v>31.183665999999999</v>
      </c>
      <c r="G1299">
        <v>144.09998999999999</v>
      </c>
      <c r="H1299">
        <v>302.19549999999998</v>
      </c>
      <c r="I1299">
        <v>1.5</v>
      </c>
      <c r="J1299">
        <v>283</v>
      </c>
      <c r="L1299">
        <v>0</v>
      </c>
    </row>
    <row r="1300" spans="1:12" x14ac:dyDescent="0.35">
      <c r="A1300" s="1">
        <v>45901</v>
      </c>
      <c r="B1300" t="s">
        <v>10</v>
      </c>
      <c r="C1300" t="s">
        <v>17</v>
      </c>
      <c r="E1300">
        <v>0</v>
      </c>
      <c r="F1300">
        <v>31.306000000000001</v>
      </c>
      <c r="G1300">
        <v>126.8</v>
      </c>
      <c r="H1300">
        <v>302.19549999999998</v>
      </c>
      <c r="I1300">
        <v>1.5</v>
      </c>
      <c r="J1300">
        <v>283</v>
      </c>
      <c r="L1300">
        <v>0</v>
      </c>
    </row>
    <row r="1301" spans="1:12" x14ac:dyDescent="0.35">
      <c r="A1301" s="1">
        <v>45901</v>
      </c>
      <c r="B1301" t="s">
        <v>10</v>
      </c>
      <c r="C1301" t="s">
        <v>18</v>
      </c>
      <c r="E1301">
        <v>0</v>
      </c>
      <c r="F1301">
        <v>28.965668000000001</v>
      </c>
      <c r="G1301">
        <v>243.90001000000001</v>
      </c>
      <c r="H1301">
        <v>302.19549999999998</v>
      </c>
      <c r="I1301">
        <v>1.5</v>
      </c>
      <c r="J1301">
        <v>283</v>
      </c>
      <c r="L1301">
        <v>0</v>
      </c>
    </row>
    <row r="1302" spans="1:12" x14ac:dyDescent="0.35">
      <c r="A1302" s="1">
        <v>45901</v>
      </c>
      <c r="B1302" t="s">
        <v>10</v>
      </c>
      <c r="C1302" t="s">
        <v>19</v>
      </c>
      <c r="E1302">
        <v>0</v>
      </c>
      <c r="F1302">
        <v>29.608333999999999</v>
      </c>
      <c r="G1302">
        <v>235</v>
      </c>
      <c r="H1302">
        <v>302.19549999999998</v>
      </c>
      <c r="I1302">
        <v>1.5</v>
      </c>
      <c r="J1302">
        <v>283</v>
      </c>
      <c r="L1302">
        <v>0</v>
      </c>
    </row>
    <row r="1303" spans="1:12" x14ac:dyDescent="0.35">
      <c r="A1303" s="1">
        <v>45901</v>
      </c>
      <c r="B1303" t="s">
        <v>10</v>
      </c>
      <c r="C1303" t="s">
        <v>20</v>
      </c>
      <c r="E1303">
        <v>0</v>
      </c>
      <c r="F1303">
        <v>28.764668</v>
      </c>
      <c r="G1303">
        <v>277.30002000000002</v>
      </c>
      <c r="H1303">
        <v>302.19549999999998</v>
      </c>
      <c r="I1303">
        <v>1.5</v>
      </c>
      <c r="J1303">
        <v>283</v>
      </c>
      <c r="L1303">
        <v>0</v>
      </c>
    </row>
    <row r="1304" spans="1:12" x14ac:dyDescent="0.35">
      <c r="A1304" s="1">
        <v>45901</v>
      </c>
      <c r="B1304" t="s">
        <v>10</v>
      </c>
      <c r="C1304" t="s">
        <v>21</v>
      </c>
      <c r="E1304">
        <v>0</v>
      </c>
      <c r="F1304">
        <v>29.431664999999999</v>
      </c>
      <c r="G1304">
        <v>230.8</v>
      </c>
      <c r="H1304">
        <v>302.19549999999998</v>
      </c>
      <c r="I1304">
        <v>1.5</v>
      </c>
      <c r="J1304">
        <v>283</v>
      </c>
      <c r="L1304">
        <v>0</v>
      </c>
    </row>
    <row r="1305" spans="1:12" x14ac:dyDescent="0.35">
      <c r="A1305" s="1">
        <v>45901</v>
      </c>
      <c r="B1305" t="s">
        <v>10</v>
      </c>
      <c r="C1305" t="s">
        <v>22</v>
      </c>
      <c r="E1305">
        <v>0</v>
      </c>
      <c r="F1305">
        <v>28.457668000000002</v>
      </c>
      <c r="G1305">
        <v>112.7</v>
      </c>
      <c r="H1305">
        <v>302.19549999999998</v>
      </c>
      <c r="I1305">
        <v>1.5</v>
      </c>
      <c r="J1305">
        <v>283</v>
      </c>
      <c r="L1305">
        <v>0</v>
      </c>
    </row>
    <row r="1306" spans="1:12" x14ac:dyDescent="0.35">
      <c r="A1306" s="1">
        <v>45901</v>
      </c>
      <c r="B1306" t="s">
        <v>10</v>
      </c>
      <c r="C1306" t="s">
        <v>23</v>
      </c>
      <c r="E1306">
        <v>0</v>
      </c>
      <c r="F1306">
        <v>32.765667000000001</v>
      </c>
      <c r="G1306">
        <v>45.7</v>
      </c>
      <c r="H1306">
        <v>302.19549999999998</v>
      </c>
      <c r="I1306">
        <v>1.5</v>
      </c>
      <c r="J1306">
        <v>283</v>
      </c>
      <c r="L1306">
        <v>0</v>
      </c>
    </row>
    <row r="1307" spans="1:12" x14ac:dyDescent="0.35">
      <c r="A1307" s="1">
        <v>45901</v>
      </c>
      <c r="B1307" t="s">
        <v>10</v>
      </c>
      <c r="C1307" t="s">
        <v>24</v>
      </c>
      <c r="E1307">
        <v>0</v>
      </c>
      <c r="F1307">
        <v>35.010998000000001</v>
      </c>
      <c r="G1307">
        <v>65.8</v>
      </c>
      <c r="H1307">
        <v>302.19549999999998</v>
      </c>
      <c r="I1307">
        <v>1.5</v>
      </c>
      <c r="J1307">
        <v>283</v>
      </c>
      <c r="L1307">
        <v>0</v>
      </c>
    </row>
    <row r="1308" spans="1:12" x14ac:dyDescent="0.35">
      <c r="A1308" s="1">
        <v>45901</v>
      </c>
      <c r="B1308" t="s">
        <v>25</v>
      </c>
      <c r="C1308" t="s">
        <v>11</v>
      </c>
      <c r="E1308">
        <v>0</v>
      </c>
      <c r="F1308">
        <v>28.518001999999999</v>
      </c>
      <c r="G1308">
        <v>112.1</v>
      </c>
      <c r="H1308">
        <v>302.19549999999998</v>
      </c>
      <c r="I1308">
        <v>1.5</v>
      </c>
      <c r="J1308">
        <v>283</v>
      </c>
      <c r="L1308">
        <v>0</v>
      </c>
    </row>
    <row r="1309" spans="1:12" x14ac:dyDescent="0.35">
      <c r="A1309" s="1">
        <v>45901</v>
      </c>
      <c r="B1309" t="s">
        <v>25</v>
      </c>
      <c r="C1309" t="s">
        <v>12</v>
      </c>
      <c r="E1309">
        <v>0</v>
      </c>
      <c r="F1309">
        <v>29.077667000000002</v>
      </c>
      <c r="G1309">
        <v>157.19999999999999</v>
      </c>
      <c r="H1309">
        <v>302.19549999999998</v>
      </c>
      <c r="I1309">
        <v>1.5</v>
      </c>
      <c r="J1309">
        <v>283</v>
      </c>
      <c r="L1309">
        <v>0</v>
      </c>
    </row>
    <row r="1310" spans="1:12" x14ac:dyDescent="0.35">
      <c r="A1310" s="1">
        <v>45901</v>
      </c>
      <c r="B1310" t="s">
        <v>25</v>
      </c>
      <c r="C1310" t="s">
        <v>14</v>
      </c>
      <c r="E1310">
        <v>0</v>
      </c>
      <c r="F1310">
        <v>28.984667000000002</v>
      </c>
      <c r="G1310">
        <v>180.3</v>
      </c>
      <c r="H1310">
        <v>302.19549999999998</v>
      </c>
      <c r="I1310">
        <v>1.5</v>
      </c>
      <c r="J1310">
        <v>283</v>
      </c>
      <c r="L1310">
        <v>0</v>
      </c>
    </row>
    <row r="1311" spans="1:12" x14ac:dyDescent="0.35">
      <c r="A1311" s="1">
        <v>45901</v>
      </c>
      <c r="B1311" t="s">
        <v>25</v>
      </c>
      <c r="C1311" t="s">
        <v>16</v>
      </c>
      <c r="E1311">
        <v>0</v>
      </c>
      <c r="F1311">
        <v>31.183665999999999</v>
      </c>
      <c r="G1311">
        <v>144.09998999999999</v>
      </c>
      <c r="H1311">
        <v>302.19549999999998</v>
      </c>
      <c r="I1311">
        <v>1.5</v>
      </c>
      <c r="J1311">
        <v>283</v>
      </c>
      <c r="L1311">
        <v>0</v>
      </c>
    </row>
    <row r="1312" spans="1:12" x14ac:dyDescent="0.35">
      <c r="A1312" s="1">
        <v>45901</v>
      </c>
      <c r="B1312" t="s">
        <v>25</v>
      </c>
      <c r="C1312" t="s">
        <v>24</v>
      </c>
      <c r="E1312">
        <v>0</v>
      </c>
      <c r="F1312">
        <v>35.010998000000001</v>
      </c>
      <c r="G1312">
        <v>65.8</v>
      </c>
      <c r="H1312">
        <v>302.19549999999998</v>
      </c>
      <c r="I1312">
        <v>1.5</v>
      </c>
      <c r="J1312">
        <v>283</v>
      </c>
      <c r="L1312">
        <v>0</v>
      </c>
    </row>
    <row r="1313" spans="1:12" x14ac:dyDescent="0.35">
      <c r="A1313" s="1">
        <v>45931</v>
      </c>
      <c r="B1313" t="s">
        <v>10</v>
      </c>
      <c r="C1313" t="s">
        <v>11</v>
      </c>
      <c r="E1313">
        <v>0</v>
      </c>
      <c r="F1313">
        <v>28.530743000000001</v>
      </c>
      <c r="G1313">
        <v>316.2</v>
      </c>
      <c r="H1313">
        <v>302.99869999999999</v>
      </c>
      <c r="I1313">
        <v>2.1</v>
      </c>
      <c r="J1313">
        <v>277</v>
      </c>
      <c r="L1313">
        <v>0</v>
      </c>
    </row>
    <row r="1314" spans="1:12" x14ac:dyDescent="0.35">
      <c r="A1314" s="1">
        <v>45931</v>
      </c>
      <c r="B1314" t="s">
        <v>10</v>
      </c>
      <c r="C1314" t="s">
        <v>12</v>
      </c>
      <c r="E1314">
        <v>0</v>
      </c>
      <c r="F1314">
        <v>29.396646</v>
      </c>
      <c r="G1314">
        <v>340.9</v>
      </c>
      <c r="H1314">
        <v>302.99869999999999</v>
      </c>
      <c r="I1314">
        <v>2.1</v>
      </c>
      <c r="J1314">
        <v>277</v>
      </c>
      <c r="L1314">
        <v>0</v>
      </c>
    </row>
    <row r="1315" spans="1:12" x14ac:dyDescent="0.35">
      <c r="A1315" s="1">
        <v>45931</v>
      </c>
      <c r="B1315" t="s">
        <v>10</v>
      </c>
      <c r="C1315" t="s">
        <v>13</v>
      </c>
      <c r="E1315">
        <v>0</v>
      </c>
      <c r="F1315">
        <v>19.554144000000001</v>
      </c>
      <c r="G1315">
        <v>269.60000000000002</v>
      </c>
      <c r="H1315">
        <v>302.99869999999999</v>
      </c>
      <c r="I1315">
        <v>2.1</v>
      </c>
      <c r="J1315">
        <v>277</v>
      </c>
      <c r="L1315">
        <v>0</v>
      </c>
    </row>
    <row r="1316" spans="1:12" x14ac:dyDescent="0.35">
      <c r="A1316" s="1">
        <v>45931</v>
      </c>
      <c r="B1316" t="s">
        <v>10</v>
      </c>
      <c r="C1316" t="s">
        <v>14</v>
      </c>
      <c r="E1316">
        <v>0</v>
      </c>
      <c r="F1316">
        <v>29.762353999999998</v>
      </c>
      <c r="G1316">
        <v>309.7</v>
      </c>
      <c r="H1316">
        <v>302.99869999999999</v>
      </c>
      <c r="I1316">
        <v>2.1</v>
      </c>
      <c r="J1316">
        <v>277</v>
      </c>
      <c r="L1316">
        <v>0</v>
      </c>
    </row>
    <row r="1317" spans="1:12" x14ac:dyDescent="0.35">
      <c r="A1317" s="1">
        <v>45931</v>
      </c>
      <c r="B1317" t="s">
        <v>10</v>
      </c>
      <c r="C1317" t="s">
        <v>15</v>
      </c>
      <c r="E1317">
        <v>0</v>
      </c>
      <c r="F1317">
        <v>30.563321999999999</v>
      </c>
      <c r="G1317">
        <v>350.7</v>
      </c>
      <c r="H1317">
        <v>302.99869999999999</v>
      </c>
      <c r="I1317">
        <v>2.1</v>
      </c>
      <c r="J1317">
        <v>277</v>
      </c>
      <c r="L1317">
        <v>0</v>
      </c>
    </row>
    <row r="1318" spans="1:12" x14ac:dyDescent="0.35">
      <c r="A1318" s="1">
        <v>45931</v>
      </c>
      <c r="B1318" t="s">
        <v>10</v>
      </c>
      <c r="C1318" t="s">
        <v>16</v>
      </c>
      <c r="E1318">
        <v>0</v>
      </c>
      <c r="F1318">
        <v>28.379580000000001</v>
      </c>
      <c r="G1318">
        <v>346</v>
      </c>
      <c r="H1318">
        <v>302.99869999999999</v>
      </c>
      <c r="I1318">
        <v>2.1</v>
      </c>
      <c r="J1318">
        <v>277</v>
      </c>
      <c r="L1318">
        <v>0</v>
      </c>
    </row>
    <row r="1319" spans="1:12" x14ac:dyDescent="0.35">
      <c r="A1319" s="1">
        <v>45931</v>
      </c>
      <c r="B1319" t="s">
        <v>10</v>
      </c>
      <c r="C1319" t="s">
        <v>17</v>
      </c>
      <c r="E1319">
        <v>0</v>
      </c>
      <c r="F1319">
        <v>31.193096000000001</v>
      </c>
      <c r="G1319">
        <v>350.2</v>
      </c>
      <c r="H1319">
        <v>302.99869999999999</v>
      </c>
      <c r="I1319">
        <v>2.1</v>
      </c>
      <c r="J1319">
        <v>277</v>
      </c>
      <c r="L1319">
        <v>0</v>
      </c>
    </row>
    <row r="1320" spans="1:12" x14ac:dyDescent="0.35">
      <c r="A1320" s="1">
        <v>45931</v>
      </c>
      <c r="B1320" t="s">
        <v>10</v>
      </c>
      <c r="C1320" t="s">
        <v>18</v>
      </c>
      <c r="E1320">
        <v>0</v>
      </c>
      <c r="F1320">
        <v>29.569161999999999</v>
      </c>
      <c r="G1320">
        <v>255.80001999999999</v>
      </c>
      <c r="H1320">
        <v>302.99869999999999</v>
      </c>
      <c r="I1320">
        <v>2.1</v>
      </c>
      <c r="J1320">
        <v>277</v>
      </c>
      <c r="L1320">
        <v>0</v>
      </c>
    </row>
    <row r="1321" spans="1:12" x14ac:dyDescent="0.35">
      <c r="A1321" s="1">
        <v>45931</v>
      </c>
      <c r="B1321" t="s">
        <v>10</v>
      </c>
      <c r="C1321" t="s">
        <v>19</v>
      </c>
      <c r="E1321">
        <v>0</v>
      </c>
      <c r="F1321">
        <v>30.067257000000001</v>
      </c>
      <c r="G1321">
        <v>322.8</v>
      </c>
      <c r="H1321">
        <v>302.99869999999999</v>
      </c>
      <c r="I1321">
        <v>2.1</v>
      </c>
      <c r="J1321">
        <v>277</v>
      </c>
      <c r="L1321">
        <v>0</v>
      </c>
    </row>
    <row r="1322" spans="1:12" x14ac:dyDescent="0.35">
      <c r="A1322" s="1">
        <v>45931</v>
      </c>
      <c r="B1322" t="s">
        <v>10</v>
      </c>
      <c r="C1322" t="s">
        <v>20</v>
      </c>
      <c r="E1322">
        <v>0</v>
      </c>
      <c r="F1322">
        <v>29.231870000000001</v>
      </c>
      <c r="G1322">
        <v>249.2</v>
      </c>
      <c r="H1322">
        <v>302.99869999999999</v>
      </c>
      <c r="I1322">
        <v>2.1</v>
      </c>
      <c r="J1322">
        <v>277</v>
      </c>
      <c r="L1322">
        <v>0</v>
      </c>
    </row>
    <row r="1323" spans="1:12" x14ac:dyDescent="0.35">
      <c r="A1323" s="1">
        <v>45931</v>
      </c>
      <c r="B1323" t="s">
        <v>10</v>
      </c>
      <c r="C1323" t="s">
        <v>21</v>
      </c>
      <c r="E1323">
        <v>0</v>
      </c>
      <c r="F1323">
        <v>29.554193000000001</v>
      </c>
      <c r="G1323">
        <v>236.8</v>
      </c>
      <c r="H1323">
        <v>302.99869999999999</v>
      </c>
      <c r="I1323">
        <v>2.1</v>
      </c>
      <c r="J1323">
        <v>277</v>
      </c>
      <c r="L1323">
        <v>0</v>
      </c>
    </row>
    <row r="1324" spans="1:12" x14ac:dyDescent="0.35">
      <c r="A1324" s="1">
        <v>45931</v>
      </c>
      <c r="B1324" t="s">
        <v>10</v>
      </c>
      <c r="C1324" t="s">
        <v>22</v>
      </c>
      <c r="E1324">
        <v>0</v>
      </c>
      <c r="F1324">
        <v>28.60455</v>
      </c>
      <c r="G1324">
        <v>219.70000999999999</v>
      </c>
      <c r="H1324">
        <v>302.99869999999999</v>
      </c>
      <c r="I1324">
        <v>2.1</v>
      </c>
      <c r="J1324">
        <v>277</v>
      </c>
      <c r="L1324">
        <v>0</v>
      </c>
    </row>
    <row r="1325" spans="1:12" x14ac:dyDescent="0.35">
      <c r="A1325" s="1">
        <v>45931</v>
      </c>
      <c r="B1325" t="s">
        <v>10</v>
      </c>
      <c r="C1325" t="s">
        <v>23</v>
      </c>
      <c r="E1325">
        <v>0</v>
      </c>
      <c r="F1325">
        <v>31.236902000000001</v>
      </c>
      <c r="G1325">
        <v>156.69999999999999</v>
      </c>
      <c r="H1325">
        <v>302.99869999999999</v>
      </c>
      <c r="I1325">
        <v>2.1</v>
      </c>
      <c r="J1325">
        <v>277</v>
      </c>
      <c r="L1325">
        <v>0</v>
      </c>
    </row>
    <row r="1326" spans="1:12" x14ac:dyDescent="0.35">
      <c r="A1326" s="1">
        <v>45931</v>
      </c>
      <c r="B1326" t="s">
        <v>10</v>
      </c>
      <c r="C1326" t="s">
        <v>24</v>
      </c>
      <c r="E1326">
        <v>0</v>
      </c>
      <c r="F1326">
        <v>32.44632</v>
      </c>
      <c r="G1326">
        <v>285.69997999999998</v>
      </c>
      <c r="H1326">
        <v>302.99869999999999</v>
      </c>
      <c r="I1326">
        <v>2.1</v>
      </c>
      <c r="J1326">
        <v>277</v>
      </c>
      <c r="L1326">
        <v>0</v>
      </c>
    </row>
    <row r="1327" spans="1:12" x14ac:dyDescent="0.35">
      <c r="A1327" s="1">
        <v>45931</v>
      </c>
      <c r="B1327" t="s">
        <v>25</v>
      </c>
      <c r="C1327" t="s">
        <v>11</v>
      </c>
      <c r="E1327">
        <v>0</v>
      </c>
      <c r="F1327">
        <v>28.530743000000001</v>
      </c>
      <c r="G1327">
        <v>316.2</v>
      </c>
      <c r="H1327">
        <v>302.99869999999999</v>
      </c>
      <c r="I1327">
        <v>2.1</v>
      </c>
      <c r="J1327">
        <v>277</v>
      </c>
      <c r="L1327">
        <v>0</v>
      </c>
    </row>
    <row r="1328" spans="1:12" x14ac:dyDescent="0.35">
      <c r="A1328" s="1">
        <v>45931</v>
      </c>
      <c r="B1328" t="s">
        <v>25</v>
      </c>
      <c r="C1328" t="s">
        <v>12</v>
      </c>
      <c r="E1328">
        <v>0</v>
      </c>
      <c r="F1328">
        <v>29.396646</v>
      </c>
      <c r="G1328">
        <v>340.9</v>
      </c>
      <c r="H1328">
        <v>302.99869999999999</v>
      </c>
      <c r="I1328">
        <v>2.1</v>
      </c>
      <c r="J1328">
        <v>277</v>
      </c>
      <c r="L1328">
        <v>0</v>
      </c>
    </row>
    <row r="1329" spans="1:12" x14ac:dyDescent="0.35">
      <c r="A1329" s="1">
        <v>45931</v>
      </c>
      <c r="B1329" t="s">
        <v>25</v>
      </c>
      <c r="C1329" t="s">
        <v>14</v>
      </c>
      <c r="E1329">
        <v>0</v>
      </c>
      <c r="F1329">
        <v>29.762353999999998</v>
      </c>
      <c r="G1329">
        <v>309.7</v>
      </c>
      <c r="H1329">
        <v>302.99869999999999</v>
      </c>
      <c r="I1329">
        <v>2.1</v>
      </c>
      <c r="J1329">
        <v>277</v>
      </c>
      <c r="L1329">
        <v>0</v>
      </c>
    </row>
    <row r="1330" spans="1:12" x14ac:dyDescent="0.35">
      <c r="A1330" s="1">
        <v>45931</v>
      </c>
      <c r="B1330" t="s">
        <v>25</v>
      </c>
      <c r="C1330" t="s">
        <v>16</v>
      </c>
      <c r="E1330">
        <v>0</v>
      </c>
      <c r="F1330">
        <v>28.379580000000001</v>
      </c>
      <c r="G1330">
        <v>346</v>
      </c>
      <c r="H1330">
        <v>302.99869999999999</v>
      </c>
      <c r="I1330">
        <v>2.1</v>
      </c>
      <c r="J1330">
        <v>277</v>
      </c>
      <c r="L1330">
        <v>0</v>
      </c>
    </row>
    <row r="1331" spans="1:12" x14ac:dyDescent="0.35">
      <c r="A1331" s="1">
        <v>45931</v>
      </c>
      <c r="B1331" t="s">
        <v>25</v>
      </c>
      <c r="C1331" t="s">
        <v>24</v>
      </c>
      <c r="E1331">
        <v>0</v>
      </c>
      <c r="F1331">
        <v>32.44632</v>
      </c>
      <c r="G1331">
        <v>285.69997999999998</v>
      </c>
      <c r="H1331">
        <v>302.99869999999999</v>
      </c>
      <c r="I1331">
        <v>2.1</v>
      </c>
      <c r="J1331">
        <v>277</v>
      </c>
      <c r="L1331">
        <v>0</v>
      </c>
    </row>
    <row r="1332" spans="1:12" x14ac:dyDescent="0.35">
      <c r="A1332" s="1">
        <v>45962</v>
      </c>
      <c r="B1332" t="s">
        <v>10</v>
      </c>
      <c r="C1332" t="s">
        <v>11</v>
      </c>
      <c r="E1332">
        <v>1</v>
      </c>
      <c r="F1332">
        <v>28.413</v>
      </c>
      <c r="G1332">
        <v>218.29999000000001</v>
      </c>
      <c r="H1332" t="s">
        <v>26</v>
      </c>
      <c r="I1332" t="s">
        <v>26</v>
      </c>
      <c r="J1332">
        <v>277</v>
      </c>
      <c r="L1332">
        <v>0</v>
      </c>
    </row>
    <row r="1333" spans="1:12" x14ac:dyDescent="0.35">
      <c r="A1333" s="1">
        <v>45962</v>
      </c>
      <c r="B1333" t="s">
        <v>10</v>
      </c>
      <c r="C1333" t="s">
        <v>12</v>
      </c>
      <c r="E1333">
        <v>1</v>
      </c>
      <c r="F1333">
        <v>28.598607999999999</v>
      </c>
      <c r="G1333">
        <v>330.69997999999998</v>
      </c>
      <c r="H1333" t="s">
        <v>26</v>
      </c>
      <c r="I1333" t="s">
        <v>26</v>
      </c>
      <c r="J1333">
        <v>277</v>
      </c>
      <c r="L1333">
        <v>0</v>
      </c>
    </row>
    <row r="1334" spans="1:12" x14ac:dyDescent="0.35">
      <c r="A1334" s="1">
        <v>45962</v>
      </c>
      <c r="B1334" t="s">
        <v>10</v>
      </c>
      <c r="C1334" t="s">
        <v>13</v>
      </c>
      <c r="E1334">
        <v>1</v>
      </c>
      <c r="F1334">
        <v>19.936543</v>
      </c>
      <c r="G1334">
        <v>253.1</v>
      </c>
      <c r="H1334" t="s">
        <v>26</v>
      </c>
      <c r="I1334" t="s">
        <v>26</v>
      </c>
      <c r="J1334">
        <v>277</v>
      </c>
      <c r="L1334">
        <v>0</v>
      </c>
    </row>
    <row r="1335" spans="1:12" x14ac:dyDescent="0.35">
      <c r="A1335" s="1">
        <v>45962</v>
      </c>
      <c r="B1335" t="s">
        <v>10</v>
      </c>
      <c r="C1335" t="s">
        <v>14</v>
      </c>
      <c r="E1335">
        <v>1</v>
      </c>
      <c r="F1335">
        <v>29.440825</v>
      </c>
      <c r="G1335">
        <v>288.60000000000002</v>
      </c>
      <c r="H1335" t="s">
        <v>26</v>
      </c>
      <c r="I1335" t="s">
        <v>26</v>
      </c>
      <c r="J1335">
        <v>277</v>
      </c>
      <c r="L1335">
        <v>0</v>
      </c>
    </row>
    <row r="1336" spans="1:12" x14ac:dyDescent="0.35">
      <c r="A1336" s="1">
        <v>45962</v>
      </c>
      <c r="B1336" t="s">
        <v>10</v>
      </c>
      <c r="C1336" t="s">
        <v>15</v>
      </c>
      <c r="E1336">
        <v>1</v>
      </c>
      <c r="F1336">
        <v>30.390391999999999</v>
      </c>
      <c r="G1336">
        <v>282.2</v>
      </c>
      <c r="H1336" t="s">
        <v>26</v>
      </c>
      <c r="I1336" t="s">
        <v>26</v>
      </c>
      <c r="J1336">
        <v>277</v>
      </c>
      <c r="L1336">
        <v>0</v>
      </c>
    </row>
    <row r="1337" spans="1:12" x14ac:dyDescent="0.35">
      <c r="A1337" s="1">
        <v>45962</v>
      </c>
      <c r="B1337" t="s">
        <v>10</v>
      </c>
      <c r="C1337" t="s">
        <v>16</v>
      </c>
      <c r="E1337">
        <v>1</v>
      </c>
      <c r="F1337">
        <v>26.748304000000001</v>
      </c>
      <c r="G1337">
        <v>272.8</v>
      </c>
      <c r="H1337" t="s">
        <v>26</v>
      </c>
      <c r="I1337" t="s">
        <v>26</v>
      </c>
      <c r="J1337">
        <v>277</v>
      </c>
      <c r="L1337">
        <v>0</v>
      </c>
    </row>
    <row r="1338" spans="1:12" x14ac:dyDescent="0.35">
      <c r="A1338" s="1">
        <v>45962</v>
      </c>
      <c r="B1338" t="s">
        <v>10</v>
      </c>
      <c r="C1338" t="s">
        <v>17</v>
      </c>
      <c r="E1338">
        <v>1</v>
      </c>
      <c r="F1338">
        <v>29.647304999999999</v>
      </c>
      <c r="G1338">
        <v>257.60000000000002</v>
      </c>
      <c r="H1338" t="s">
        <v>26</v>
      </c>
      <c r="I1338" t="s">
        <v>26</v>
      </c>
      <c r="J1338">
        <v>277</v>
      </c>
      <c r="L1338">
        <v>0</v>
      </c>
    </row>
    <row r="1339" spans="1:12" x14ac:dyDescent="0.35">
      <c r="A1339" s="1">
        <v>45962</v>
      </c>
      <c r="B1339" t="s">
        <v>10</v>
      </c>
      <c r="C1339" t="s">
        <v>18</v>
      </c>
      <c r="E1339">
        <v>1</v>
      </c>
      <c r="F1339">
        <v>29.784870000000002</v>
      </c>
      <c r="G1339">
        <v>201.1</v>
      </c>
      <c r="H1339" t="s">
        <v>26</v>
      </c>
      <c r="I1339" t="s">
        <v>26</v>
      </c>
      <c r="J1339">
        <v>277</v>
      </c>
      <c r="L1339">
        <v>0</v>
      </c>
    </row>
    <row r="1340" spans="1:12" x14ac:dyDescent="0.35">
      <c r="A1340" s="1">
        <v>45962</v>
      </c>
      <c r="B1340" t="s">
        <v>10</v>
      </c>
      <c r="C1340" t="s">
        <v>19</v>
      </c>
      <c r="E1340">
        <v>1</v>
      </c>
      <c r="F1340">
        <v>30.202390000000001</v>
      </c>
      <c r="G1340">
        <v>236.70000999999999</v>
      </c>
      <c r="H1340" t="s">
        <v>26</v>
      </c>
      <c r="I1340" t="s">
        <v>26</v>
      </c>
      <c r="J1340">
        <v>277</v>
      </c>
      <c r="L1340">
        <v>0</v>
      </c>
    </row>
    <row r="1341" spans="1:12" x14ac:dyDescent="0.35">
      <c r="A1341" s="1">
        <v>45962</v>
      </c>
      <c r="B1341" t="s">
        <v>10</v>
      </c>
      <c r="C1341" t="s">
        <v>20</v>
      </c>
      <c r="E1341">
        <v>1</v>
      </c>
      <c r="F1341">
        <v>29.552347000000001</v>
      </c>
      <c r="G1341">
        <v>183.9</v>
      </c>
      <c r="H1341" t="s">
        <v>26</v>
      </c>
      <c r="I1341" t="s">
        <v>26</v>
      </c>
      <c r="J1341">
        <v>277</v>
      </c>
      <c r="L1341">
        <v>0</v>
      </c>
    </row>
    <row r="1342" spans="1:12" x14ac:dyDescent="0.35">
      <c r="A1342" s="1">
        <v>45962</v>
      </c>
      <c r="B1342" t="s">
        <v>10</v>
      </c>
      <c r="C1342" t="s">
        <v>21</v>
      </c>
      <c r="E1342">
        <v>1</v>
      </c>
      <c r="F1342">
        <v>30.116956999999999</v>
      </c>
      <c r="G1342">
        <v>219.59998999999999</v>
      </c>
      <c r="H1342" t="s">
        <v>26</v>
      </c>
      <c r="I1342" t="s">
        <v>26</v>
      </c>
      <c r="J1342">
        <v>277</v>
      </c>
      <c r="L1342">
        <v>0</v>
      </c>
    </row>
    <row r="1343" spans="1:12" x14ac:dyDescent="0.35">
      <c r="A1343" s="1">
        <v>45962</v>
      </c>
      <c r="B1343" t="s">
        <v>10</v>
      </c>
      <c r="C1343" t="s">
        <v>22</v>
      </c>
      <c r="E1343">
        <v>1</v>
      </c>
      <c r="F1343">
        <v>28.658826999999999</v>
      </c>
      <c r="G1343">
        <v>167.90001000000001</v>
      </c>
      <c r="H1343" t="s">
        <v>26</v>
      </c>
      <c r="I1343" t="s">
        <v>26</v>
      </c>
      <c r="J1343">
        <v>277</v>
      </c>
      <c r="L1343">
        <v>0</v>
      </c>
    </row>
    <row r="1344" spans="1:12" x14ac:dyDescent="0.35">
      <c r="A1344" s="1">
        <v>45962</v>
      </c>
      <c r="B1344" t="s">
        <v>10</v>
      </c>
      <c r="C1344" t="s">
        <v>23</v>
      </c>
      <c r="E1344">
        <v>1</v>
      </c>
      <c r="F1344">
        <v>30.671827</v>
      </c>
      <c r="G1344">
        <v>262.2</v>
      </c>
      <c r="H1344" t="s">
        <v>26</v>
      </c>
      <c r="I1344" t="s">
        <v>26</v>
      </c>
      <c r="J1344">
        <v>277</v>
      </c>
      <c r="L1344">
        <v>0</v>
      </c>
    </row>
    <row r="1345" spans="1:12" x14ac:dyDescent="0.35">
      <c r="A1345" s="1">
        <v>45962</v>
      </c>
      <c r="B1345" t="s">
        <v>10</v>
      </c>
      <c r="C1345" t="s">
        <v>24</v>
      </c>
      <c r="E1345">
        <v>1</v>
      </c>
      <c r="F1345">
        <v>30.825562999999999</v>
      </c>
      <c r="G1345">
        <v>398.6</v>
      </c>
      <c r="H1345" t="s">
        <v>26</v>
      </c>
      <c r="I1345" t="s">
        <v>26</v>
      </c>
      <c r="J1345">
        <v>277</v>
      </c>
      <c r="L1345">
        <v>0</v>
      </c>
    </row>
    <row r="1346" spans="1:12" x14ac:dyDescent="0.35">
      <c r="A1346" s="1">
        <v>45962</v>
      </c>
      <c r="B1346" t="s">
        <v>25</v>
      </c>
      <c r="C1346" t="s">
        <v>11</v>
      </c>
      <c r="E1346">
        <v>1</v>
      </c>
      <c r="F1346">
        <v>28.413</v>
      </c>
      <c r="G1346">
        <v>218.29999000000001</v>
      </c>
      <c r="H1346" t="s">
        <v>26</v>
      </c>
      <c r="I1346" t="s">
        <v>26</v>
      </c>
      <c r="J1346">
        <v>277</v>
      </c>
      <c r="L1346">
        <v>0</v>
      </c>
    </row>
    <row r="1347" spans="1:12" x14ac:dyDescent="0.35">
      <c r="A1347" s="1">
        <v>45962</v>
      </c>
      <c r="B1347" t="s">
        <v>25</v>
      </c>
      <c r="C1347" t="s">
        <v>12</v>
      </c>
      <c r="E1347">
        <v>1</v>
      </c>
      <c r="F1347">
        <v>28.598607999999999</v>
      </c>
      <c r="G1347">
        <v>330.69997999999998</v>
      </c>
      <c r="H1347" t="s">
        <v>26</v>
      </c>
      <c r="I1347" t="s">
        <v>26</v>
      </c>
      <c r="J1347">
        <v>277</v>
      </c>
      <c r="L1347">
        <v>0</v>
      </c>
    </row>
    <row r="1348" spans="1:12" x14ac:dyDescent="0.35">
      <c r="A1348" s="1">
        <v>45962</v>
      </c>
      <c r="B1348" t="s">
        <v>25</v>
      </c>
      <c r="C1348" t="s">
        <v>14</v>
      </c>
      <c r="E1348">
        <v>1</v>
      </c>
      <c r="F1348">
        <v>29.440825</v>
      </c>
      <c r="G1348">
        <v>288.60000000000002</v>
      </c>
      <c r="H1348" t="s">
        <v>26</v>
      </c>
      <c r="I1348" t="s">
        <v>26</v>
      </c>
      <c r="J1348">
        <v>277</v>
      </c>
      <c r="L1348">
        <v>0</v>
      </c>
    </row>
    <row r="1349" spans="1:12" x14ac:dyDescent="0.35">
      <c r="A1349" s="1">
        <v>45962</v>
      </c>
      <c r="B1349" t="s">
        <v>25</v>
      </c>
      <c r="C1349" t="s">
        <v>16</v>
      </c>
      <c r="E1349">
        <v>1</v>
      </c>
      <c r="F1349">
        <v>26.748304000000001</v>
      </c>
      <c r="G1349">
        <v>272.8</v>
      </c>
      <c r="H1349" t="s">
        <v>26</v>
      </c>
      <c r="I1349" t="s">
        <v>26</v>
      </c>
      <c r="J1349">
        <v>277</v>
      </c>
      <c r="L1349">
        <v>0</v>
      </c>
    </row>
    <row r="1350" spans="1:12" x14ac:dyDescent="0.35">
      <c r="A1350" s="1">
        <v>45962</v>
      </c>
      <c r="B1350" t="s">
        <v>25</v>
      </c>
      <c r="C1350" t="s">
        <v>24</v>
      </c>
      <c r="E1350">
        <v>1</v>
      </c>
      <c r="F1350">
        <v>30.825562999999999</v>
      </c>
      <c r="G1350">
        <v>398.6</v>
      </c>
      <c r="H1350" t="s">
        <v>26</v>
      </c>
      <c r="I1350" t="s">
        <v>26</v>
      </c>
      <c r="J1350">
        <v>277</v>
      </c>
      <c r="L1350">
        <v>0</v>
      </c>
    </row>
  </sheetData>
  <autoFilter ref="A1:C1350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Vimesh Herath</cp:lastModifiedBy>
  <cp:revision/>
  <dcterms:created xsi:type="dcterms:W3CDTF">2025-09-03T06:39:23Z</dcterms:created>
  <dcterms:modified xsi:type="dcterms:W3CDTF">2026-02-10T06:08:10Z</dcterms:modified>
  <cp:category/>
  <cp:contentStatus/>
</cp:coreProperties>
</file>