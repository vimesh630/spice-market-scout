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GER\Spice_Price_Prediction\Cinnamon\Datasets\"/>
    </mc:Choice>
  </mc:AlternateContent>
  <xr:revisionPtr revIDLastSave="0" documentId="13_ncr:1_{36478F4A-099C-4A3C-80D6-A70DD40CED4D}" xr6:coauthVersionLast="47" xr6:coauthVersionMax="47" xr10:uidLastSave="{00000000-0000-0000-0000-000000000000}"/>
  <bookViews>
    <workbookView xWindow="-110" yWindow="-110" windowWidth="19420" windowHeight="10420" xr2:uid="{38C3D25D-2271-4F77-944D-50D402EA69BA}"/>
  </bookViews>
  <sheets>
    <sheet name="Sheet1" sheetId="1" r:id="rId1"/>
  </sheets>
  <definedNames>
    <definedName name="_xlnm._FilterDatabase" localSheetId="0" hidden="1">Sheet1!$A$1:$C$2899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89" i="1" l="1"/>
  <c r="F2890" i="1"/>
  <c r="F2891" i="1"/>
  <c r="F2892" i="1"/>
  <c r="F2893" i="1"/>
  <c r="F2888" i="1"/>
  <c r="F2883" i="1"/>
  <c r="F2884" i="1"/>
  <c r="F2885" i="1"/>
  <c r="F2886" i="1"/>
  <c r="F2887" i="1"/>
  <c r="F2882" i="1"/>
  <c r="F2877" i="1"/>
  <c r="F2878" i="1"/>
  <c r="F2879" i="1"/>
  <c r="F2880" i="1"/>
  <c r="F2881" i="1"/>
  <c r="F2876" i="1"/>
  <c r="F2871" i="1"/>
  <c r="F2872" i="1"/>
  <c r="F2873" i="1"/>
  <c r="F2874" i="1"/>
  <c r="F2875" i="1"/>
  <c r="F2870" i="1"/>
  <c r="F2865" i="1"/>
  <c r="F2866" i="1"/>
  <c r="F2867" i="1"/>
  <c r="F2868" i="1"/>
  <c r="F2869" i="1"/>
  <c r="F2864" i="1"/>
  <c r="F2859" i="1"/>
  <c r="F2860" i="1"/>
  <c r="F2861" i="1"/>
  <c r="F2862" i="1"/>
  <c r="F2863" i="1"/>
  <c r="F2858" i="1"/>
  <c r="F2847" i="1"/>
  <c r="F2848" i="1"/>
  <c r="F2849" i="1"/>
  <c r="F2850" i="1"/>
  <c r="F2851" i="1"/>
  <c r="F2846" i="1"/>
  <c r="F2841" i="1"/>
  <c r="F2842" i="1"/>
  <c r="F2843" i="1"/>
  <c r="F2844" i="1"/>
  <c r="F2845" i="1"/>
  <c r="F2840" i="1"/>
  <c r="F2835" i="1"/>
  <c r="F2836" i="1"/>
  <c r="F2837" i="1"/>
  <c r="F2838" i="1"/>
  <c r="F2839" i="1"/>
  <c r="F2834" i="1"/>
  <c r="F2829" i="1"/>
  <c r="F2830" i="1"/>
  <c r="F2831" i="1"/>
  <c r="F2832" i="1"/>
  <c r="F2833" i="1"/>
  <c r="F2828" i="1"/>
  <c r="F2823" i="1"/>
  <c r="F2824" i="1"/>
  <c r="F2825" i="1"/>
  <c r="F2826" i="1"/>
  <c r="F2827" i="1"/>
  <c r="F2822" i="1"/>
  <c r="F2817" i="1"/>
  <c r="F2818" i="1"/>
  <c r="F2819" i="1"/>
  <c r="F2820" i="1"/>
  <c r="F2821" i="1"/>
  <c r="F2816" i="1"/>
  <c r="F2805" i="1"/>
  <c r="F2806" i="1"/>
  <c r="F2807" i="1"/>
  <c r="F2808" i="1"/>
  <c r="F2809" i="1"/>
  <c r="F2804" i="1"/>
  <c r="F2799" i="1"/>
  <c r="F2800" i="1"/>
  <c r="F2801" i="1"/>
  <c r="F2802" i="1"/>
  <c r="F2803" i="1"/>
  <c r="F2798" i="1"/>
  <c r="F2793" i="1"/>
  <c r="F2794" i="1"/>
  <c r="F2795" i="1"/>
  <c r="F2796" i="1"/>
  <c r="F2797" i="1"/>
  <c r="F2792" i="1"/>
  <c r="F2787" i="1"/>
  <c r="F2788" i="1"/>
  <c r="F2789" i="1"/>
  <c r="F2790" i="1"/>
  <c r="F2791" i="1"/>
  <c r="F2786" i="1"/>
  <c r="F2781" i="1"/>
  <c r="F2782" i="1"/>
  <c r="F2783" i="1"/>
  <c r="F2784" i="1"/>
  <c r="F2785" i="1"/>
  <c r="F2780" i="1"/>
  <c r="F2775" i="1"/>
  <c r="F2776" i="1"/>
  <c r="F2777" i="1"/>
  <c r="F2778" i="1"/>
  <c r="F2779" i="1"/>
  <c r="F2774" i="1"/>
  <c r="E2867" i="1"/>
  <c r="F2852" i="1"/>
  <c r="F2853" i="1"/>
  <c r="F2854" i="1"/>
  <c r="F2855" i="1"/>
  <c r="F2857" i="1"/>
  <c r="F2856" i="1"/>
  <c r="E2856" i="1"/>
  <c r="E2851" i="1"/>
  <c r="E2850" i="1"/>
  <c r="E2846" i="1"/>
  <c r="E2845" i="1"/>
  <c r="E2844" i="1"/>
  <c r="E2843" i="1"/>
  <c r="E2839" i="1"/>
  <c r="E2838" i="1"/>
  <c r="E2837" i="1"/>
  <c r="E2833" i="1"/>
  <c r="E2832" i="1"/>
  <c r="E2831" i="1"/>
  <c r="E2826" i="1"/>
  <c r="E2825" i="1"/>
  <c r="E2819" i="1"/>
  <c r="F2811" i="1"/>
  <c r="F2812" i="1"/>
  <c r="F2813" i="1"/>
  <c r="F2814" i="1"/>
  <c r="F2815" i="1"/>
  <c r="F2810" i="1"/>
  <c r="E2814" i="1"/>
  <c r="E2809" i="1"/>
  <c r="E2808" i="1"/>
  <c r="E2807" i="1"/>
  <c r="E2803" i="1"/>
  <c r="E2802" i="1"/>
  <c r="E2801" i="1"/>
  <c r="E2798" i="1"/>
  <c r="E2796" i="1"/>
  <c r="E2795" i="1"/>
  <c r="E2793" i="1"/>
  <c r="E2792" i="1"/>
  <c r="E2790" i="1"/>
  <c r="E2789" i="1"/>
  <c r="E2787" i="1"/>
  <c r="E2786" i="1"/>
  <c r="E2784" i="1"/>
  <c r="E2783" i="1"/>
  <c r="E2781" i="1"/>
  <c r="E2778" i="1"/>
  <c r="E2777" i="1"/>
  <c r="F9" i="1" l="1"/>
  <c r="F2768" i="1"/>
  <c r="F2769" i="1"/>
  <c r="F2770" i="1"/>
  <c r="F2771" i="1"/>
  <c r="F2773" i="1"/>
  <c r="F2772" i="1"/>
  <c r="E2772" i="1"/>
  <c r="F2763" i="1"/>
  <c r="F2764" i="1"/>
  <c r="F2765" i="1"/>
  <c r="F2766" i="1"/>
  <c r="F2767" i="1"/>
  <c r="F2762" i="1"/>
  <c r="E2767" i="1"/>
  <c r="E2766" i="1"/>
  <c r="E2765" i="1"/>
  <c r="F2757" i="1"/>
  <c r="F2758" i="1"/>
  <c r="F2759" i="1"/>
  <c r="F2760" i="1"/>
  <c r="F2761" i="1"/>
  <c r="F2756" i="1"/>
  <c r="E2761" i="1"/>
  <c r="E2760" i="1"/>
  <c r="E2759" i="1"/>
  <c r="E2758" i="1"/>
  <c r="E2756" i="1"/>
  <c r="F2751" i="1"/>
  <c r="F2752" i="1"/>
  <c r="F2753" i="1"/>
  <c r="F2754" i="1"/>
  <c r="F2755" i="1"/>
  <c r="F2750" i="1"/>
  <c r="E2755" i="1"/>
  <c r="E2754" i="1"/>
  <c r="E2753" i="1"/>
  <c r="E2751" i="1"/>
  <c r="F2745" i="1"/>
  <c r="F2746" i="1"/>
  <c r="F2747" i="1"/>
  <c r="F2748" i="1"/>
  <c r="F2749" i="1"/>
  <c r="F2744" i="1"/>
  <c r="E2748" i="1"/>
  <c r="E2747" i="1"/>
  <c r="E2745" i="1"/>
  <c r="F2739" i="1"/>
  <c r="F2740" i="1"/>
  <c r="F2741" i="1"/>
  <c r="F2742" i="1"/>
  <c r="F2743" i="1"/>
  <c r="F2738" i="1"/>
  <c r="E2742" i="1"/>
  <c r="E2741" i="1"/>
  <c r="F2733" i="1"/>
  <c r="F2734" i="1"/>
  <c r="F2735" i="1"/>
  <c r="F2736" i="1"/>
  <c r="F2737" i="1"/>
  <c r="F2732" i="1"/>
  <c r="E2736" i="1"/>
  <c r="E2735" i="1"/>
  <c r="F2726" i="1"/>
  <c r="F2727" i="1"/>
  <c r="F2728" i="1"/>
  <c r="F2729" i="1"/>
  <c r="F2731" i="1"/>
  <c r="F2730" i="1"/>
  <c r="E2730" i="1"/>
  <c r="F2721" i="1"/>
  <c r="F2722" i="1"/>
  <c r="F2723" i="1"/>
  <c r="F2724" i="1"/>
  <c r="F2725" i="1"/>
  <c r="F2720" i="1"/>
  <c r="E2725" i="1"/>
  <c r="E2724" i="1"/>
  <c r="E2723" i="1"/>
  <c r="F2715" i="1"/>
  <c r="F2716" i="1"/>
  <c r="F2717" i="1"/>
  <c r="F2718" i="1"/>
  <c r="F2719" i="1"/>
  <c r="F2714" i="1"/>
  <c r="E2719" i="1"/>
  <c r="E2718" i="1"/>
  <c r="E2717" i="1"/>
  <c r="F2709" i="1"/>
  <c r="F2710" i="1"/>
  <c r="F2711" i="1"/>
  <c r="F2712" i="1"/>
  <c r="F2713" i="1"/>
  <c r="F2708" i="1"/>
  <c r="E2713" i="1"/>
  <c r="E2712" i="1"/>
  <c r="E2711" i="1"/>
  <c r="E2710" i="1"/>
  <c r="E2708" i="1"/>
  <c r="F2703" i="1"/>
  <c r="F2704" i="1"/>
  <c r="F2705" i="1"/>
  <c r="F2706" i="1"/>
  <c r="F2707" i="1"/>
  <c r="F2702" i="1"/>
  <c r="E2707" i="1"/>
  <c r="E2706" i="1"/>
  <c r="E2705" i="1"/>
  <c r="F2697" i="1"/>
  <c r="F2698" i="1"/>
  <c r="F2699" i="1"/>
  <c r="F2700" i="1"/>
  <c r="F2701" i="1"/>
  <c r="F2696" i="1"/>
  <c r="E2700" i="1"/>
  <c r="F2691" i="1"/>
  <c r="F2692" i="1"/>
  <c r="F2693" i="1"/>
  <c r="F2694" i="1"/>
  <c r="F2695" i="1"/>
  <c r="F2690" i="1"/>
  <c r="E2694" i="1"/>
  <c r="E2693" i="1"/>
  <c r="F2684" i="1"/>
  <c r="F2685" i="1"/>
  <c r="F2686" i="1"/>
  <c r="F2687" i="1"/>
  <c r="F2689" i="1"/>
  <c r="F2688" i="1"/>
  <c r="E2688" i="1"/>
  <c r="F2679" i="1"/>
  <c r="F2680" i="1"/>
  <c r="F2681" i="1"/>
  <c r="F2682" i="1"/>
  <c r="F2683" i="1"/>
  <c r="F2678" i="1"/>
  <c r="E2683" i="1"/>
  <c r="E2682" i="1"/>
  <c r="E2681" i="1"/>
  <c r="F2673" i="1"/>
  <c r="F2674" i="1"/>
  <c r="F2675" i="1"/>
  <c r="F2676" i="1"/>
  <c r="F2677" i="1"/>
  <c r="F2672" i="1"/>
  <c r="E2677" i="1"/>
  <c r="E2676" i="1"/>
  <c r="F2667" i="1"/>
  <c r="F2668" i="1"/>
  <c r="F2669" i="1"/>
  <c r="F2670" i="1"/>
  <c r="F2671" i="1"/>
  <c r="F2666" i="1"/>
  <c r="E2670" i="1"/>
  <c r="F2661" i="1"/>
  <c r="F2662" i="1"/>
  <c r="F2663" i="1"/>
  <c r="F2664" i="1"/>
  <c r="F2665" i="1"/>
  <c r="F2660" i="1"/>
  <c r="E2664" i="1"/>
  <c r="F2655" i="1"/>
  <c r="F2656" i="1"/>
  <c r="F2657" i="1"/>
  <c r="F2658" i="1"/>
  <c r="F2659" i="1"/>
  <c r="F2654" i="1"/>
  <c r="E2658" i="1"/>
  <c r="E2657" i="1"/>
  <c r="F2649" i="1"/>
  <c r="F2650" i="1"/>
  <c r="F2651" i="1"/>
  <c r="F2652" i="1"/>
  <c r="F2653" i="1"/>
  <c r="F2648" i="1"/>
  <c r="F2642" i="1"/>
  <c r="F2643" i="1"/>
  <c r="F2644" i="1"/>
  <c r="F2645" i="1"/>
  <c r="F2647" i="1"/>
  <c r="F2646" i="1"/>
  <c r="E2646" i="1"/>
  <c r="F2637" i="1"/>
  <c r="F2638" i="1"/>
  <c r="F2639" i="1"/>
  <c r="F2640" i="1"/>
  <c r="F2641" i="1"/>
  <c r="F2636" i="1"/>
  <c r="E2640" i="1"/>
  <c r="F2631" i="1"/>
  <c r="F2632" i="1"/>
  <c r="F2633" i="1"/>
  <c r="F2634" i="1"/>
  <c r="F2635" i="1"/>
  <c r="F2630" i="1"/>
  <c r="E2634" i="1"/>
  <c r="E2633" i="1"/>
  <c r="E2630" i="1"/>
  <c r="F2625" i="1"/>
  <c r="F2626" i="1"/>
  <c r="F2627" i="1"/>
  <c r="F2628" i="1"/>
  <c r="F2629" i="1"/>
  <c r="F2624" i="1"/>
  <c r="E2628" i="1"/>
  <c r="E2625" i="1"/>
  <c r="F2619" i="1"/>
  <c r="F2620" i="1"/>
  <c r="F2621" i="1"/>
  <c r="F2622" i="1"/>
  <c r="F2623" i="1"/>
  <c r="F2618" i="1"/>
  <c r="E2622" i="1"/>
  <c r="E2621" i="1"/>
  <c r="E2619" i="1"/>
  <c r="E2618" i="1"/>
  <c r="F2613" i="1"/>
  <c r="F2614" i="1"/>
  <c r="F2615" i="1"/>
  <c r="F2616" i="1"/>
  <c r="F2617" i="1"/>
  <c r="F2612" i="1"/>
  <c r="E2616" i="1"/>
  <c r="E2615" i="1"/>
  <c r="E2612" i="1"/>
  <c r="F2607" i="1"/>
  <c r="F2608" i="1"/>
  <c r="F2609" i="1"/>
  <c r="F2610" i="1"/>
  <c r="F2611" i="1"/>
  <c r="F2606" i="1"/>
  <c r="F2600" i="1"/>
  <c r="F2601" i="1"/>
  <c r="F2602" i="1"/>
  <c r="F2603" i="1"/>
  <c r="F2605" i="1"/>
  <c r="F2604" i="1"/>
  <c r="E2604" i="1"/>
  <c r="F2595" i="1"/>
  <c r="F2596" i="1"/>
  <c r="F2597" i="1"/>
  <c r="F2598" i="1"/>
  <c r="F2599" i="1"/>
  <c r="F2594" i="1"/>
  <c r="E2599" i="1"/>
  <c r="E2598" i="1"/>
  <c r="F2589" i="1"/>
  <c r="F2590" i="1"/>
  <c r="F2591" i="1"/>
  <c r="F2592" i="1"/>
  <c r="F2593" i="1"/>
  <c r="F2588" i="1"/>
  <c r="E2591" i="1"/>
  <c r="F2583" i="1"/>
  <c r="F2584" i="1"/>
  <c r="F2585" i="1"/>
  <c r="F2586" i="1"/>
  <c r="F2587" i="1"/>
  <c r="F2582" i="1"/>
  <c r="E2586" i="1"/>
  <c r="E2583" i="1"/>
  <c r="F2577" i="1"/>
  <c r="F2578" i="1"/>
  <c r="F2579" i="1"/>
  <c r="F2580" i="1"/>
  <c r="F2581" i="1"/>
  <c r="F2576" i="1"/>
  <c r="E2580" i="1"/>
  <c r="E2579" i="1"/>
  <c r="F2571" i="1"/>
  <c r="F2572" i="1"/>
  <c r="F2573" i="1"/>
  <c r="F2574" i="1"/>
  <c r="F2575" i="1"/>
  <c r="F2570" i="1"/>
  <c r="E2574" i="1"/>
  <c r="E2573" i="1"/>
  <c r="F2565" i="1"/>
  <c r="F2566" i="1"/>
  <c r="F2567" i="1"/>
  <c r="F2568" i="1"/>
  <c r="F2569" i="1"/>
  <c r="F2564" i="1"/>
  <c r="F2558" i="1"/>
  <c r="F2559" i="1"/>
  <c r="F2560" i="1"/>
  <c r="F2561" i="1"/>
  <c r="F2563" i="1"/>
  <c r="F2562" i="1"/>
  <c r="E2562" i="1"/>
  <c r="F2553" i="1"/>
  <c r="F2554" i="1"/>
  <c r="F2555" i="1"/>
  <c r="F2556" i="1"/>
  <c r="F2557" i="1"/>
  <c r="F2552" i="1"/>
  <c r="E2557" i="1"/>
  <c r="E2556" i="1"/>
  <c r="E2555" i="1"/>
  <c r="F2547" i="1"/>
  <c r="F2548" i="1"/>
  <c r="F2549" i="1"/>
  <c r="F2550" i="1"/>
  <c r="F2551" i="1"/>
  <c r="F2546" i="1"/>
  <c r="E2551" i="1"/>
  <c r="E2550" i="1"/>
  <c r="E2549" i="1"/>
  <c r="F2541" i="1"/>
  <c r="F2542" i="1"/>
  <c r="F2543" i="1"/>
  <c r="F2544" i="1"/>
  <c r="F2545" i="1"/>
  <c r="F2540" i="1"/>
  <c r="E2545" i="1"/>
  <c r="E2544" i="1"/>
  <c r="E2541" i="1"/>
  <c r="F2535" i="1"/>
  <c r="F2536" i="1"/>
  <c r="F2537" i="1"/>
  <c r="F2538" i="1"/>
  <c r="F2539" i="1"/>
  <c r="F2534" i="1"/>
  <c r="E2539" i="1"/>
  <c r="E2537" i="1"/>
  <c r="F2529" i="1"/>
  <c r="F2530" i="1"/>
  <c r="F2531" i="1"/>
  <c r="F2532" i="1"/>
  <c r="F2533" i="1"/>
  <c r="F2528" i="1"/>
  <c r="E2532" i="1"/>
  <c r="E2531" i="1"/>
  <c r="F2523" i="1"/>
  <c r="F2524" i="1"/>
  <c r="F2525" i="1"/>
  <c r="F2526" i="1"/>
  <c r="F2527" i="1"/>
  <c r="F2522" i="1"/>
  <c r="E2526" i="1"/>
  <c r="E2525" i="1"/>
  <c r="F2516" i="1"/>
  <c r="F2517" i="1"/>
  <c r="F2518" i="1"/>
  <c r="F2519" i="1"/>
  <c r="F2521" i="1"/>
  <c r="F2520" i="1"/>
  <c r="E2520" i="1"/>
  <c r="F2511" i="1"/>
  <c r="F2512" i="1"/>
  <c r="F2513" i="1"/>
  <c r="F2514" i="1"/>
  <c r="F2515" i="1"/>
  <c r="F2510" i="1"/>
  <c r="E2515" i="1"/>
  <c r="E2514" i="1"/>
  <c r="E2513" i="1"/>
  <c r="F2505" i="1"/>
  <c r="F2506" i="1"/>
  <c r="F2507" i="1"/>
  <c r="F2508" i="1"/>
  <c r="F2509" i="1"/>
  <c r="F2504" i="1"/>
  <c r="E2509" i="1"/>
  <c r="E2508" i="1"/>
  <c r="E2507" i="1"/>
  <c r="E2504" i="1"/>
  <c r="F2499" i="1"/>
  <c r="F2500" i="1"/>
  <c r="F2501" i="1"/>
  <c r="F2502" i="1"/>
  <c r="F2503" i="1"/>
  <c r="F2498" i="1"/>
  <c r="E2503" i="1"/>
  <c r="E2502" i="1"/>
  <c r="E2501" i="1"/>
  <c r="F2493" i="1"/>
  <c r="F2494" i="1"/>
  <c r="F2495" i="1"/>
  <c r="F2496" i="1"/>
  <c r="F2497" i="1"/>
  <c r="F2492" i="1"/>
  <c r="E2497" i="1"/>
  <c r="E2496" i="1"/>
  <c r="E2495" i="1"/>
  <c r="E2493" i="1"/>
  <c r="F2487" i="1"/>
  <c r="F2488" i="1"/>
  <c r="F2489" i="1"/>
  <c r="F2490" i="1"/>
  <c r="F2491" i="1"/>
  <c r="F2486" i="1"/>
  <c r="E2490" i="1"/>
  <c r="E2489" i="1"/>
  <c r="F2481" i="1"/>
  <c r="F2482" i="1"/>
  <c r="F2483" i="1"/>
  <c r="F2484" i="1"/>
  <c r="F2485" i="1"/>
  <c r="F2480" i="1"/>
  <c r="F2474" i="1"/>
  <c r="F2475" i="1"/>
  <c r="F2476" i="1"/>
  <c r="F2477" i="1"/>
  <c r="F2479" i="1"/>
  <c r="F2478" i="1"/>
  <c r="E2478" i="1"/>
  <c r="F2469" i="1"/>
  <c r="F2470" i="1"/>
  <c r="F2471" i="1"/>
  <c r="F2472" i="1"/>
  <c r="F2473" i="1"/>
  <c r="F2468" i="1"/>
  <c r="E2472" i="1"/>
  <c r="E2471" i="1"/>
  <c r="F2463" i="1"/>
  <c r="F2464" i="1"/>
  <c r="F2465" i="1"/>
  <c r="F2466" i="1"/>
  <c r="F2467" i="1"/>
  <c r="F2462" i="1"/>
  <c r="E2466" i="1"/>
  <c r="E2465" i="1"/>
  <c r="E2464" i="1"/>
  <c r="E2462" i="1"/>
  <c r="F2457" i="1"/>
  <c r="F2458" i="1"/>
  <c r="F2459" i="1"/>
  <c r="F2460" i="1"/>
  <c r="F2461" i="1"/>
  <c r="F2456" i="1"/>
  <c r="E2460" i="1"/>
  <c r="E2459" i="1"/>
  <c r="E2458" i="1"/>
  <c r="E2456" i="1"/>
  <c r="F2451" i="1"/>
  <c r="F2452" i="1"/>
  <c r="F2453" i="1"/>
  <c r="F2454" i="1"/>
  <c r="F2455" i="1"/>
  <c r="F2450" i="1"/>
  <c r="E2454" i="1"/>
  <c r="E2453" i="1"/>
  <c r="E2452" i="1"/>
  <c r="F2445" i="1"/>
  <c r="F2446" i="1"/>
  <c r="F2447" i="1"/>
  <c r="F2448" i="1"/>
  <c r="F2449" i="1"/>
  <c r="F2444" i="1"/>
  <c r="E2448" i="1"/>
  <c r="E2447" i="1"/>
  <c r="E2446" i="1"/>
  <c r="E2444" i="1"/>
  <c r="F2439" i="1"/>
  <c r="F2440" i="1"/>
  <c r="F2441" i="1"/>
  <c r="F2442" i="1"/>
  <c r="F2443" i="1"/>
  <c r="F2438" i="1"/>
  <c r="E2440" i="1"/>
  <c r="F2432" i="1"/>
  <c r="F2433" i="1"/>
  <c r="F2434" i="1"/>
  <c r="F2435" i="1"/>
  <c r="F2437" i="1"/>
  <c r="F2436" i="1"/>
  <c r="E2436" i="1"/>
  <c r="F2427" i="1"/>
  <c r="F2428" i="1"/>
  <c r="F2429" i="1"/>
  <c r="F2430" i="1"/>
  <c r="F2431" i="1"/>
  <c r="F2426" i="1"/>
  <c r="E2431" i="1"/>
  <c r="E2430" i="1"/>
  <c r="E2429" i="1"/>
  <c r="F2421" i="1"/>
  <c r="F2422" i="1"/>
  <c r="F2423" i="1"/>
  <c r="F2424" i="1"/>
  <c r="F2425" i="1"/>
  <c r="F2420" i="1"/>
  <c r="E2425" i="1"/>
  <c r="E2424" i="1"/>
  <c r="E2423" i="1"/>
  <c r="F2415" i="1"/>
  <c r="F2416" i="1"/>
  <c r="F2417" i="1"/>
  <c r="F2418" i="1"/>
  <c r="F2419" i="1"/>
  <c r="F2414" i="1"/>
  <c r="E2418" i="1"/>
  <c r="F2409" i="1"/>
  <c r="F2410" i="1"/>
  <c r="F2411" i="1"/>
  <c r="F2412" i="1"/>
  <c r="F2413" i="1"/>
  <c r="F2408" i="1"/>
  <c r="E2412" i="1"/>
  <c r="E2409" i="1"/>
  <c r="F2403" i="1"/>
  <c r="F2404" i="1"/>
  <c r="F2405" i="1"/>
  <c r="F2406" i="1"/>
  <c r="F2407" i="1"/>
  <c r="F2402" i="1"/>
  <c r="E2406" i="1"/>
  <c r="E2405" i="1"/>
  <c r="F2397" i="1"/>
  <c r="F2398" i="1"/>
  <c r="F2399" i="1"/>
  <c r="F2400" i="1"/>
  <c r="F2401" i="1"/>
  <c r="F2396" i="1"/>
  <c r="E2399" i="1"/>
  <c r="F2390" i="1"/>
  <c r="F2391" i="1"/>
  <c r="F2392" i="1"/>
  <c r="F2393" i="1"/>
  <c r="F2395" i="1"/>
  <c r="F2394" i="1"/>
  <c r="E2394" i="1"/>
  <c r="F2385" i="1"/>
  <c r="F2386" i="1"/>
  <c r="F2387" i="1"/>
  <c r="F2388" i="1"/>
  <c r="F2389" i="1"/>
  <c r="F2384" i="1"/>
  <c r="E2389" i="1"/>
  <c r="E2388" i="1"/>
  <c r="E2387" i="1"/>
  <c r="E2384" i="1"/>
  <c r="F2379" i="1"/>
  <c r="F2380" i="1"/>
  <c r="F2381" i="1"/>
  <c r="F2382" i="1"/>
  <c r="F2383" i="1"/>
  <c r="F2378" i="1"/>
  <c r="E2383" i="1"/>
  <c r="E2382" i="1"/>
  <c r="E2381" i="1"/>
  <c r="F2373" i="1"/>
  <c r="F2374" i="1"/>
  <c r="F2375" i="1"/>
  <c r="F2376" i="1"/>
  <c r="F2377" i="1"/>
  <c r="F2372" i="1"/>
  <c r="E2377" i="1"/>
  <c r="E2376" i="1"/>
  <c r="E2372" i="1"/>
  <c r="F2367" i="1"/>
  <c r="F2368" i="1"/>
  <c r="F2369" i="1"/>
  <c r="F2370" i="1"/>
  <c r="F2371" i="1"/>
  <c r="F2366" i="1"/>
  <c r="E2371" i="1"/>
  <c r="E2370" i="1"/>
  <c r="F2361" i="1"/>
  <c r="F2362" i="1"/>
  <c r="F2363" i="1"/>
  <c r="F2364" i="1"/>
  <c r="F2365" i="1"/>
  <c r="F2360" i="1"/>
  <c r="E2364" i="1"/>
  <c r="F2355" i="1"/>
  <c r="F2356" i="1"/>
  <c r="F2357" i="1"/>
  <c r="F2358" i="1"/>
  <c r="F2359" i="1"/>
  <c r="F2354" i="1"/>
  <c r="F2348" i="1"/>
  <c r="F2349" i="1"/>
  <c r="F2350" i="1"/>
  <c r="F2351" i="1"/>
  <c r="F2353" i="1"/>
  <c r="F2352" i="1"/>
  <c r="E2352" i="1"/>
  <c r="F2343" i="1"/>
  <c r="F2344" i="1"/>
  <c r="F2345" i="1"/>
  <c r="F2346" i="1"/>
  <c r="F2347" i="1"/>
  <c r="F2342" i="1"/>
  <c r="E2347" i="1"/>
  <c r="E2346" i="1"/>
  <c r="E2345" i="1"/>
  <c r="E2342" i="1"/>
  <c r="F2337" i="1"/>
  <c r="F2338" i="1"/>
  <c r="F2339" i="1"/>
  <c r="F2340" i="1"/>
  <c r="F2341" i="1"/>
  <c r="F2336" i="1"/>
  <c r="E2341" i="1"/>
  <c r="E2340" i="1"/>
  <c r="E2339" i="1"/>
  <c r="E2336" i="1"/>
  <c r="F2331" i="1"/>
  <c r="F2332" i="1"/>
  <c r="F2333" i="1"/>
  <c r="F2334" i="1"/>
  <c r="F2335" i="1"/>
  <c r="F2330" i="1"/>
  <c r="E2335" i="1"/>
  <c r="E2334" i="1"/>
  <c r="E2333" i="1"/>
  <c r="E2331" i="1"/>
  <c r="E2330" i="1"/>
  <c r="F2325" i="1"/>
  <c r="F2326" i="1"/>
  <c r="F2327" i="1"/>
  <c r="F2328" i="1"/>
  <c r="F2329" i="1"/>
  <c r="F2324" i="1"/>
  <c r="E2329" i="1"/>
  <c r="E2328" i="1"/>
  <c r="E2327" i="1"/>
  <c r="E2324" i="1"/>
  <c r="F2319" i="1"/>
  <c r="F2320" i="1"/>
  <c r="F2321" i="1"/>
  <c r="F2322" i="1"/>
  <c r="F2323" i="1"/>
  <c r="F2318" i="1"/>
  <c r="E2322" i="1"/>
  <c r="E2321" i="1"/>
  <c r="E2318" i="1"/>
  <c r="F2313" i="1"/>
  <c r="F2314" i="1"/>
  <c r="F2315" i="1"/>
  <c r="F2316" i="1"/>
  <c r="F2317" i="1"/>
  <c r="F2312" i="1"/>
  <c r="E2312" i="1"/>
  <c r="F2306" i="1"/>
  <c r="F2307" i="1"/>
  <c r="F2308" i="1"/>
  <c r="F2309" i="1"/>
  <c r="F2311" i="1"/>
  <c r="F2310" i="1"/>
  <c r="E2310" i="1"/>
  <c r="F2301" i="1"/>
  <c r="F2302" i="1"/>
  <c r="F2303" i="1"/>
  <c r="F2304" i="1"/>
  <c r="F2305" i="1"/>
  <c r="F2300" i="1"/>
  <c r="E2305" i="1"/>
  <c r="E2304" i="1"/>
  <c r="E2303" i="1"/>
  <c r="E2300" i="1"/>
  <c r="F2295" i="1"/>
  <c r="F2296" i="1"/>
  <c r="F2297" i="1"/>
  <c r="F2298" i="1"/>
  <c r="F2299" i="1"/>
  <c r="F2294" i="1"/>
  <c r="E2298" i="1"/>
  <c r="E2297" i="1"/>
  <c r="E2294" i="1"/>
  <c r="F2289" i="1"/>
  <c r="F2290" i="1"/>
  <c r="F2291" i="1"/>
  <c r="F2292" i="1"/>
  <c r="F2293" i="1"/>
  <c r="F2288" i="1"/>
  <c r="E2292" i="1"/>
  <c r="E2291" i="1"/>
  <c r="E2288" i="1"/>
  <c r="F2283" i="1"/>
  <c r="F2284" i="1"/>
  <c r="F2285" i="1"/>
  <c r="F2286" i="1"/>
  <c r="F2287" i="1"/>
  <c r="F2282" i="1"/>
  <c r="E2287" i="1"/>
  <c r="E2286" i="1"/>
  <c r="E2285" i="1"/>
  <c r="E2282" i="1"/>
  <c r="F2277" i="1"/>
  <c r="F2278" i="1"/>
  <c r="F2279" i="1"/>
  <c r="F2280" i="1"/>
  <c r="F2281" i="1"/>
  <c r="F2276" i="1"/>
  <c r="E2280" i="1"/>
  <c r="E2279" i="1"/>
  <c r="E2276" i="1"/>
  <c r="F2271" i="1"/>
  <c r="F2272" i="1"/>
  <c r="F2273" i="1"/>
  <c r="F2274" i="1"/>
  <c r="F2275" i="1"/>
  <c r="F2270" i="1"/>
  <c r="E2274" i="1"/>
  <c r="E2272" i="1"/>
  <c r="E2270" i="1"/>
  <c r="F2264" i="1"/>
  <c r="F2265" i="1"/>
  <c r="F2266" i="1"/>
  <c r="F2267" i="1"/>
  <c r="F2269" i="1"/>
  <c r="F2268" i="1"/>
  <c r="E2268" i="1"/>
  <c r="F2259" i="1"/>
  <c r="F2260" i="1"/>
  <c r="F2261" i="1"/>
  <c r="F2262" i="1"/>
  <c r="F2263" i="1"/>
  <c r="F2258" i="1"/>
  <c r="E2262" i="1"/>
  <c r="F2253" i="1"/>
  <c r="F2254" i="1"/>
  <c r="F2255" i="1"/>
  <c r="F2256" i="1"/>
  <c r="F2257" i="1"/>
  <c r="F2252" i="1"/>
  <c r="E2256" i="1"/>
  <c r="E2255" i="1"/>
  <c r="E2252" i="1"/>
  <c r="F2247" i="1"/>
  <c r="F2248" i="1"/>
  <c r="F2249" i="1"/>
  <c r="F2250" i="1"/>
  <c r="F2251" i="1"/>
  <c r="F2246" i="1"/>
  <c r="E2250" i="1"/>
  <c r="E2246" i="1"/>
  <c r="F2241" i="1"/>
  <c r="F2242" i="1"/>
  <c r="F2243" i="1"/>
  <c r="F2244" i="1"/>
  <c r="F2245" i="1"/>
  <c r="F2240" i="1"/>
  <c r="E2244" i="1"/>
  <c r="E2240" i="1"/>
  <c r="F2235" i="1"/>
  <c r="F2236" i="1"/>
  <c r="F2237" i="1"/>
  <c r="F2238" i="1"/>
  <c r="F2239" i="1"/>
  <c r="F2234" i="1"/>
  <c r="E2238" i="1"/>
  <c r="E2237" i="1"/>
  <c r="E2234" i="1"/>
  <c r="F2229" i="1"/>
  <c r="F2230" i="1"/>
  <c r="F2231" i="1"/>
  <c r="F2232" i="1"/>
  <c r="F2233" i="1"/>
  <c r="F2228" i="1"/>
  <c r="E2232" i="1"/>
  <c r="E2231" i="1"/>
  <c r="E2228" i="1"/>
  <c r="F2222" i="1"/>
  <c r="F2223" i="1"/>
  <c r="F2224" i="1"/>
  <c r="F2225" i="1"/>
  <c r="F2227" i="1"/>
  <c r="F2226" i="1"/>
  <c r="E2226" i="1"/>
  <c r="F2217" i="1"/>
  <c r="F2218" i="1"/>
  <c r="F2219" i="1"/>
  <c r="F2220" i="1"/>
  <c r="F2221" i="1"/>
  <c r="F2216" i="1"/>
  <c r="E2221" i="1"/>
  <c r="E2220" i="1"/>
  <c r="E2216" i="1"/>
  <c r="F2211" i="1"/>
  <c r="F2212" i="1"/>
  <c r="F2213" i="1"/>
  <c r="F2214" i="1"/>
  <c r="F2215" i="1"/>
  <c r="F2210" i="1"/>
  <c r="E2215" i="1"/>
  <c r="E2214" i="1"/>
  <c r="E2210" i="1"/>
  <c r="F2205" i="1"/>
  <c r="F2206" i="1"/>
  <c r="F2207" i="1"/>
  <c r="F2208" i="1"/>
  <c r="F2209" i="1"/>
  <c r="F2204" i="1"/>
  <c r="E2209" i="1"/>
  <c r="E2208" i="1"/>
  <c r="F2199" i="1"/>
  <c r="F2200" i="1"/>
  <c r="F2201" i="1"/>
  <c r="F2202" i="1"/>
  <c r="F2203" i="1"/>
  <c r="F2198" i="1"/>
  <c r="E2202" i="1"/>
  <c r="E2198" i="1"/>
  <c r="F2193" i="1"/>
  <c r="F2194" i="1"/>
  <c r="F2195" i="1"/>
  <c r="F2196" i="1"/>
  <c r="F2197" i="1"/>
  <c r="F2192" i="1"/>
  <c r="E2196" i="1"/>
  <c r="E2192" i="1"/>
  <c r="F2187" i="1"/>
  <c r="F2188" i="1"/>
  <c r="F2189" i="1"/>
  <c r="F2190" i="1"/>
  <c r="F2191" i="1"/>
  <c r="F2186" i="1"/>
  <c r="E2189" i="1"/>
  <c r="E2186" i="1"/>
  <c r="F2180" i="1"/>
  <c r="F2181" i="1"/>
  <c r="F2182" i="1"/>
  <c r="F2183" i="1"/>
  <c r="F2185" i="1"/>
  <c r="F2184" i="1"/>
  <c r="E2184" i="1"/>
  <c r="F2175" i="1"/>
  <c r="F2176" i="1"/>
  <c r="F2177" i="1"/>
  <c r="F2178" i="1"/>
  <c r="F2179" i="1"/>
  <c r="F2174" i="1"/>
  <c r="E2178" i="1"/>
  <c r="E2177" i="1"/>
  <c r="E2174" i="1"/>
  <c r="F2169" i="1"/>
  <c r="F2170" i="1"/>
  <c r="F2171" i="1"/>
  <c r="F2172" i="1"/>
  <c r="F2173" i="1"/>
  <c r="F2168" i="1"/>
  <c r="E2172" i="1"/>
  <c r="E2171" i="1"/>
  <c r="E2168" i="1"/>
  <c r="F2163" i="1"/>
  <c r="F2164" i="1"/>
  <c r="F2165" i="1"/>
  <c r="F2166" i="1"/>
  <c r="F2167" i="1"/>
  <c r="F2162" i="1"/>
  <c r="E2166" i="1"/>
  <c r="F2157" i="1"/>
  <c r="F2158" i="1"/>
  <c r="F2159" i="1"/>
  <c r="F2160" i="1"/>
  <c r="F2161" i="1"/>
  <c r="F2156" i="1"/>
  <c r="E2161" i="1"/>
  <c r="E2160" i="1"/>
  <c r="E2159" i="1"/>
  <c r="E2156" i="1"/>
  <c r="F2151" i="1"/>
  <c r="F2152" i="1"/>
  <c r="F2153" i="1"/>
  <c r="F2154" i="1"/>
  <c r="F2155" i="1"/>
  <c r="F2150" i="1"/>
  <c r="E2154" i="1"/>
  <c r="E2153" i="1"/>
  <c r="E2150" i="1"/>
  <c r="F2145" i="1"/>
  <c r="F2146" i="1"/>
  <c r="F2147" i="1"/>
  <c r="F2148" i="1"/>
  <c r="F2149" i="1"/>
  <c r="F2144" i="1"/>
  <c r="E2147" i="1"/>
  <c r="E2144" i="1"/>
  <c r="F2138" i="1"/>
  <c r="F2139" i="1"/>
  <c r="F2140" i="1"/>
  <c r="F2141" i="1"/>
  <c r="F2143" i="1"/>
  <c r="F2142" i="1"/>
  <c r="E2142" i="1"/>
  <c r="F2133" i="1"/>
  <c r="F2134" i="1"/>
  <c r="F2135" i="1"/>
  <c r="F2136" i="1"/>
  <c r="F2137" i="1"/>
  <c r="F2132" i="1"/>
  <c r="E2136" i="1"/>
  <c r="E2132" i="1"/>
  <c r="F2127" i="1"/>
  <c r="F2128" i="1"/>
  <c r="F2129" i="1"/>
  <c r="F2130" i="1"/>
  <c r="F2131" i="1"/>
  <c r="F2126" i="1"/>
  <c r="E2130" i="1"/>
  <c r="E2126" i="1"/>
  <c r="F2121" i="1"/>
  <c r="F2122" i="1"/>
  <c r="F2123" i="1"/>
  <c r="F2124" i="1"/>
  <c r="F2125" i="1"/>
  <c r="F2120" i="1"/>
  <c r="E2122" i="1"/>
  <c r="E2120" i="1"/>
  <c r="F2115" i="1"/>
  <c r="F2116" i="1"/>
  <c r="F2117" i="1"/>
  <c r="F2118" i="1"/>
  <c r="F2119" i="1"/>
  <c r="F2114" i="1"/>
  <c r="E2119" i="1"/>
  <c r="E2118" i="1"/>
  <c r="E2116" i="1"/>
  <c r="E2114" i="1"/>
  <c r="F2109" i="1"/>
  <c r="F2110" i="1"/>
  <c r="F2111" i="1"/>
  <c r="F2112" i="1"/>
  <c r="F2113" i="1"/>
  <c r="F2108" i="1"/>
  <c r="E2112" i="1"/>
  <c r="E2111" i="1"/>
  <c r="E2110" i="1"/>
  <c r="E2108" i="1"/>
  <c r="F2103" i="1"/>
  <c r="F2104" i="1"/>
  <c r="F2105" i="1"/>
  <c r="F2106" i="1"/>
  <c r="F2107" i="1"/>
  <c r="F2102" i="1"/>
  <c r="E2102" i="1"/>
  <c r="F2096" i="1"/>
  <c r="F2097" i="1"/>
  <c r="F2098" i="1"/>
  <c r="F2099" i="1"/>
  <c r="F2101" i="1"/>
  <c r="F2100" i="1"/>
  <c r="E2100" i="1"/>
  <c r="F2091" i="1"/>
  <c r="F2092" i="1"/>
  <c r="F2093" i="1"/>
  <c r="F2094" i="1"/>
  <c r="F2095" i="1"/>
  <c r="F2090" i="1"/>
  <c r="E2095" i="1"/>
  <c r="E2094" i="1"/>
  <c r="E2090" i="1"/>
  <c r="F2085" i="1"/>
  <c r="F2086" i="1"/>
  <c r="F2087" i="1"/>
  <c r="F2088" i="1"/>
  <c r="F2089" i="1"/>
  <c r="F2084" i="1"/>
  <c r="E2089" i="1"/>
  <c r="E2088" i="1"/>
  <c r="E2084" i="1"/>
  <c r="F2079" i="1"/>
  <c r="F2080" i="1"/>
  <c r="F2081" i="1"/>
  <c r="F2082" i="1"/>
  <c r="F2083" i="1"/>
  <c r="F2078" i="1"/>
  <c r="E2082" i="1"/>
  <c r="E2078" i="1"/>
  <c r="F2073" i="1"/>
  <c r="F2074" i="1"/>
  <c r="F2075" i="1"/>
  <c r="F2076" i="1"/>
  <c r="F2077" i="1"/>
  <c r="F2072" i="1"/>
  <c r="F2067" i="1"/>
  <c r="F2068" i="1"/>
  <c r="F2069" i="1"/>
  <c r="F2070" i="1"/>
  <c r="F2071" i="1"/>
  <c r="F2066" i="1"/>
  <c r="E2076" i="1"/>
  <c r="E2072" i="1"/>
  <c r="E2070" i="1"/>
  <c r="E2066" i="1"/>
  <c r="F2061" i="1"/>
  <c r="F2062" i="1"/>
  <c r="F2063" i="1"/>
  <c r="F2064" i="1"/>
  <c r="F2065" i="1"/>
  <c r="F2060" i="1"/>
  <c r="E2064" i="1"/>
  <c r="E2060" i="1"/>
  <c r="F2054" i="1"/>
  <c r="F2055" i="1"/>
  <c r="F2056" i="1"/>
  <c r="F2057" i="1"/>
  <c r="F2059" i="1"/>
  <c r="F2058" i="1"/>
  <c r="E2058" i="1"/>
  <c r="F2049" i="1"/>
  <c r="F2050" i="1"/>
  <c r="F2051" i="1"/>
  <c r="F2052" i="1"/>
  <c r="F2053" i="1"/>
  <c r="F2048" i="1"/>
  <c r="E2052" i="1"/>
  <c r="E2048" i="1"/>
  <c r="F2043" i="1"/>
  <c r="F2044" i="1"/>
  <c r="F2045" i="1"/>
  <c r="F2046" i="1"/>
  <c r="F2047" i="1"/>
  <c r="F2042" i="1"/>
  <c r="E2047" i="1"/>
  <c r="E2046" i="1"/>
  <c r="E2042" i="1"/>
  <c r="F2037" i="1"/>
  <c r="F2038" i="1"/>
  <c r="F2039" i="1"/>
  <c r="F2040" i="1"/>
  <c r="F2041" i="1"/>
  <c r="F2036" i="1"/>
  <c r="E2041" i="1"/>
  <c r="E2040" i="1"/>
  <c r="E2036" i="1"/>
  <c r="F2031" i="1"/>
  <c r="F2032" i="1"/>
  <c r="F2033" i="1"/>
  <c r="F2034" i="1"/>
  <c r="F2035" i="1"/>
  <c r="F2030" i="1"/>
  <c r="E2035" i="1"/>
  <c r="E2034" i="1"/>
  <c r="E2030" i="1"/>
  <c r="F2025" i="1"/>
  <c r="F2026" i="1"/>
  <c r="F2027" i="1"/>
  <c r="F2028" i="1"/>
  <c r="F2029" i="1"/>
  <c r="F2024" i="1"/>
  <c r="E2024" i="1"/>
  <c r="F2018" i="1"/>
  <c r="F2019" i="1"/>
  <c r="F2020" i="1"/>
  <c r="F2021" i="1"/>
  <c r="F2022" i="1"/>
  <c r="F2023" i="1"/>
  <c r="E2022" i="1"/>
  <c r="E2018" i="1"/>
  <c r="F2012" i="1"/>
  <c r="F2013" i="1"/>
  <c r="F2014" i="1"/>
  <c r="F2015" i="1"/>
  <c r="F2017" i="1"/>
  <c r="F2016" i="1"/>
  <c r="E2016" i="1"/>
  <c r="F2007" i="1"/>
  <c r="F2008" i="1"/>
  <c r="F2009" i="1"/>
  <c r="F2010" i="1"/>
  <c r="F2011" i="1"/>
  <c r="F2006" i="1"/>
  <c r="E2011" i="1"/>
  <c r="E2010" i="1"/>
  <c r="E2009" i="1"/>
  <c r="E2006" i="1"/>
  <c r="F2001" i="1"/>
  <c r="F2002" i="1"/>
  <c r="F2003" i="1"/>
  <c r="F2004" i="1"/>
  <c r="F2005" i="1"/>
  <c r="F2000" i="1"/>
  <c r="E2005" i="1"/>
  <c r="E2004" i="1"/>
  <c r="E2003" i="1"/>
  <c r="E2000" i="1"/>
  <c r="F1995" i="1"/>
  <c r="F1996" i="1"/>
  <c r="F1997" i="1"/>
  <c r="F1998" i="1"/>
  <c r="F1999" i="1"/>
  <c r="F1994" i="1"/>
  <c r="E1999" i="1"/>
  <c r="E1998" i="1"/>
  <c r="E1994" i="1"/>
  <c r="F1989" i="1"/>
  <c r="F1990" i="1"/>
  <c r="F1991" i="1"/>
  <c r="F1992" i="1"/>
  <c r="F1993" i="1"/>
  <c r="F1988" i="1"/>
  <c r="E1993" i="1"/>
  <c r="E1992" i="1"/>
  <c r="E1991" i="1"/>
  <c r="E1989" i="1"/>
  <c r="E1988" i="1"/>
  <c r="F1983" i="1"/>
  <c r="F1984" i="1"/>
  <c r="F1985" i="1"/>
  <c r="F1986" i="1"/>
  <c r="F1987" i="1"/>
  <c r="F1982" i="1"/>
  <c r="E1986" i="1"/>
  <c r="E1982" i="1"/>
  <c r="F1977" i="1"/>
  <c r="F1978" i="1"/>
  <c r="F1979" i="1"/>
  <c r="F1980" i="1"/>
  <c r="F1981" i="1"/>
  <c r="F1976" i="1"/>
  <c r="E1980" i="1"/>
  <c r="E1976" i="1"/>
  <c r="F1970" i="1"/>
  <c r="F1971" i="1"/>
  <c r="F1972" i="1"/>
  <c r="F1973" i="1"/>
  <c r="F1975" i="1"/>
  <c r="F1974" i="1"/>
  <c r="E1974" i="1"/>
  <c r="F1965" i="1"/>
  <c r="F1966" i="1"/>
  <c r="F1967" i="1"/>
  <c r="F1968" i="1"/>
  <c r="F1969" i="1"/>
  <c r="F1964" i="1"/>
  <c r="E1968" i="1"/>
  <c r="E1964" i="1"/>
  <c r="F1959" i="1"/>
  <c r="F1960" i="1"/>
  <c r="F1961" i="1"/>
  <c r="F1962" i="1"/>
  <c r="F1963" i="1"/>
  <c r="F1958" i="1"/>
  <c r="E1962" i="1"/>
  <c r="E1958" i="1"/>
  <c r="F1953" i="1"/>
  <c r="F1954" i="1"/>
  <c r="F1955" i="1"/>
  <c r="F1956" i="1"/>
  <c r="F1957" i="1"/>
  <c r="F1952" i="1"/>
  <c r="E1956" i="1"/>
  <c r="E1955" i="1"/>
  <c r="E1952" i="1"/>
  <c r="F1947" i="1"/>
  <c r="F1948" i="1"/>
  <c r="F1949" i="1"/>
  <c r="F1950" i="1"/>
  <c r="F1951" i="1"/>
  <c r="F1946" i="1"/>
  <c r="E1950" i="1"/>
  <c r="E1948" i="1"/>
  <c r="E1946" i="1"/>
  <c r="F1941" i="1"/>
  <c r="F1942" i="1"/>
  <c r="F1943" i="1"/>
  <c r="F1944" i="1"/>
  <c r="F1945" i="1"/>
  <c r="F1940" i="1"/>
  <c r="E1944" i="1"/>
  <c r="E1940" i="1"/>
  <c r="F1935" i="1"/>
  <c r="F1936" i="1"/>
  <c r="F1937" i="1"/>
  <c r="F1938" i="1"/>
  <c r="F1939" i="1"/>
  <c r="F1934" i="1"/>
  <c r="E1938" i="1"/>
  <c r="E1937" i="1"/>
  <c r="E1934" i="1"/>
  <c r="F1928" i="1"/>
  <c r="F1929" i="1"/>
  <c r="F1930" i="1"/>
  <c r="F1931" i="1"/>
  <c r="F1933" i="1"/>
  <c r="F1932" i="1"/>
  <c r="E1932" i="1"/>
  <c r="F1923" i="1"/>
  <c r="F1924" i="1"/>
  <c r="F1925" i="1"/>
  <c r="F1926" i="1"/>
  <c r="F1927" i="1"/>
  <c r="F1922" i="1"/>
  <c r="E1926" i="1"/>
  <c r="E1922" i="1"/>
  <c r="F1917" i="1"/>
  <c r="F1918" i="1"/>
  <c r="F1919" i="1"/>
  <c r="F1920" i="1"/>
  <c r="F1921" i="1"/>
  <c r="F1916" i="1"/>
  <c r="E1920" i="1"/>
  <c r="E1919" i="1"/>
  <c r="E1916" i="1"/>
  <c r="F1911" i="1"/>
  <c r="F1912" i="1"/>
  <c r="F1913" i="1"/>
  <c r="F1914" i="1"/>
  <c r="F1915" i="1"/>
  <c r="F1910" i="1"/>
  <c r="E1915" i="1"/>
  <c r="E1914" i="1"/>
  <c r="E1913" i="1"/>
  <c r="E1910" i="1"/>
  <c r="F1905" i="1"/>
  <c r="F1906" i="1"/>
  <c r="F1907" i="1"/>
  <c r="F1908" i="1"/>
  <c r="F1909" i="1"/>
  <c r="F1904" i="1"/>
  <c r="E1909" i="1"/>
  <c r="E1908" i="1"/>
  <c r="E1907" i="1"/>
  <c r="E1904" i="1"/>
  <c r="F1899" i="1"/>
  <c r="F1900" i="1"/>
  <c r="F1901" i="1"/>
  <c r="F1902" i="1"/>
  <c r="F1903" i="1"/>
  <c r="F1898" i="1"/>
  <c r="E1902" i="1"/>
  <c r="E1901" i="1"/>
  <c r="E1898" i="1"/>
  <c r="F1893" i="1"/>
  <c r="F1894" i="1"/>
  <c r="F1895" i="1"/>
  <c r="F1896" i="1"/>
  <c r="F1897" i="1"/>
  <c r="F1892" i="1"/>
  <c r="E1896" i="1"/>
  <c r="E1895" i="1"/>
  <c r="E1892" i="1"/>
  <c r="F1886" i="1"/>
  <c r="F1887" i="1"/>
  <c r="F1888" i="1"/>
  <c r="F1889" i="1"/>
  <c r="F1891" i="1"/>
  <c r="F1890" i="1"/>
  <c r="E1890" i="1"/>
  <c r="F1881" i="1"/>
  <c r="F1882" i="1"/>
  <c r="F1883" i="1"/>
  <c r="F1884" i="1"/>
  <c r="F1885" i="1"/>
  <c r="F1880" i="1"/>
  <c r="E1884" i="1"/>
  <c r="E1880" i="1"/>
  <c r="F1875" i="1"/>
  <c r="F1876" i="1"/>
  <c r="F1877" i="1"/>
  <c r="F1878" i="1"/>
  <c r="F1879" i="1"/>
  <c r="F1874" i="1"/>
  <c r="E1878" i="1"/>
  <c r="E1876" i="1"/>
  <c r="E1874" i="1"/>
  <c r="F1869" i="1"/>
  <c r="F1870" i="1"/>
  <c r="F1871" i="1"/>
  <c r="F1872" i="1"/>
  <c r="F1873" i="1"/>
  <c r="F1868" i="1"/>
  <c r="E1872" i="1"/>
  <c r="E1868" i="1"/>
  <c r="F1863" i="1"/>
  <c r="F1864" i="1"/>
  <c r="F1865" i="1"/>
  <c r="F1866" i="1"/>
  <c r="F1867" i="1"/>
  <c r="F1862" i="1"/>
  <c r="E1866" i="1"/>
  <c r="E1864" i="1"/>
  <c r="E1862" i="1"/>
  <c r="F1857" i="1"/>
  <c r="F1858" i="1"/>
  <c r="F1859" i="1"/>
  <c r="F1860" i="1"/>
  <c r="F1861" i="1"/>
  <c r="F1856" i="1"/>
  <c r="E1860" i="1"/>
  <c r="E1859" i="1"/>
  <c r="E1858" i="1"/>
  <c r="E1856" i="1"/>
  <c r="F1851" i="1"/>
  <c r="F1852" i="1"/>
  <c r="F1853" i="1"/>
  <c r="F1854" i="1"/>
  <c r="F1855" i="1"/>
  <c r="F1850" i="1"/>
  <c r="E1854" i="1"/>
  <c r="E1853" i="1"/>
  <c r="E1852" i="1"/>
  <c r="E1850" i="1"/>
  <c r="F1844" i="1"/>
  <c r="F1845" i="1"/>
  <c r="F1846" i="1"/>
  <c r="F1847" i="1"/>
  <c r="F1849" i="1"/>
  <c r="F1848" i="1"/>
  <c r="E1848" i="1"/>
  <c r="F1839" i="1"/>
  <c r="F1840" i="1"/>
  <c r="F1841" i="1"/>
  <c r="F1842" i="1"/>
  <c r="F1843" i="1"/>
  <c r="F1838" i="1"/>
  <c r="E1842" i="1"/>
  <c r="E1841" i="1"/>
  <c r="E1840" i="1"/>
  <c r="E1839" i="1"/>
  <c r="E1838" i="1"/>
  <c r="F1833" i="1"/>
  <c r="F1834" i="1"/>
  <c r="F1835" i="1"/>
  <c r="F1836" i="1"/>
  <c r="F1837" i="1"/>
  <c r="F1832" i="1"/>
  <c r="E1836" i="1"/>
  <c r="E1835" i="1"/>
  <c r="E1834" i="1"/>
  <c r="E1833" i="1"/>
  <c r="E1832" i="1"/>
  <c r="F1827" i="1"/>
  <c r="F1828" i="1"/>
  <c r="F1829" i="1"/>
  <c r="F1830" i="1"/>
  <c r="F1831" i="1"/>
  <c r="F1826" i="1"/>
  <c r="E1831" i="1"/>
  <c r="E1830" i="1"/>
  <c r="E1829" i="1"/>
  <c r="E1828" i="1"/>
  <c r="E1827" i="1"/>
  <c r="E1826" i="1"/>
  <c r="F1821" i="1"/>
  <c r="F1822" i="1"/>
  <c r="F1823" i="1"/>
  <c r="F1824" i="1"/>
  <c r="F1825" i="1"/>
  <c r="F1820" i="1"/>
  <c r="E1824" i="1"/>
  <c r="E1823" i="1"/>
  <c r="E1822" i="1"/>
  <c r="E1820" i="1"/>
  <c r="F1815" i="1"/>
  <c r="F1816" i="1"/>
  <c r="F1817" i="1"/>
  <c r="F1818" i="1"/>
  <c r="F1819" i="1"/>
  <c r="F1814" i="1"/>
  <c r="E1818" i="1"/>
  <c r="E1817" i="1"/>
  <c r="E1816" i="1"/>
  <c r="E1814" i="1"/>
  <c r="F1809" i="1"/>
  <c r="F1810" i="1"/>
  <c r="F1811" i="1"/>
  <c r="F1812" i="1"/>
  <c r="F1813" i="1"/>
  <c r="F1808" i="1"/>
  <c r="E1812" i="1"/>
  <c r="E1811" i="1"/>
  <c r="E1810" i="1"/>
  <c r="E1808" i="1"/>
  <c r="F1802" i="1"/>
  <c r="F1803" i="1"/>
  <c r="F1804" i="1"/>
  <c r="F1805" i="1"/>
  <c r="F1807" i="1"/>
  <c r="F1806" i="1"/>
  <c r="E1806" i="1"/>
  <c r="F1797" i="1"/>
  <c r="F1798" i="1"/>
  <c r="F1799" i="1"/>
  <c r="F1800" i="1"/>
  <c r="F1801" i="1"/>
  <c r="F1796" i="1"/>
  <c r="E1800" i="1"/>
  <c r="E1797" i="1"/>
  <c r="E1796" i="1"/>
  <c r="F1791" i="1"/>
  <c r="F1792" i="1"/>
  <c r="F1793" i="1"/>
  <c r="F1794" i="1"/>
  <c r="F1795" i="1"/>
  <c r="F1790" i="1"/>
  <c r="E1795" i="1"/>
  <c r="E1794" i="1"/>
  <c r="E1791" i="1"/>
  <c r="E1790" i="1"/>
  <c r="F1785" i="1"/>
  <c r="F1786" i="1"/>
  <c r="F1787" i="1"/>
  <c r="F1788" i="1"/>
  <c r="F1789" i="1"/>
  <c r="F1784" i="1"/>
  <c r="E1788" i="1"/>
  <c r="E1787" i="1"/>
  <c r="E1784" i="1"/>
  <c r="F1779" i="1"/>
  <c r="F1780" i="1"/>
  <c r="F1781" i="1"/>
  <c r="F1782" i="1"/>
  <c r="F1783" i="1"/>
  <c r="F1778" i="1"/>
  <c r="E1782" i="1"/>
  <c r="E1778" i="1"/>
  <c r="F1773" i="1"/>
  <c r="F1774" i="1"/>
  <c r="F1775" i="1"/>
  <c r="F1776" i="1"/>
  <c r="F1777" i="1"/>
  <c r="F1772" i="1"/>
  <c r="E1776" i="1"/>
  <c r="E1773" i="1"/>
  <c r="E1772" i="1"/>
  <c r="F1767" i="1"/>
  <c r="F1768" i="1"/>
  <c r="F1769" i="1"/>
  <c r="F1770" i="1"/>
  <c r="F1771" i="1"/>
  <c r="F1766" i="1"/>
  <c r="E1770" i="1"/>
  <c r="E1769" i="1"/>
  <c r="E1766" i="1"/>
  <c r="F1760" i="1"/>
  <c r="F1761" i="1"/>
  <c r="F1762" i="1"/>
  <c r="F1763" i="1"/>
  <c r="F1765" i="1"/>
  <c r="F1764" i="1"/>
  <c r="E1764" i="1"/>
  <c r="F1755" i="1"/>
  <c r="F1756" i="1"/>
  <c r="F1757" i="1"/>
  <c r="F1758" i="1"/>
  <c r="F1759" i="1"/>
  <c r="F1754" i="1"/>
  <c r="E1759" i="1"/>
  <c r="E1758" i="1"/>
  <c r="E1757" i="1"/>
  <c r="E1754" i="1"/>
  <c r="F1749" i="1"/>
  <c r="F1750" i="1"/>
  <c r="F1751" i="1"/>
  <c r="F1752" i="1"/>
  <c r="F1753" i="1"/>
  <c r="F1748" i="1"/>
  <c r="E1753" i="1"/>
  <c r="E1752" i="1"/>
  <c r="E1751" i="1"/>
  <c r="E1749" i="1"/>
  <c r="E1748" i="1"/>
  <c r="F1743" i="1"/>
  <c r="F1744" i="1"/>
  <c r="F1745" i="1"/>
  <c r="F1746" i="1"/>
  <c r="F1747" i="1"/>
  <c r="F1742" i="1"/>
  <c r="E1746" i="1"/>
  <c r="E1744" i="1"/>
  <c r="E1742" i="1"/>
  <c r="F1737" i="1"/>
  <c r="F1738" i="1"/>
  <c r="F1739" i="1"/>
  <c r="F1740" i="1"/>
  <c r="F1741" i="1"/>
  <c r="F1736" i="1"/>
  <c r="E1740" i="1"/>
  <c r="E1739" i="1"/>
  <c r="E1736" i="1"/>
  <c r="F1731" i="1"/>
  <c r="F1732" i="1"/>
  <c r="F1733" i="1"/>
  <c r="F1734" i="1"/>
  <c r="F1735" i="1"/>
  <c r="F1730" i="1"/>
  <c r="E1734" i="1"/>
  <c r="E1733" i="1"/>
  <c r="E1731" i="1"/>
  <c r="E1730" i="1"/>
  <c r="F1725" i="1"/>
  <c r="F1726" i="1"/>
  <c r="F1727" i="1"/>
  <c r="F1728" i="1"/>
  <c r="F1729" i="1"/>
  <c r="F1724" i="1"/>
  <c r="E1728" i="1"/>
  <c r="E1724" i="1"/>
  <c r="F1676" i="1"/>
  <c r="F1677" i="1"/>
  <c r="F1678" i="1"/>
  <c r="F1679" i="1"/>
  <c r="F1681" i="1"/>
  <c r="F1680" i="1"/>
  <c r="E1680" i="1"/>
  <c r="F1671" i="1"/>
  <c r="F1672" i="1"/>
  <c r="F1673" i="1"/>
  <c r="F1674" i="1"/>
  <c r="F1675" i="1"/>
  <c r="F1670" i="1"/>
  <c r="E1674" i="1"/>
  <c r="F1665" i="1"/>
  <c r="F1666" i="1"/>
  <c r="F1667" i="1"/>
  <c r="F1668" i="1"/>
  <c r="F1669" i="1"/>
  <c r="F1664" i="1"/>
  <c r="E1668" i="1"/>
  <c r="E1665" i="1"/>
  <c r="F1659" i="1"/>
  <c r="F1660" i="1"/>
  <c r="F1661" i="1"/>
  <c r="F1662" i="1"/>
  <c r="F1663" i="1"/>
  <c r="F1658" i="1"/>
  <c r="E1663" i="1"/>
  <c r="E1662" i="1"/>
  <c r="E1660" i="1"/>
  <c r="F1652" i="1"/>
  <c r="F1653" i="1"/>
  <c r="F1654" i="1"/>
  <c r="F1655" i="1"/>
  <c r="F1656" i="1"/>
  <c r="F1657" i="1"/>
  <c r="E1657" i="1"/>
  <c r="E1656" i="1"/>
  <c r="E1655" i="1"/>
  <c r="E1654" i="1"/>
  <c r="F1647" i="1"/>
  <c r="F1648" i="1"/>
  <c r="F1649" i="1"/>
  <c r="F1650" i="1"/>
  <c r="F1651" i="1"/>
  <c r="F1646" i="1"/>
  <c r="E1650" i="1"/>
  <c r="F1641" i="1"/>
  <c r="F1642" i="1"/>
  <c r="F1643" i="1"/>
  <c r="F1644" i="1"/>
  <c r="F1645" i="1"/>
  <c r="F1640" i="1"/>
  <c r="E1644" i="1"/>
  <c r="F1634" i="1"/>
  <c r="F1635" i="1"/>
  <c r="F1636" i="1"/>
  <c r="F1637" i="1"/>
  <c r="F1639" i="1"/>
  <c r="F1638" i="1"/>
  <c r="E1638" i="1"/>
  <c r="F1629" i="1"/>
  <c r="F1630" i="1"/>
  <c r="F1631" i="1"/>
  <c r="F1632" i="1"/>
  <c r="F1633" i="1"/>
  <c r="F1628" i="1"/>
  <c r="E1633" i="1"/>
  <c r="E1632" i="1"/>
  <c r="E1631" i="1"/>
  <c r="E1630" i="1"/>
  <c r="E1629" i="1"/>
  <c r="E1628" i="1"/>
  <c r="F1623" i="1"/>
  <c r="F1624" i="1"/>
  <c r="F1625" i="1"/>
  <c r="F1626" i="1"/>
  <c r="F1627" i="1"/>
  <c r="F1622" i="1"/>
  <c r="E1627" i="1"/>
  <c r="E1626" i="1"/>
  <c r="E1625" i="1"/>
  <c r="E1624" i="1"/>
  <c r="E1623" i="1"/>
  <c r="E1622" i="1"/>
  <c r="F1617" i="1"/>
  <c r="F1618" i="1"/>
  <c r="F1619" i="1"/>
  <c r="F1620" i="1"/>
  <c r="F1621" i="1"/>
  <c r="F1616" i="1"/>
  <c r="E1620" i="1"/>
  <c r="E1619" i="1"/>
  <c r="E1618" i="1"/>
  <c r="E1616" i="1"/>
  <c r="F1611" i="1"/>
  <c r="F1612" i="1"/>
  <c r="F1613" i="1"/>
  <c r="F1614" i="1"/>
  <c r="F1615" i="1"/>
  <c r="F1610" i="1"/>
  <c r="E1615" i="1"/>
  <c r="E1614" i="1"/>
  <c r="E1613" i="1"/>
  <c r="E1612" i="1"/>
  <c r="E1611" i="1"/>
  <c r="E1610" i="1"/>
  <c r="F1605" i="1"/>
  <c r="F1606" i="1"/>
  <c r="F1607" i="1"/>
  <c r="F1608" i="1"/>
  <c r="F1609" i="1"/>
  <c r="F1604" i="1"/>
  <c r="E1608" i="1"/>
  <c r="E1607" i="1"/>
  <c r="E1606" i="1"/>
  <c r="E1604" i="1"/>
  <c r="F1599" i="1"/>
  <c r="F1600" i="1"/>
  <c r="F1601" i="1"/>
  <c r="F1602" i="1"/>
  <c r="F1603" i="1"/>
  <c r="F1598" i="1"/>
  <c r="E1602" i="1"/>
  <c r="E1601" i="1"/>
  <c r="E1600" i="1"/>
  <c r="E1598" i="1"/>
  <c r="F1592" i="1"/>
  <c r="F1593" i="1"/>
  <c r="F1594" i="1"/>
  <c r="F1595" i="1"/>
  <c r="F1597" i="1"/>
  <c r="F1596" i="1"/>
  <c r="E1596" i="1"/>
  <c r="F1587" i="1"/>
  <c r="F1588" i="1"/>
  <c r="F1589" i="1"/>
  <c r="F1590" i="1"/>
  <c r="F1591" i="1"/>
  <c r="F1586" i="1"/>
  <c r="E1591" i="1"/>
  <c r="E1590" i="1"/>
  <c r="E1589" i="1"/>
  <c r="E1586" i="1"/>
  <c r="F1581" i="1"/>
  <c r="F1582" i="1"/>
  <c r="F1583" i="1"/>
  <c r="F1584" i="1"/>
  <c r="F1585" i="1"/>
  <c r="F1580" i="1"/>
  <c r="E1585" i="1"/>
  <c r="E1584" i="1"/>
  <c r="E1580" i="1"/>
  <c r="F1575" i="1"/>
  <c r="F1576" i="1"/>
  <c r="F1577" i="1"/>
  <c r="F1578" i="1"/>
  <c r="F1579" i="1"/>
  <c r="F1574" i="1"/>
  <c r="E1579" i="1"/>
  <c r="E1578" i="1"/>
  <c r="E1575" i="1"/>
  <c r="E1574" i="1"/>
  <c r="F1569" i="1"/>
  <c r="F1570" i="1"/>
  <c r="F1571" i="1"/>
  <c r="F1572" i="1"/>
  <c r="F1573" i="1"/>
  <c r="F1568" i="1"/>
  <c r="E1573" i="1"/>
  <c r="E1572" i="1"/>
  <c r="E1568" i="1"/>
  <c r="F1563" i="1"/>
  <c r="F1564" i="1"/>
  <c r="F1565" i="1"/>
  <c r="F1566" i="1"/>
  <c r="F1567" i="1"/>
  <c r="F1562" i="1"/>
  <c r="E1566" i="1"/>
  <c r="E1565" i="1"/>
  <c r="E1563" i="1"/>
  <c r="E1562" i="1"/>
  <c r="F1557" i="1"/>
  <c r="F1558" i="1"/>
  <c r="F1559" i="1"/>
  <c r="F1560" i="1"/>
  <c r="F1561" i="1"/>
  <c r="F1556" i="1"/>
  <c r="E1560" i="1"/>
  <c r="E1556" i="1"/>
  <c r="F1550" i="1"/>
  <c r="F1551" i="1"/>
  <c r="F1552" i="1"/>
  <c r="F1553" i="1"/>
  <c r="F1555" i="1"/>
  <c r="F1554" i="1"/>
  <c r="E1554" i="1"/>
  <c r="F1545" i="1"/>
  <c r="F1546" i="1"/>
  <c r="F1547" i="1"/>
  <c r="F1548" i="1"/>
  <c r="F1549" i="1"/>
  <c r="F1544" i="1"/>
  <c r="F1538" i="1"/>
  <c r="E1549" i="1"/>
  <c r="E1548" i="1"/>
  <c r="E1545" i="1"/>
  <c r="E1544" i="1"/>
  <c r="F1539" i="1"/>
  <c r="F1540" i="1"/>
  <c r="F1541" i="1"/>
  <c r="F1542" i="1"/>
  <c r="F1543" i="1"/>
  <c r="E1543" i="1"/>
  <c r="E1542" i="1"/>
  <c r="E1538" i="1"/>
  <c r="F1533" i="1"/>
  <c r="F1534" i="1"/>
  <c r="F1535" i="1"/>
  <c r="F1536" i="1"/>
  <c r="F1537" i="1"/>
  <c r="F1532" i="1"/>
  <c r="E1537" i="1"/>
  <c r="E1536" i="1"/>
  <c r="E1535" i="1"/>
  <c r="E1533" i="1"/>
  <c r="E1532" i="1"/>
  <c r="F1527" i="1"/>
  <c r="F1528" i="1"/>
  <c r="F1529" i="1"/>
  <c r="F1530" i="1"/>
  <c r="F1531" i="1"/>
  <c r="F1526" i="1"/>
  <c r="E1531" i="1"/>
  <c r="E1530" i="1"/>
  <c r="E1529" i="1"/>
  <c r="E1527" i="1"/>
  <c r="E1526" i="1"/>
  <c r="F1521" i="1"/>
  <c r="F1522" i="1"/>
  <c r="F1523" i="1"/>
  <c r="F1524" i="1"/>
  <c r="F1525" i="1"/>
  <c r="F1520" i="1"/>
  <c r="E1524" i="1"/>
  <c r="E1523" i="1"/>
  <c r="E1520" i="1"/>
  <c r="F1515" i="1"/>
  <c r="F1516" i="1"/>
  <c r="F1517" i="1"/>
  <c r="F1518" i="1"/>
  <c r="F1519" i="1"/>
  <c r="F1514" i="1"/>
  <c r="E1518" i="1"/>
  <c r="F1508" i="1"/>
  <c r="F1509" i="1"/>
  <c r="F1510" i="1"/>
  <c r="F1511" i="1"/>
  <c r="F1513" i="1"/>
  <c r="F1512" i="1"/>
  <c r="E1512" i="1"/>
  <c r="F1503" i="1"/>
  <c r="F1504" i="1"/>
  <c r="F1505" i="1"/>
  <c r="F1506" i="1"/>
  <c r="F1507" i="1"/>
  <c r="F1502" i="1"/>
  <c r="E1507" i="1"/>
  <c r="E1506" i="1"/>
  <c r="E1505" i="1"/>
  <c r="E1502" i="1"/>
  <c r="F1497" i="1"/>
  <c r="F1498" i="1"/>
  <c r="F1499" i="1"/>
  <c r="F1500" i="1"/>
  <c r="F1501" i="1"/>
  <c r="F1496" i="1"/>
  <c r="E1501" i="1"/>
  <c r="E1500" i="1"/>
  <c r="E1499" i="1"/>
  <c r="E1496" i="1"/>
  <c r="F1491" i="1"/>
  <c r="F1492" i="1"/>
  <c r="F1493" i="1"/>
  <c r="F1494" i="1"/>
  <c r="F1495" i="1"/>
  <c r="F1490" i="1"/>
  <c r="E1494" i="1"/>
  <c r="E1491" i="1"/>
  <c r="E1490" i="1"/>
  <c r="F1485" i="1"/>
  <c r="F1486" i="1"/>
  <c r="F1487" i="1"/>
  <c r="F1488" i="1"/>
  <c r="F1489" i="1"/>
  <c r="F1484" i="1"/>
  <c r="E1488" i="1"/>
  <c r="E1484" i="1"/>
  <c r="F1479" i="1"/>
  <c r="F1480" i="1"/>
  <c r="F1481" i="1"/>
  <c r="F1482" i="1"/>
  <c r="F1483" i="1"/>
  <c r="F1478" i="1"/>
  <c r="E1482" i="1"/>
  <c r="E1478" i="1"/>
  <c r="F1473" i="1"/>
  <c r="F1474" i="1"/>
  <c r="F1475" i="1"/>
  <c r="F1476" i="1"/>
  <c r="F1477" i="1"/>
  <c r="F1472" i="1"/>
  <c r="E1475" i="1"/>
  <c r="E1472" i="1"/>
  <c r="F1466" i="1"/>
  <c r="F1467" i="1"/>
  <c r="F1468" i="1"/>
  <c r="F1469" i="1"/>
  <c r="F1471" i="1"/>
  <c r="F1470" i="1"/>
  <c r="E1470" i="1"/>
  <c r="F1461" i="1"/>
  <c r="F1462" i="1"/>
  <c r="F1463" i="1"/>
  <c r="F1464" i="1"/>
  <c r="F1465" i="1"/>
  <c r="F1460" i="1"/>
  <c r="E1465" i="1"/>
  <c r="E1464" i="1"/>
  <c r="E1460" i="1"/>
  <c r="F1455" i="1"/>
  <c r="F1456" i="1"/>
  <c r="F1457" i="1"/>
  <c r="F1458" i="1"/>
  <c r="F1459" i="1"/>
  <c r="F1454" i="1"/>
  <c r="E1458" i="1"/>
  <c r="E1454" i="1"/>
  <c r="F1449" i="1"/>
  <c r="F1450" i="1"/>
  <c r="F1451" i="1"/>
  <c r="F1452" i="1"/>
  <c r="F1453" i="1"/>
  <c r="F1448" i="1"/>
  <c r="E1452" i="1"/>
  <c r="E1451" i="1"/>
  <c r="E1450" i="1"/>
  <c r="E1448" i="1"/>
  <c r="F1443" i="1"/>
  <c r="F1444" i="1"/>
  <c r="F1445" i="1"/>
  <c r="F1446" i="1"/>
  <c r="F1447" i="1"/>
  <c r="F1442" i="1"/>
  <c r="E1447" i="1"/>
  <c r="E1446" i="1"/>
  <c r="E1445" i="1"/>
  <c r="E1444" i="1"/>
  <c r="E1443" i="1"/>
  <c r="E1442" i="1"/>
  <c r="F1437" i="1"/>
  <c r="F1438" i="1"/>
  <c r="F1439" i="1"/>
  <c r="F1440" i="1"/>
  <c r="F1441" i="1"/>
  <c r="F1436" i="1"/>
  <c r="E1440" i="1"/>
  <c r="E1439" i="1"/>
  <c r="E1436" i="1"/>
  <c r="F1431" i="1"/>
  <c r="F1432" i="1"/>
  <c r="F1433" i="1"/>
  <c r="F1434" i="1"/>
  <c r="F1435" i="1"/>
  <c r="F1430" i="1"/>
  <c r="E1434" i="1"/>
  <c r="E1433" i="1"/>
  <c r="E1430" i="1"/>
  <c r="F1419" i="1"/>
  <c r="F1420" i="1"/>
  <c r="F1421" i="1"/>
  <c r="F1422" i="1"/>
  <c r="F1423" i="1"/>
  <c r="F1418" i="1"/>
  <c r="E1423" i="1"/>
  <c r="E1422" i="1"/>
  <c r="E1418" i="1"/>
  <c r="F1413" i="1"/>
  <c r="F1414" i="1"/>
  <c r="F1415" i="1"/>
  <c r="F1416" i="1"/>
  <c r="F1417" i="1"/>
  <c r="F1412" i="1"/>
  <c r="E1417" i="1"/>
  <c r="E1416" i="1"/>
  <c r="E1415" i="1"/>
  <c r="E1412" i="1"/>
  <c r="F1407" i="1"/>
  <c r="F1408" i="1"/>
  <c r="F1409" i="1"/>
  <c r="F1410" i="1"/>
  <c r="F1411" i="1"/>
  <c r="F1406" i="1"/>
  <c r="E1410" i="1"/>
  <c r="E1406" i="1"/>
  <c r="F1401" i="1"/>
  <c r="F1402" i="1"/>
  <c r="F1403" i="1"/>
  <c r="F1404" i="1"/>
  <c r="F1405" i="1"/>
  <c r="F1400" i="1"/>
  <c r="E1404" i="1"/>
  <c r="E1400" i="1"/>
  <c r="F1395" i="1"/>
  <c r="F1396" i="1"/>
  <c r="F1397" i="1"/>
  <c r="F1398" i="1"/>
  <c r="F1399" i="1"/>
  <c r="F1394" i="1"/>
  <c r="E1398" i="1"/>
  <c r="E1394" i="1"/>
  <c r="F1389" i="1"/>
  <c r="F1390" i="1"/>
  <c r="F1391" i="1"/>
  <c r="F1392" i="1"/>
  <c r="F1393" i="1"/>
  <c r="F1388" i="1"/>
  <c r="E1392" i="1"/>
  <c r="E1391" i="1"/>
  <c r="E1388" i="1"/>
  <c r="F1382" i="1"/>
  <c r="F1383" i="1"/>
  <c r="F1384" i="1"/>
  <c r="F1385" i="1"/>
  <c r="F1387" i="1"/>
  <c r="F1386" i="1"/>
  <c r="E1386" i="1"/>
  <c r="F1377" i="1"/>
  <c r="F1378" i="1"/>
  <c r="F1379" i="1"/>
  <c r="F1380" i="1"/>
  <c r="F1381" i="1"/>
  <c r="F1376" i="1"/>
  <c r="E1381" i="1"/>
  <c r="E1380" i="1"/>
  <c r="E1379" i="1"/>
  <c r="E1378" i="1"/>
  <c r="E1376" i="1"/>
  <c r="F1371" i="1"/>
  <c r="F1372" i="1"/>
  <c r="F1373" i="1"/>
  <c r="F1374" i="1"/>
  <c r="F1375" i="1"/>
  <c r="F1370" i="1"/>
  <c r="E1374" i="1"/>
  <c r="E1373" i="1"/>
  <c r="E1372" i="1"/>
  <c r="E1370" i="1"/>
  <c r="F1365" i="1"/>
  <c r="F1366" i="1"/>
  <c r="F1367" i="1"/>
  <c r="F1368" i="1"/>
  <c r="F1369" i="1"/>
  <c r="F1364" i="1"/>
  <c r="E1369" i="1"/>
  <c r="E1368" i="1"/>
  <c r="E1367" i="1"/>
  <c r="E1366" i="1"/>
  <c r="E1365" i="1"/>
  <c r="E1364" i="1"/>
  <c r="F1359" i="1"/>
  <c r="F1360" i="1"/>
  <c r="F1361" i="1"/>
  <c r="F1362" i="1"/>
  <c r="F1363" i="1"/>
  <c r="F1358" i="1"/>
  <c r="E1363" i="1"/>
  <c r="E1362" i="1"/>
  <c r="E1361" i="1"/>
  <c r="E1360" i="1"/>
  <c r="E1358" i="1"/>
  <c r="F1353" i="1"/>
  <c r="F1354" i="1"/>
  <c r="F1355" i="1"/>
  <c r="F1356" i="1"/>
  <c r="F1357" i="1"/>
  <c r="F1352" i="1"/>
  <c r="E1356" i="1"/>
  <c r="E1355" i="1"/>
  <c r="E1352" i="1"/>
  <c r="F1347" i="1"/>
  <c r="F1348" i="1"/>
  <c r="F1349" i="1"/>
  <c r="F1350" i="1"/>
  <c r="F1351" i="1"/>
  <c r="F1346" i="1"/>
  <c r="E1350" i="1"/>
  <c r="E1346" i="1"/>
  <c r="F1340" i="1"/>
  <c r="F1341" i="1"/>
  <c r="F1342" i="1"/>
  <c r="F1343" i="1"/>
  <c r="F1345" i="1"/>
  <c r="F1344" i="1"/>
  <c r="E1344" i="1"/>
  <c r="F1335" i="1"/>
  <c r="F1336" i="1"/>
  <c r="F1337" i="1"/>
  <c r="F1338" i="1"/>
  <c r="F1339" i="1"/>
  <c r="F1334" i="1"/>
  <c r="E1339" i="1"/>
  <c r="E1338" i="1"/>
  <c r="E1337" i="1"/>
  <c r="E1334" i="1"/>
  <c r="F1329" i="1"/>
  <c r="F1330" i="1"/>
  <c r="F1331" i="1"/>
  <c r="F1332" i="1"/>
  <c r="F1333" i="1"/>
  <c r="F1328" i="1"/>
  <c r="E1333" i="1"/>
  <c r="E1332" i="1"/>
  <c r="E1331" i="1"/>
  <c r="E1328" i="1"/>
  <c r="F1323" i="1"/>
  <c r="F1324" i="1"/>
  <c r="F1325" i="1"/>
  <c r="F1326" i="1"/>
  <c r="F1327" i="1"/>
  <c r="F1322" i="1"/>
  <c r="E1326" i="1"/>
  <c r="E1325" i="1"/>
  <c r="E1322" i="1"/>
  <c r="F1317" i="1"/>
  <c r="F1318" i="1"/>
  <c r="F1319" i="1"/>
  <c r="F1320" i="1"/>
  <c r="F1321" i="1"/>
  <c r="F1316" i="1"/>
  <c r="E1321" i="1"/>
  <c r="E1320" i="1"/>
  <c r="E1319" i="1"/>
  <c r="E1316" i="1"/>
  <c r="F1311" i="1"/>
  <c r="F1312" i="1"/>
  <c r="F1313" i="1"/>
  <c r="F1314" i="1"/>
  <c r="F1315" i="1"/>
  <c r="F1310" i="1"/>
  <c r="E1314" i="1"/>
  <c r="E1313" i="1"/>
  <c r="E1311" i="1"/>
  <c r="E1310" i="1"/>
  <c r="F1305" i="1"/>
  <c r="F1306" i="1"/>
  <c r="F1307" i="1"/>
  <c r="F1308" i="1"/>
  <c r="F1309" i="1"/>
  <c r="F1304" i="1"/>
  <c r="E1308" i="1"/>
  <c r="E1304" i="1"/>
  <c r="F1298" i="1"/>
  <c r="F1299" i="1"/>
  <c r="F1300" i="1"/>
  <c r="F1301" i="1"/>
  <c r="F1303" i="1"/>
  <c r="F1302" i="1"/>
  <c r="E1302" i="1"/>
  <c r="F1293" i="1"/>
  <c r="F1294" i="1"/>
  <c r="F1295" i="1"/>
  <c r="F1296" i="1"/>
  <c r="F1297" i="1"/>
  <c r="F1292" i="1"/>
  <c r="E1297" i="1"/>
  <c r="E1296" i="1"/>
  <c r="E1295" i="1"/>
  <c r="E1292" i="1"/>
  <c r="F1287" i="1"/>
  <c r="F1288" i="1"/>
  <c r="F1289" i="1"/>
  <c r="F1290" i="1"/>
  <c r="F1291" i="1"/>
  <c r="F1286" i="1"/>
  <c r="E1291" i="1"/>
  <c r="E1290" i="1"/>
  <c r="E1289" i="1"/>
  <c r="E1286" i="1"/>
  <c r="F1281" i="1"/>
  <c r="F1282" i="1"/>
  <c r="F1283" i="1"/>
  <c r="F1284" i="1"/>
  <c r="F1285" i="1"/>
  <c r="F1280" i="1"/>
  <c r="E1280" i="1"/>
  <c r="E1284" i="1"/>
  <c r="F1275" i="1"/>
  <c r="F1276" i="1"/>
  <c r="F1277" i="1"/>
  <c r="F1278" i="1"/>
  <c r="F1279" i="1"/>
  <c r="F1274" i="1"/>
  <c r="E1278" i="1"/>
  <c r="E1274" i="1"/>
  <c r="F1269" i="1"/>
  <c r="F1270" i="1"/>
  <c r="F1271" i="1"/>
  <c r="F1272" i="1"/>
  <c r="F1273" i="1"/>
  <c r="F1268" i="1"/>
  <c r="E1272" i="1"/>
  <c r="E1271" i="1"/>
  <c r="E1270" i="1"/>
  <c r="E1268" i="1"/>
  <c r="F1263" i="1"/>
  <c r="F1264" i="1"/>
  <c r="F1265" i="1"/>
  <c r="F1266" i="1"/>
  <c r="F1267" i="1"/>
  <c r="F1262" i="1"/>
  <c r="E1266" i="1"/>
  <c r="E1265" i="1"/>
  <c r="E1264" i="1"/>
  <c r="E1262" i="1"/>
  <c r="F1256" i="1"/>
  <c r="F1257" i="1"/>
  <c r="F1258" i="1"/>
  <c r="F1259" i="1"/>
  <c r="F1261" i="1"/>
  <c r="F1260" i="1"/>
  <c r="E1260" i="1"/>
  <c r="F1251" i="1"/>
  <c r="F1252" i="1"/>
  <c r="F1253" i="1"/>
  <c r="F1254" i="1"/>
  <c r="F1255" i="1"/>
  <c r="F1250" i="1"/>
  <c r="E1255" i="1"/>
  <c r="E1254" i="1"/>
  <c r="E1253" i="1"/>
  <c r="E1250" i="1"/>
  <c r="F1245" i="1"/>
  <c r="F1246" i="1"/>
  <c r="F1247" i="1"/>
  <c r="F1248" i="1"/>
  <c r="F1249" i="1"/>
  <c r="F1244" i="1"/>
  <c r="E1249" i="1"/>
  <c r="E1248" i="1"/>
  <c r="E1247" i="1"/>
  <c r="E1246" i="1"/>
  <c r="E1244" i="1"/>
  <c r="F1239" i="1"/>
  <c r="F1240" i="1"/>
  <c r="F1241" i="1"/>
  <c r="F1242" i="1"/>
  <c r="F1243" i="1"/>
  <c r="F1238" i="1"/>
  <c r="E1243" i="1"/>
  <c r="E1242" i="1"/>
  <c r="E1241" i="1"/>
  <c r="E1240" i="1"/>
  <c r="E1238" i="1"/>
  <c r="F1233" i="1"/>
  <c r="F1234" i="1"/>
  <c r="F1235" i="1"/>
  <c r="F1236" i="1"/>
  <c r="F1237" i="1"/>
  <c r="F1232" i="1"/>
  <c r="E1236" i="1"/>
  <c r="E1235" i="1"/>
  <c r="E1234" i="1"/>
  <c r="E1232" i="1"/>
  <c r="F1227" i="1"/>
  <c r="F1228" i="1"/>
  <c r="F1229" i="1"/>
  <c r="F1230" i="1"/>
  <c r="F1231" i="1"/>
  <c r="F1226" i="1"/>
  <c r="E1230" i="1"/>
  <c r="E1229" i="1"/>
  <c r="E1228" i="1"/>
  <c r="E1226" i="1"/>
  <c r="F1221" i="1"/>
  <c r="F1222" i="1"/>
  <c r="F1223" i="1"/>
  <c r="F1224" i="1"/>
  <c r="F1225" i="1"/>
  <c r="F1220" i="1"/>
  <c r="E1222" i="1"/>
  <c r="F1214" i="1"/>
  <c r="F1215" i="1"/>
  <c r="F1216" i="1"/>
  <c r="F1217" i="1"/>
  <c r="F1219" i="1"/>
  <c r="F1218" i="1"/>
  <c r="E1218" i="1"/>
  <c r="F1209" i="1"/>
  <c r="F1210" i="1"/>
  <c r="F1211" i="1"/>
  <c r="F1212" i="1"/>
  <c r="F1213" i="1"/>
  <c r="F1208" i="1"/>
  <c r="E1213" i="1"/>
  <c r="E1212" i="1"/>
  <c r="E1208" i="1"/>
  <c r="F1203" i="1"/>
  <c r="F1204" i="1"/>
  <c r="F1205" i="1"/>
  <c r="F1206" i="1"/>
  <c r="F1207" i="1"/>
  <c r="F1202" i="1"/>
  <c r="E1207" i="1"/>
  <c r="E1206" i="1"/>
  <c r="E1202" i="1"/>
  <c r="F1197" i="1"/>
  <c r="F1198" i="1"/>
  <c r="F1199" i="1"/>
  <c r="F1200" i="1"/>
  <c r="F1201" i="1"/>
  <c r="F1196" i="1"/>
  <c r="E1200" i="1"/>
  <c r="E1199" i="1"/>
  <c r="E1196" i="1"/>
  <c r="F1191" i="1"/>
  <c r="F1192" i="1"/>
  <c r="F1193" i="1"/>
  <c r="F1194" i="1"/>
  <c r="F1195" i="1"/>
  <c r="F1190" i="1"/>
  <c r="E1195" i="1"/>
  <c r="E1194" i="1"/>
  <c r="E1193" i="1"/>
  <c r="E1190" i="1"/>
  <c r="F1189" i="1"/>
  <c r="F1185" i="1"/>
  <c r="F1186" i="1"/>
  <c r="F1187" i="1"/>
  <c r="F1188" i="1"/>
  <c r="F1184" i="1"/>
  <c r="E1188" i="1"/>
  <c r="E1187" i="1"/>
  <c r="E1185" i="1"/>
  <c r="E1184" i="1"/>
  <c r="F1179" i="1"/>
  <c r="F1180" i="1"/>
  <c r="F1181" i="1"/>
  <c r="F1182" i="1"/>
  <c r="F1183" i="1"/>
  <c r="F1178" i="1"/>
  <c r="E1182" i="1"/>
  <c r="E1181" i="1"/>
  <c r="E1178" i="1"/>
  <c r="F1718" i="1"/>
  <c r="F1719" i="1"/>
  <c r="F1720" i="1"/>
  <c r="F1721" i="1"/>
  <c r="F1723" i="1"/>
  <c r="F1722" i="1"/>
  <c r="E1722" i="1"/>
  <c r="F1713" i="1"/>
  <c r="F1714" i="1"/>
  <c r="F1715" i="1"/>
  <c r="F1716" i="1"/>
  <c r="F1717" i="1"/>
  <c r="F1712" i="1"/>
  <c r="E1717" i="1"/>
  <c r="E1716" i="1"/>
  <c r="E1715" i="1"/>
  <c r="E1713" i="1"/>
  <c r="E1712" i="1"/>
  <c r="F1707" i="1"/>
  <c r="F1708" i="1"/>
  <c r="F1709" i="1"/>
  <c r="F1710" i="1"/>
  <c r="F1711" i="1"/>
  <c r="F1706" i="1"/>
  <c r="E1711" i="1"/>
  <c r="E1710" i="1"/>
  <c r="E1709" i="1"/>
  <c r="E1707" i="1"/>
  <c r="E1706" i="1"/>
  <c r="F1701" i="1"/>
  <c r="F1702" i="1"/>
  <c r="F1703" i="1"/>
  <c r="F1704" i="1"/>
  <c r="F1705" i="1"/>
  <c r="F1700" i="1"/>
  <c r="E1705" i="1"/>
  <c r="E1704" i="1"/>
  <c r="E1703" i="1"/>
  <c r="E1701" i="1"/>
  <c r="E1700" i="1"/>
  <c r="F1695" i="1"/>
  <c r="F1696" i="1"/>
  <c r="F1697" i="1"/>
  <c r="F1698" i="1"/>
  <c r="F1699" i="1"/>
  <c r="F1694" i="1"/>
  <c r="E1699" i="1"/>
  <c r="E1698" i="1"/>
  <c r="E1697" i="1"/>
  <c r="E1696" i="1"/>
  <c r="E1695" i="1"/>
  <c r="E1694" i="1"/>
  <c r="F1689" i="1"/>
  <c r="F1690" i="1"/>
  <c r="F1691" i="1"/>
  <c r="F1692" i="1"/>
  <c r="F1693" i="1"/>
  <c r="F1688" i="1"/>
  <c r="E1692" i="1"/>
  <c r="E1691" i="1"/>
  <c r="E1689" i="1"/>
  <c r="E1688" i="1"/>
  <c r="F1683" i="1"/>
  <c r="F1684" i="1"/>
  <c r="F1685" i="1"/>
  <c r="F1686" i="1"/>
  <c r="F1687" i="1"/>
  <c r="F1682" i="1"/>
  <c r="E1686" i="1"/>
  <c r="E1682" i="1"/>
  <c r="F1172" i="1"/>
  <c r="F1173" i="1"/>
  <c r="F1174" i="1"/>
  <c r="F1175" i="1"/>
  <c r="F1177" i="1"/>
  <c r="F1176" i="1"/>
  <c r="E1176" i="1"/>
  <c r="F1167" i="1"/>
  <c r="F1168" i="1"/>
  <c r="F1169" i="1"/>
  <c r="F1170" i="1"/>
  <c r="F1171" i="1"/>
  <c r="F1166" i="1"/>
  <c r="E1171" i="1"/>
  <c r="E1170" i="1"/>
  <c r="E1169" i="1"/>
  <c r="E1167" i="1"/>
  <c r="E1166" i="1"/>
  <c r="F1161" i="1"/>
  <c r="F1162" i="1"/>
  <c r="F1163" i="1"/>
  <c r="F1164" i="1"/>
  <c r="F1165" i="1"/>
  <c r="F1160" i="1"/>
  <c r="E1165" i="1"/>
  <c r="E1164" i="1"/>
  <c r="E1163" i="1"/>
  <c r="E1162" i="1"/>
  <c r="E1161" i="1"/>
  <c r="E1160" i="1"/>
  <c r="F1155" i="1"/>
  <c r="F1156" i="1"/>
  <c r="F1157" i="1"/>
  <c r="F1158" i="1"/>
  <c r="F1159" i="1"/>
  <c r="F1154" i="1"/>
  <c r="E1159" i="1"/>
  <c r="E1158" i="1"/>
  <c r="E1157" i="1"/>
  <c r="E1156" i="1"/>
  <c r="E1155" i="1"/>
  <c r="E1154" i="1"/>
  <c r="F1149" i="1"/>
  <c r="F1150" i="1"/>
  <c r="F1151" i="1"/>
  <c r="F1152" i="1"/>
  <c r="F1153" i="1"/>
  <c r="F1148" i="1"/>
  <c r="E1153" i="1"/>
  <c r="E1152" i="1"/>
  <c r="E1151" i="1"/>
  <c r="E1150" i="1"/>
  <c r="E1149" i="1"/>
  <c r="E1148" i="1"/>
  <c r="F1143" i="1"/>
  <c r="F1144" i="1"/>
  <c r="F1145" i="1"/>
  <c r="F1146" i="1"/>
  <c r="F1147" i="1"/>
  <c r="F1142" i="1"/>
  <c r="E1146" i="1"/>
  <c r="E1145" i="1"/>
  <c r="E1144" i="1"/>
  <c r="E1143" i="1"/>
  <c r="F1137" i="1"/>
  <c r="F1138" i="1"/>
  <c r="F1139" i="1"/>
  <c r="F1140" i="1"/>
  <c r="F1141" i="1"/>
  <c r="F1136" i="1"/>
  <c r="E1140" i="1"/>
  <c r="E1139" i="1"/>
  <c r="E1138" i="1"/>
  <c r="F1130" i="1"/>
  <c r="F1131" i="1"/>
  <c r="F1132" i="1"/>
  <c r="F1133" i="1"/>
  <c r="F1135" i="1"/>
  <c r="F1134" i="1"/>
  <c r="E1134" i="1"/>
  <c r="F1125" i="1"/>
  <c r="F1126" i="1"/>
  <c r="F1127" i="1"/>
  <c r="F1128" i="1"/>
  <c r="F1129" i="1"/>
  <c r="F1124" i="1"/>
  <c r="E1129" i="1"/>
  <c r="E1128" i="1"/>
  <c r="E1127" i="1"/>
  <c r="E1124" i="1"/>
  <c r="F1119" i="1"/>
  <c r="F1120" i="1"/>
  <c r="F1121" i="1"/>
  <c r="F1122" i="1"/>
  <c r="F1123" i="1"/>
  <c r="F1118" i="1"/>
  <c r="E1123" i="1"/>
  <c r="E1122" i="1"/>
  <c r="E1121" i="1"/>
  <c r="E1119" i="1"/>
  <c r="E1118" i="1"/>
  <c r="F1113" i="1"/>
  <c r="F1114" i="1"/>
  <c r="F1115" i="1"/>
  <c r="F1116" i="1"/>
  <c r="F1117" i="1"/>
  <c r="F1112" i="1"/>
  <c r="E1117" i="1"/>
  <c r="E1116" i="1"/>
  <c r="E1115" i="1"/>
  <c r="E1114" i="1"/>
  <c r="E1113" i="1"/>
  <c r="E1112" i="1"/>
  <c r="F1107" i="1"/>
  <c r="F1108" i="1"/>
  <c r="F1109" i="1"/>
  <c r="F1110" i="1"/>
  <c r="F1111" i="1"/>
  <c r="F1106" i="1"/>
  <c r="E1111" i="1"/>
  <c r="E1110" i="1"/>
  <c r="E1109" i="1"/>
  <c r="E1108" i="1"/>
  <c r="E1106" i="1"/>
  <c r="F1101" i="1"/>
  <c r="F1102" i="1"/>
  <c r="F1103" i="1"/>
  <c r="F1104" i="1"/>
  <c r="F1105" i="1"/>
  <c r="F1100" i="1"/>
  <c r="E1104" i="1"/>
  <c r="E1103" i="1"/>
  <c r="E1102" i="1"/>
  <c r="E1101" i="1"/>
  <c r="E1100" i="1"/>
  <c r="F1095" i="1"/>
  <c r="F1096" i="1"/>
  <c r="F1097" i="1"/>
  <c r="F1098" i="1"/>
  <c r="F1099" i="1"/>
  <c r="F1094" i="1"/>
  <c r="E1098" i="1"/>
  <c r="E1097" i="1"/>
  <c r="E1096" i="1"/>
  <c r="E1094" i="1"/>
  <c r="F1088" i="1"/>
  <c r="F1089" i="1"/>
  <c r="F1090" i="1"/>
  <c r="F1091" i="1"/>
  <c r="F1093" i="1"/>
  <c r="F1092" i="1"/>
  <c r="E1092" i="1"/>
  <c r="F1083" i="1"/>
  <c r="F1084" i="1"/>
  <c r="F1085" i="1"/>
  <c r="F1086" i="1"/>
  <c r="F1087" i="1"/>
  <c r="F1082" i="1"/>
  <c r="E1087" i="1"/>
  <c r="E1086" i="1"/>
  <c r="E1085" i="1"/>
  <c r="E1082" i="1"/>
  <c r="F1077" i="1"/>
  <c r="F1078" i="1"/>
  <c r="F1079" i="1"/>
  <c r="F1080" i="1"/>
  <c r="F1081" i="1"/>
  <c r="F1076" i="1"/>
  <c r="E1080" i="1"/>
  <c r="E1079" i="1"/>
  <c r="E1078" i="1"/>
  <c r="E1076" i="1"/>
  <c r="F1071" i="1"/>
  <c r="F1072" i="1"/>
  <c r="F1073" i="1"/>
  <c r="F1074" i="1"/>
  <c r="F1075" i="1"/>
  <c r="F1070" i="1"/>
  <c r="E1074" i="1"/>
  <c r="E1073" i="1"/>
  <c r="E1070" i="1"/>
  <c r="F1065" i="1"/>
  <c r="F1066" i="1"/>
  <c r="F1067" i="1"/>
  <c r="F1068" i="1"/>
  <c r="F1069" i="1"/>
  <c r="F1064" i="1"/>
  <c r="E1068" i="1"/>
  <c r="E1067" i="1"/>
  <c r="E1064" i="1"/>
  <c r="F1059" i="1"/>
  <c r="F1060" i="1"/>
  <c r="F1061" i="1"/>
  <c r="F1062" i="1"/>
  <c r="F1063" i="1"/>
  <c r="F1058" i="1"/>
  <c r="E1062" i="1"/>
  <c r="E1059" i="1"/>
  <c r="E1058" i="1"/>
  <c r="F1053" i="1"/>
  <c r="F1054" i="1"/>
  <c r="F1055" i="1"/>
  <c r="F1056" i="1"/>
  <c r="F1057" i="1"/>
  <c r="F1052" i="1"/>
  <c r="E1056" i="1"/>
  <c r="E1052" i="1"/>
  <c r="F1046" i="1"/>
  <c r="F1047" i="1"/>
  <c r="F1048" i="1"/>
  <c r="F1049" i="1"/>
  <c r="F1051" i="1"/>
  <c r="F1050" i="1"/>
  <c r="E1050" i="1"/>
  <c r="F1041" i="1"/>
  <c r="F1042" i="1"/>
  <c r="F1043" i="1"/>
  <c r="F1044" i="1"/>
  <c r="F1045" i="1"/>
  <c r="F1040" i="1"/>
  <c r="E1044" i="1"/>
  <c r="F1035" i="1"/>
  <c r="F1036" i="1"/>
  <c r="F1037" i="1"/>
  <c r="F1038" i="1"/>
  <c r="F1039" i="1"/>
  <c r="F1034" i="1"/>
  <c r="E1038" i="1"/>
  <c r="E1034" i="1"/>
  <c r="F1029" i="1"/>
  <c r="F1030" i="1"/>
  <c r="F1031" i="1"/>
  <c r="F1032" i="1"/>
  <c r="F1033" i="1"/>
  <c r="F1028" i="1"/>
  <c r="E1032" i="1"/>
  <c r="E1028" i="1"/>
  <c r="F1023" i="1"/>
  <c r="F1024" i="1"/>
  <c r="F1025" i="1"/>
  <c r="F1026" i="1"/>
  <c r="F1027" i="1"/>
  <c r="F1022" i="1"/>
  <c r="E1026" i="1"/>
  <c r="E1023" i="1"/>
  <c r="E1022" i="1"/>
  <c r="F1017" i="1"/>
  <c r="F1018" i="1"/>
  <c r="F1019" i="1"/>
  <c r="F1020" i="1"/>
  <c r="F1021" i="1"/>
  <c r="F1016" i="1"/>
  <c r="E1020" i="1"/>
  <c r="E1019" i="1"/>
  <c r="E1016" i="1"/>
  <c r="F1011" i="1"/>
  <c r="F1012" i="1"/>
  <c r="F1013" i="1"/>
  <c r="F1014" i="1"/>
  <c r="F1015" i="1"/>
  <c r="F1010" i="1"/>
  <c r="E1014" i="1"/>
  <c r="E1010" i="1"/>
  <c r="F1004" i="1"/>
  <c r="F1005" i="1"/>
  <c r="F1006" i="1"/>
  <c r="F1007" i="1"/>
  <c r="F1009" i="1"/>
  <c r="F1008" i="1"/>
  <c r="E1008" i="1"/>
  <c r="F999" i="1"/>
  <c r="F1000" i="1"/>
  <c r="F1001" i="1"/>
  <c r="F1002" i="1"/>
  <c r="F1003" i="1"/>
  <c r="F998" i="1"/>
  <c r="E1002" i="1"/>
  <c r="F993" i="1"/>
  <c r="F994" i="1"/>
  <c r="F995" i="1"/>
  <c r="F996" i="1"/>
  <c r="F997" i="1"/>
  <c r="F992" i="1"/>
  <c r="E996" i="1"/>
  <c r="F987" i="1"/>
  <c r="F988" i="1"/>
  <c r="F989" i="1"/>
  <c r="F990" i="1"/>
  <c r="F991" i="1"/>
  <c r="F986" i="1"/>
  <c r="E986" i="1"/>
  <c r="F981" i="1"/>
  <c r="F982" i="1"/>
  <c r="F983" i="1"/>
  <c r="F984" i="1"/>
  <c r="F985" i="1"/>
  <c r="F980" i="1"/>
  <c r="E984" i="1"/>
  <c r="E980" i="1"/>
  <c r="F975" i="1"/>
  <c r="F976" i="1"/>
  <c r="F977" i="1"/>
  <c r="F978" i="1"/>
  <c r="F979" i="1"/>
  <c r="F974" i="1"/>
  <c r="E978" i="1"/>
  <c r="F969" i="1"/>
  <c r="F970" i="1"/>
  <c r="F971" i="1"/>
  <c r="F972" i="1"/>
  <c r="F973" i="1"/>
  <c r="F968" i="1"/>
  <c r="E968" i="1"/>
  <c r="F962" i="1"/>
  <c r="F963" i="1"/>
  <c r="F964" i="1"/>
  <c r="F965" i="1"/>
  <c r="F967" i="1"/>
  <c r="F966" i="1"/>
  <c r="E966" i="1"/>
  <c r="F957" i="1"/>
  <c r="F958" i="1"/>
  <c r="F959" i="1"/>
  <c r="F960" i="1"/>
  <c r="F961" i="1"/>
  <c r="F956" i="1"/>
  <c r="E960" i="1"/>
  <c r="E956" i="1"/>
  <c r="F951" i="1"/>
  <c r="F952" i="1"/>
  <c r="F953" i="1"/>
  <c r="F954" i="1"/>
  <c r="F955" i="1"/>
  <c r="F950" i="1"/>
  <c r="E954" i="1"/>
  <c r="E950" i="1"/>
  <c r="F945" i="1"/>
  <c r="F946" i="1"/>
  <c r="F947" i="1"/>
  <c r="F948" i="1"/>
  <c r="F949" i="1"/>
  <c r="F944" i="1"/>
  <c r="E948" i="1"/>
  <c r="E944" i="1"/>
  <c r="F939" i="1"/>
  <c r="F940" i="1"/>
  <c r="F941" i="1"/>
  <c r="F942" i="1"/>
  <c r="F943" i="1"/>
  <c r="F938" i="1"/>
  <c r="E942" i="1"/>
  <c r="E938" i="1"/>
  <c r="F933" i="1"/>
  <c r="F934" i="1"/>
  <c r="F935" i="1"/>
  <c r="F936" i="1"/>
  <c r="F937" i="1"/>
  <c r="F932" i="1"/>
  <c r="E936" i="1"/>
  <c r="E933" i="1"/>
  <c r="E932" i="1"/>
  <c r="F927" i="1"/>
  <c r="F928" i="1"/>
  <c r="F929" i="1"/>
  <c r="F930" i="1"/>
  <c r="F931" i="1"/>
  <c r="F926" i="1"/>
  <c r="E930" i="1"/>
  <c r="E928" i="1"/>
  <c r="E926" i="1"/>
  <c r="F920" i="1"/>
  <c r="F921" i="1"/>
  <c r="F922" i="1"/>
  <c r="F923" i="1"/>
  <c r="F925" i="1"/>
  <c r="F924" i="1"/>
  <c r="E924" i="1"/>
  <c r="E918" i="1"/>
  <c r="F909" i="1"/>
  <c r="F910" i="1"/>
  <c r="F911" i="1"/>
  <c r="F912" i="1"/>
  <c r="F913" i="1"/>
  <c r="F908" i="1"/>
  <c r="F914" i="1"/>
  <c r="E912" i="1"/>
  <c r="E914" i="1"/>
  <c r="F915" i="1"/>
  <c r="F916" i="1"/>
  <c r="F917" i="1"/>
  <c r="F918" i="1"/>
  <c r="F919" i="1"/>
  <c r="F903" i="1"/>
  <c r="F904" i="1"/>
  <c r="F905" i="1"/>
  <c r="F906" i="1"/>
  <c r="F907" i="1"/>
  <c r="F902" i="1"/>
  <c r="E906" i="1"/>
  <c r="E902" i="1"/>
  <c r="F897" i="1"/>
  <c r="F898" i="1"/>
  <c r="F899" i="1"/>
  <c r="F900" i="1"/>
  <c r="F901" i="1"/>
  <c r="F896" i="1"/>
  <c r="E900" i="1"/>
  <c r="E896" i="1"/>
  <c r="F891" i="1"/>
  <c r="F892" i="1"/>
  <c r="F893" i="1"/>
  <c r="F894" i="1"/>
  <c r="F895" i="1"/>
  <c r="F890" i="1"/>
  <c r="E894" i="1"/>
  <c r="E890" i="1"/>
  <c r="F885" i="1"/>
  <c r="F886" i="1"/>
  <c r="F887" i="1"/>
  <c r="F888" i="1"/>
  <c r="F889" i="1"/>
  <c r="F884" i="1"/>
  <c r="E888" i="1"/>
  <c r="F836" i="1"/>
  <c r="F837" i="1"/>
  <c r="F838" i="1"/>
  <c r="F839" i="1"/>
  <c r="F841" i="1"/>
  <c r="F840" i="1"/>
  <c r="E840" i="1"/>
  <c r="F831" i="1"/>
  <c r="F832" i="1"/>
  <c r="F833" i="1"/>
  <c r="F834" i="1"/>
  <c r="F835" i="1"/>
  <c r="F830" i="1"/>
  <c r="E834" i="1"/>
  <c r="E830" i="1"/>
  <c r="F825" i="1"/>
  <c r="F826" i="1"/>
  <c r="F827" i="1"/>
  <c r="F828" i="1"/>
  <c r="F829" i="1"/>
  <c r="F824" i="1"/>
  <c r="E828" i="1"/>
  <c r="E827" i="1"/>
  <c r="E824" i="1"/>
  <c r="F819" i="1"/>
  <c r="F820" i="1"/>
  <c r="F821" i="1"/>
  <c r="F822" i="1"/>
  <c r="F823" i="1"/>
  <c r="F818" i="1"/>
  <c r="E822" i="1"/>
  <c r="E818" i="1"/>
  <c r="F813" i="1"/>
  <c r="F814" i="1"/>
  <c r="F815" i="1"/>
  <c r="F816" i="1"/>
  <c r="F817" i="1"/>
  <c r="F812" i="1"/>
  <c r="F807" i="1"/>
  <c r="F808" i="1"/>
  <c r="F809" i="1"/>
  <c r="F810" i="1"/>
  <c r="F811" i="1"/>
  <c r="F806" i="1"/>
  <c r="E816" i="1"/>
  <c r="E815" i="1"/>
  <c r="E810" i="1"/>
  <c r="E809" i="1"/>
  <c r="E806" i="1"/>
  <c r="F801" i="1"/>
  <c r="F802" i="1"/>
  <c r="F803" i="1"/>
  <c r="F804" i="1"/>
  <c r="F805" i="1"/>
  <c r="F800" i="1"/>
  <c r="E804" i="1"/>
  <c r="E800" i="1"/>
  <c r="F794" i="1"/>
  <c r="F795" i="1"/>
  <c r="F796" i="1"/>
  <c r="F797" i="1"/>
  <c r="F799" i="1"/>
  <c r="F798" i="1"/>
  <c r="E798" i="1"/>
  <c r="F789" i="1"/>
  <c r="F790" i="1"/>
  <c r="F791" i="1"/>
  <c r="F792" i="1"/>
  <c r="F793" i="1"/>
  <c r="F788" i="1"/>
  <c r="E793" i="1"/>
  <c r="E792" i="1"/>
  <c r="E791" i="1"/>
  <c r="E788" i="1"/>
  <c r="F783" i="1"/>
  <c r="F784" i="1"/>
  <c r="F785" i="1"/>
  <c r="F786" i="1"/>
  <c r="F787" i="1"/>
  <c r="F782" i="1"/>
  <c r="E787" i="1"/>
  <c r="E786" i="1"/>
  <c r="E785" i="1"/>
  <c r="E782" i="1"/>
  <c r="F777" i="1"/>
  <c r="F778" i="1"/>
  <c r="F779" i="1"/>
  <c r="F780" i="1"/>
  <c r="F781" i="1"/>
  <c r="F776" i="1"/>
  <c r="E781" i="1"/>
  <c r="E780" i="1"/>
  <c r="E779" i="1"/>
  <c r="E776" i="1"/>
  <c r="F771" i="1"/>
  <c r="F772" i="1"/>
  <c r="F773" i="1"/>
  <c r="F774" i="1"/>
  <c r="F775" i="1"/>
  <c r="F770" i="1"/>
  <c r="E775" i="1"/>
  <c r="E774" i="1"/>
  <c r="F765" i="1"/>
  <c r="F766" i="1"/>
  <c r="F767" i="1"/>
  <c r="F768" i="1"/>
  <c r="F769" i="1"/>
  <c r="F764" i="1"/>
  <c r="E768" i="1"/>
  <c r="E767" i="1"/>
  <c r="E764" i="1"/>
  <c r="F759" i="1"/>
  <c r="F760" i="1"/>
  <c r="F761" i="1"/>
  <c r="F762" i="1"/>
  <c r="F763" i="1"/>
  <c r="F758" i="1"/>
  <c r="E762" i="1"/>
  <c r="E758" i="1"/>
  <c r="F747" i="1"/>
  <c r="F748" i="1"/>
  <c r="F749" i="1"/>
  <c r="F750" i="1"/>
  <c r="F751" i="1"/>
  <c r="F746" i="1"/>
  <c r="F741" i="1"/>
  <c r="F742" i="1"/>
  <c r="F743" i="1"/>
  <c r="F744" i="1"/>
  <c r="F745" i="1"/>
  <c r="F740" i="1"/>
  <c r="E742" i="1"/>
  <c r="F735" i="1"/>
  <c r="F736" i="1"/>
  <c r="F737" i="1"/>
  <c r="F738" i="1"/>
  <c r="F739" i="1"/>
  <c r="F734" i="1"/>
  <c r="E736" i="1"/>
  <c r="E734" i="1"/>
  <c r="F729" i="1"/>
  <c r="F730" i="1"/>
  <c r="F731" i="1"/>
  <c r="F732" i="1"/>
  <c r="F733" i="1"/>
  <c r="F728" i="1"/>
  <c r="E730" i="1"/>
  <c r="E728" i="1"/>
  <c r="F723" i="1"/>
  <c r="F724" i="1"/>
  <c r="F725" i="1"/>
  <c r="F726" i="1"/>
  <c r="F727" i="1"/>
  <c r="F722" i="1"/>
  <c r="E726" i="1"/>
  <c r="E724" i="1"/>
  <c r="E722" i="1"/>
  <c r="F717" i="1"/>
  <c r="F718" i="1"/>
  <c r="F719" i="1"/>
  <c r="F720" i="1"/>
  <c r="F721" i="1"/>
  <c r="F716" i="1"/>
  <c r="E716" i="1"/>
  <c r="F710" i="1"/>
  <c r="F711" i="1"/>
  <c r="F712" i="1"/>
  <c r="F713" i="1"/>
  <c r="F715" i="1"/>
  <c r="F714" i="1"/>
  <c r="E714" i="1"/>
  <c r="F705" i="1"/>
  <c r="F706" i="1"/>
  <c r="F707" i="1"/>
  <c r="F708" i="1"/>
  <c r="F709" i="1"/>
  <c r="F704" i="1"/>
  <c r="E709" i="1"/>
  <c r="E708" i="1"/>
  <c r="E707" i="1"/>
  <c r="E704" i="1"/>
  <c r="F699" i="1"/>
  <c r="F700" i="1"/>
  <c r="F701" i="1"/>
  <c r="F702" i="1"/>
  <c r="F703" i="1"/>
  <c r="F698" i="1"/>
  <c r="E703" i="1"/>
  <c r="E698" i="1"/>
  <c r="F693" i="1"/>
  <c r="F694" i="1"/>
  <c r="F695" i="1"/>
  <c r="F696" i="1"/>
  <c r="F697" i="1"/>
  <c r="F692" i="1"/>
  <c r="E696" i="1"/>
  <c r="E695" i="1"/>
  <c r="E692" i="1"/>
  <c r="F687" i="1"/>
  <c r="F688" i="1"/>
  <c r="F689" i="1"/>
  <c r="F690" i="1"/>
  <c r="F691" i="1"/>
  <c r="F686" i="1"/>
  <c r="E686" i="1"/>
  <c r="F681" i="1"/>
  <c r="F682" i="1"/>
  <c r="F683" i="1"/>
  <c r="F684" i="1"/>
  <c r="F685" i="1"/>
  <c r="F680" i="1"/>
  <c r="E684" i="1"/>
  <c r="E680" i="1"/>
  <c r="F675" i="1"/>
  <c r="F676" i="1"/>
  <c r="F677" i="1"/>
  <c r="F678" i="1"/>
  <c r="F679" i="1"/>
  <c r="F674" i="1"/>
  <c r="E678" i="1"/>
  <c r="E677" i="1"/>
  <c r="E674" i="1"/>
  <c r="F668" i="1"/>
  <c r="F669" i="1"/>
  <c r="F670" i="1"/>
  <c r="F671" i="1"/>
  <c r="F667" i="1"/>
  <c r="F673" i="1"/>
  <c r="F672" i="1"/>
  <c r="E672" i="1"/>
  <c r="F657" i="1"/>
  <c r="F658" i="1"/>
  <c r="F659" i="1"/>
  <c r="F660" i="1"/>
  <c r="F661" i="1"/>
  <c r="F656" i="1"/>
  <c r="F663" i="1"/>
  <c r="F664" i="1"/>
  <c r="F665" i="1"/>
  <c r="F666" i="1"/>
  <c r="F662" i="1"/>
  <c r="F651" i="1"/>
  <c r="F652" i="1"/>
  <c r="F653" i="1"/>
  <c r="F654" i="1"/>
  <c r="F655" i="1"/>
  <c r="F650" i="1"/>
  <c r="E654" i="1"/>
  <c r="F645" i="1"/>
  <c r="F646" i="1"/>
  <c r="F647" i="1"/>
  <c r="F648" i="1"/>
  <c r="F649" i="1"/>
  <c r="F644" i="1"/>
  <c r="E648" i="1"/>
  <c r="E644" i="1"/>
  <c r="F639" i="1"/>
  <c r="F640" i="1"/>
  <c r="F641" i="1"/>
  <c r="F642" i="1"/>
  <c r="F643" i="1"/>
  <c r="F638" i="1"/>
  <c r="F633" i="1"/>
  <c r="F634" i="1"/>
  <c r="F635" i="1"/>
  <c r="F636" i="1"/>
  <c r="F637" i="1"/>
  <c r="F632" i="1"/>
  <c r="F626" i="1"/>
  <c r="F627" i="1"/>
  <c r="F628" i="1"/>
  <c r="F629" i="1"/>
  <c r="F631" i="1"/>
  <c r="F630" i="1"/>
  <c r="E630" i="1"/>
  <c r="F621" i="1"/>
  <c r="F622" i="1"/>
  <c r="F623" i="1"/>
  <c r="F624" i="1"/>
  <c r="F625" i="1"/>
  <c r="F620" i="1"/>
  <c r="E624" i="1"/>
  <c r="E620" i="1"/>
  <c r="F615" i="1"/>
  <c r="F616" i="1"/>
  <c r="F617" i="1"/>
  <c r="F618" i="1"/>
  <c r="F619" i="1"/>
  <c r="F614" i="1"/>
  <c r="E618" i="1"/>
  <c r="E614" i="1"/>
  <c r="F609" i="1"/>
  <c r="F610" i="1"/>
  <c r="F611" i="1"/>
  <c r="F612" i="1"/>
  <c r="F613" i="1"/>
  <c r="F608" i="1"/>
  <c r="E613" i="1"/>
  <c r="E612" i="1"/>
  <c r="E611" i="1"/>
  <c r="E608" i="1"/>
  <c r="F603" i="1"/>
  <c r="F604" i="1"/>
  <c r="F605" i="1"/>
  <c r="F606" i="1"/>
  <c r="F607" i="1"/>
  <c r="F602" i="1"/>
  <c r="E606" i="1"/>
  <c r="E605" i="1"/>
  <c r="E602" i="1"/>
  <c r="F597" i="1"/>
  <c r="F598" i="1"/>
  <c r="F599" i="1"/>
  <c r="F600" i="1"/>
  <c r="F601" i="1"/>
  <c r="F596" i="1"/>
  <c r="E600" i="1"/>
  <c r="E599" i="1"/>
  <c r="E596" i="1"/>
  <c r="F591" i="1"/>
  <c r="F592" i="1"/>
  <c r="F593" i="1"/>
  <c r="F594" i="1"/>
  <c r="F595" i="1"/>
  <c r="F590" i="1"/>
  <c r="E594" i="1"/>
  <c r="E590" i="1"/>
  <c r="F584" i="1"/>
  <c r="F585" i="1"/>
  <c r="F586" i="1"/>
  <c r="F587" i="1"/>
  <c r="F589" i="1"/>
  <c r="F588" i="1"/>
  <c r="E588" i="1"/>
  <c r="F579" i="1"/>
  <c r="F580" i="1"/>
  <c r="F581" i="1"/>
  <c r="F582" i="1"/>
  <c r="F583" i="1"/>
  <c r="F578" i="1"/>
  <c r="E582" i="1"/>
  <c r="E578" i="1"/>
  <c r="F573" i="1"/>
  <c r="F574" i="1"/>
  <c r="F575" i="1"/>
  <c r="F576" i="1"/>
  <c r="F577" i="1"/>
  <c r="F572" i="1"/>
  <c r="E577" i="1"/>
  <c r="E576" i="1"/>
  <c r="E575" i="1"/>
  <c r="E572" i="1"/>
  <c r="F567" i="1"/>
  <c r="F568" i="1"/>
  <c r="F569" i="1"/>
  <c r="F570" i="1"/>
  <c r="F571" i="1"/>
  <c r="F566" i="1"/>
  <c r="E570" i="1"/>
  <c r="E566" i="1"/>
  <c r="F561" i="1"/>
  <c r="F562" i="1"/>
  <c r="F563" i="1"/>
  <c r="F564" i="1"/>
  <c r="F565" i="1"/>
  <c r="F560" i="1"/>
  <c r="E564" i="1"/>
  <c r="E563" i="1"/>
  <c r="E562" i="1"/>
  <c r="E560" i="1"/>
  <c r="F555" i="1"/>
  <c r="F556" i="1"/>
  <c r="F557" i="1"/>
  <c r="F558" i="1"/>
  <c r="F559" i="1"/>
  <c r="F554" i="1"/>
  <c r="E558" i="1"/>
  <c r="E557" i="1"/>
  <c r="E555" i="1"/>
  <c r="E554" i="1"/>
  <c r="F549" i="1"/>
  <c r="F550" i="1"/>
  <c r="F551" i="1"/>
  <c r="F552" i="1"/>
  <c r="F553" i="1"/>
  <c r="F548" i="1"/>
  <c r="E552" i="1"/>
  <c r="E551" i="1"/>
  <c r="E548" i="1"/>
  <c r="F542" i="1"/>
  <c r="F543" i="1"/>
  <c r="F544" i="1"/>
  <c r="F545" i="1"/>
  <c r="F547" i="1"/>
  <c r="F546" i="1"/>
  <c r="E546" i="1"/>
  <c r="F537" i="1"/>
  <c r="F538" i="1"/>
  <c r="F539" i="1"/>
  <c r="F540" i="1"/>
  <c r="F541" i="1"/>
  <c r="F536" i="1"/>
  <c r="E540" i="1"/>
  <c r="E536" i="1"/>
  <c r="F531" i="1"/>
  <c r="F532" i="1"/>
  <c r="F533" i="1"/>
  <c r="F534" i="1"/>
  <c r="F535" i="1"/>
  <c r="F530" i="1"/>
  <c r="E534" i="1"/>
  <c r="E530" i="1"/>
  <c r="F525" i="1"/>
  <c r="F526" i="1"/>
  <c r="F527" i="1"/>
  <c r="F528" i="1"/>
  <c r="F529" i="1"/>
  <c r="F524" i="1"/>
  <c r="E528" i="1"/>
  <c r="E524" i="1"/>
  <c r="F519" i="1"/>
  <c r="F520" i="1"/>
  <c r="F521" i="1"/>
  <c r="F522" i="1"/>
  <c r="F523" i="1"/>
  <c r="F518" i="1"/>
  <c r="E522" i="1"/>
  <c r="E520" i="1"/>
  <c r="E518" i="1"/>
  <c r="F513" i="1"/>
  <c r="F514" i="1"/>
  <c r="F515" i="1"/>
  <c r="F516" i="1"/>
  <c r="F517" i="1"/>
  <c r="F512" i="1"/>
  <c r="E516" i="1"/>
  <c r="E512" i="1"/>
  <c r="F507" i="1"/>
  <c r="F508" i="1"/>
  <c r="F509" i="1"/>
  <c r="F510" i="1"/>
  <c r="F511" i="1"/>
  <c r="F506" i="1"/>
  <c r="E510" i="1"/>
  <c r="E506" i="1"/>
  <c r="F500" i="1"/>
  <c r="F501" i="1"/>
  <c r="F502" i="1"/>
  <c r="F503" i="1"/>
  <c r="F505" i="1"/>
  <c r="F504" i="1"/>
  <c r="E504" i="1"/>
  <c r="F495" i="1"/>
  <c r="F496" i="1"/>
  <c r="F497" i="1"/>
  <c r="F498" i="1"/>
  <c r="F499" i="1"/>
  <c r="F494" i="1"/>
  <c r="E498" i="1"/>
  <c r="E497" i="1"/>
  <c r="E494" i="1"/>
  <c r="F489" i="1"/>
  <c r="F490" i="1"/>
  <c r="F491" i="1"/>
  <c r="F492" i="1"/>
  <c r="F493" i="1"/>
  <c r="F488" i="1"/>
  <c r="E492" i="1"/>
  <c r="E491" i="1"/>
  <c r="E489" i="1"/>
  <c r="E488" i="1"/>
  <c r="F483" i="1"/>
  <c r="F484" i="1"/>
  <c r="F485" i="1"/>
  <c r="F486" i="1"/>
  <c r="F487" i="1"/>
  <c r="F482" i="1"/>
  <c r="E486" i="1"/>
  <c r="E482" i="1"/>
  <c r="F477" i="1"/>
  <c r="F478" i="1"/>
  <c r="F479" i="1"/>
  <c r="F480" i="1"/>
  <c r="F481" i="1"/>
  <c r="F476" i="1"/>
  <c r="E480" i="1"/>
  <c r="E476" i="1"/>
  <c r="F471" i="1"/>
  <c r="F472" i="1"/>
  <c r="F473" i="1"/>
  <c r="F474" i="1"/>
  <c r="F475" i="1"/>
  <c r="F470" i="1"/>
  <c r="E474" i="1"/>
  <c r="E470" i="1"/>
  <c r="F465" i="1"/>
  <c r="F466" i="1"/>
  <c r="F467" i="1"/>
  <c r="F468" i="1"/>
  <c r="F469" i="1"/>
  <c r="F464" i="1"/>
  <c r="E468" i="1"/>
  <c r="E466" i="1"/>
  <c r="E464" i="1"/>
  <c r="F458" i="1"/>
  <c r="F459" i="1"/>
  <c r="F460" i="1"/>
  <c r="F461" i="1"/>
  <c r="F463" i="1"/>
  <c r="F462" i="1"/>
  <c r="E462" i="1"/>
  <c r="F453" i="1"/>
  <c r="F454" i="1"/>
  <c r="F455" i="1"/>
  <c r="F456" i="1"/>
  <c r="F457" i="1"/>
  <c r="F452" i="1"/>
  <c r="E456" i="1"/>
  <c r="E455" i="1"/>
  <c r="E454" i="1"/>
  <c r="E452" i="1"/>
  <c r="F447" i="1"/>
  <c r="F448" i="1"/>
  <c r="F449" i="1"/>
  <c r="F450" i="1"/>
  <c r="F451" i="1"/>
  <c r="F446" i="1"/>
  <c r="E450" i="1"/>
  <c r="E449" i="1"/>
  <c r="E448" i="1"/>
  <c r="E446" i="1"/>
  <c r="F441" i="1"/>
  <c r="F442" i="1"/>
  <c r="F443" i="1"/>
  <c r="F444" i="1"/>
  <c r="F445" i="1"/>
  <c r="F440" i="1"/>
  <c r="E444" i="1"/>
  <c r="E440" i="1"/>
  <c r="F435" i="1"/>
  <c r="F436" i="1"/>
  <c r="F437" i="1"/>
  <c r="F438" i="1"/>
  <c r="F439" i="1"/>
  <c r="F434" i="1"/>
  <c r="E439" i="1"/>
  <c r="E438" i="1"/>
  <c r="F429" i="1"/>
  <c r="F430" i="1"/>
  <c r="F431" i="1"/>
  <c r="F432" i="1"/>
  <c r="F433" i="1"/>
  <c r="F428" i="1"/>
  <c r="E432" i="1"/>
  <c r="E431" i="1"/>
  <c r="E428" i="1"/>
  <c r="F423" i="1"/>
  <c r="F424" i="1"/>
  <c r="F425" i="1"/>
  <c r="F426" i="1"/>
  <c r="F427" i="1"/>
  <c r="F422" i="1"/>
  <c r="E426" i="1"/>
  <c r="E422" i="1"/>
  <c r="F416" i="1"/>
  <c r="F417" i="1"/>
  <c r="F418" i="1"/>
  <c r="F419" i="1"/>
  <c r="F421" i="1"/>
  <c r="F420" i="1"/>
  <c r="E420" i="1"/>
  <c r="F411" i="1"/>
  <c r="F412" i="1"/>
  <c r="F413" i="1"/>
  <c r="F414" i="1"/>
  <c r="F415" i="1"/>
  <c r="F410" i="1"/>
  <c r="E414" i="1"/>
  <c r="E413" i="1"/>
  <c r="E410" i="1"/>
  <c r="F405" i="1"/>
  <c r="F406" i="1"/>
  <c r="F407" i="1"/>
  <c r="F408" i="1"/>
  <c r="F409" i="1"/>
  <c r="F404" i="1"/>
  <c r="E409" i="1"/>
  <c r="E408" i="1"/>
  <c r="E404" i="1"/>
  <c r="F399" i="1"/>
  <c r="F400" i="1"/>
  <c r="F401" i="1"/>
  <c r="F402" i="1"/>
  <c r="F403" i="1"/>
  <c r="F398" i="1"/>
  <c r="E402" i="1"/>
  <c r="E398" i="1"/>
  <c r="F393" i="1"/>
  <c r="F394" i="1"/>
  <c r="F395" i="1"/>
  <c r="F396" i="1"/>
  <c r="F397" i="1"/>
  <c r="F392" i="1"/>
  <c r="E397" i="1"/>
  <c r="E392" i="1"/>
  <c r="F387" i="1"/>
  <c r="F388" i="1"/>
  <c r="F389" i="1"/>
  <c r="F390" i="1"/>
  <c r="F391" i="1"/>
  <c r="F386" i="1"/>
  <c r="E390" i="1"/>
  <c r="E386" i="1"/>
  <c r="F381" i="1"/>
  <c r="F382" i="1"/>
  <c r="F383" i="1"/>
  <c r="F384" i="1"/>
  <c r="F385" i="1"/>
  <c r="F380" i="1"/>
  <c r="E384" i="1"/>
  <c r="E380" i="1"/>
  <c r="F369" i="1"/>
  <c r="F370" i="1"/>
  <c r="F371" i="1"/>
  <c r="F372" i="1"/>
  <c r="F373" i="1"/>
  <c r="F368" i="1"/>
  <c r="E372" i="1"/>
  <c r="E370" i="1"/>
  <c r="E368" i="1"/>
  <c r="F374" i="1"/>
  <c r="F375" i="1"/>
  <c r="F376" i="1"/>
  <c r="F377" i="1"/>
  <c r="F379" i="1"/>
  <c r="F378" i="1"/>
  <c r="E378" i="1"/>
  <c r="F363" i="1"/>
  <c r="F364" i="1"/>
  <c r="F365" i="1"/>
  <c r="F366" i="1"/>
  <c r="F367" i="1"/>
  <c r="F362" i="1"/>
  <c r="E366" i="1"/>
  <c r="E365" i="1"/>
  <c r="E362" i="1"/>
  <c r="F357" i="1"/>
  <c r="F358" i="1"/>
  <c r="F359" i="1"/>
  <c r="F360" i="1"/>
  <c r="F361" i="1"/>
  <c r="F356" i="1"/>
  <c r="E361" i="1"/>
  <c r="E360" i="1"/>
  <c r="E358" i="1"/>
  <c r="E356" i="1"/>
  <c r="F351" i="1"/>
  <c r="F352" i="1"/>
  <c r="F353" i="1"/>
  <c r="F354" i="1"/>
  <c r="F355" i="1"/>
  <c r="F350" i="1"/>
  <c r="E354" i="1"/>
  <c r="E350" i="1"/>
  <c r="F345" i="1"/>
  <c r="F346" i="1"/>
  <c r="F347" i="1"/>
  <c r="F348" i="1"/>
  <c r="F349" i="1"/>
  <c r="F344" i="1"/>
  <c r="E345" i="1"/>
  <c r="E344" i="1"/>
  <c r="F339" i="1"/>
  <c r="F340" i="1"/>
  <c r="F341" i="1"/>
  <c r="F342" i="1"/>
  <c r="F343" i="1"/>
  <c r="F338" i="1"/>
  <c r="E342" i="1"/>
  <c r="E338" i="1"/>
  <c r="F332" i="1"/>
  <c r="F333" i="1"/>
  <c r="F334" i="1"/>
  <c r="F335" i="1"/>
  <c r="F337" i="1"/>
  <c r="F336" i="1"/>
  <c r="E336" i="1"/>
  <c r="F327" i="1"/>
  <c r="F328" i="1"/>
  <c r="F329" i="1"/>
  <c r="F330" i="1"/>
  <c r="F331" i="1"/>
  <c r="F326" i="1"/>
  <c r="E331" i="1"/>
  <c r="E330" i="1"/>
  <c r="E329" i="1"/>
  <c r="E328" i="1"/>
  <c r="E326" i="1"/>
  <c r="F321" i="1"/>
  <c r="F322" i="1"/>
  <c r="F323" i="1"/>
  <c r="F324" i="1"/>
  <c r="F325" i="1"/>
  <c r="F320" i="1"/>
  <c r="E325" i="1"/>
  <c r="E324" i="1"/>
  <c r="E323" i="1"/>
  <c r="E322" i="1"/>
  <c r="E320" i="1"/>
  <c r="F315" i="1"/>
  <c r="F316" i="1"/>
  <c r="F317" i="1"/>
  <c r="F318" i="1"/>
  <c r="F319" i="1"/>
  <c r="F314" i="1"/>
  <c r="E319" i="1"/>
  <c r="E318" i="1"/>
  <c r="E316" i="1"/>
  <c r="E315" i="1"/>
  <c r="E314" i="1"/>
  <c r="F309" i="1"/>
  <c r="F310" i="1"/>
  <c r="F311" i="1"/>
  <c r="F312" i="1"/>
  <c r="F313" i="1"/>
  <c r="F308" i="1"/>
  <c r="E313" i="1"/>
  <c r="E312" i="1"/>
  <c r="E310" i="1"/>
  <c r="E309" i="1"/>
  <c r="E308" i="1"/>
  <c r="F303" i="1"/>
  <c r="F304" i="1"/>
  <c r="F305" i="1"/>
  <c r="F306" i="1"/>
  <c r="F307" i="1"/>
  <c r="F302" i="1"/>
  <c r="E306" i="1"/>
  <c r="E305" i="1"/>
  <c r="E304" i="1"/>
  <c r="E303" i="1"/>
  <c r="E302" i="1"/>
  <c r="F297" i="1"/>
  <c r="F298" i="1"/>
  <c r="F299" i="1"/>
  <c r="F300" i="1"/>
  <c r="F301" i="1"/>
  <c r="F296" i="1"/>
  <c r="E300" i="1"/>
  <c r="E296" i="1"/>
  <c r="F290" i="1"/>
  <c r="F291" i="1"/>
  <c r="F292" i="1"/>
  <c r="F293" i="1"/>
  <c r="F295" i="1"/>
  <c r="F294" i="1"/>
  <c r="E294" i="1"/>
  <c r="F285" i="1"/>
  <c r="F286" i="1"/>
  <c r="F287" i="1"/>
  <c r="F288" i="1"/>
  <c r="F289" i="1"/>
  <c r="F284" i="1"/>
  <c r="E288" i="1"/>
  <c r="E287" i="1"/>
  <c r="E284" i="1"/>
  <c r="F279" i="1"/>
  <c r="F280" i="1"/>
  <c r="F281" i="1"/>
  <c r="F282" i="1"/>
  <c r="F283" i="1"/>
  <c r="F278" i="1"/>
  <c r="E283" i="1"/>
  <c r="E282" i="1"/>
  <c r="E281" i="1"/>
  <c r="E280" i="1"/>
  <c r="E279" i="1"/>
  <c r="E278" i="1"/>
  <c r="F273" i="1"/>
  <c r="F274" i="1"/>
  <c r="F275" i="1"/>
  <c r="F276" i="1"/>
  <c r="F277" i="1"/>
  <c r="F272" i="1"/>
  <c r="E276" i="1"/>
  <c r="E274" i="1"/>
  <c r="E273" i="1"/>
  <c r="E272" i="1"/>
  <c r="F267" i="1"/>
  <c r="F268" i="1"/>
  <c r="F269" i="1"/>
  <c r="F270" i="1"/>
  <c r="F271" i="1"/>
  <c r="F266" i="1"/>
  <c r="E270" i="1"/>
  <c r="E269" i="1"/>
  <c r="E267" i="1"/>
  <c r="E266" i="1"/>
  <c r="F261" i="1"/>
  <c r="F262" i="1"/>
  <c r="F263" i="1"/>
  <c r="F264" i="1"/>
  <c r="F265" i="1"/>
  <c r="F260" i="1"/>
  <c r="E264" i="1"/>
  <c r="E263" i="1"/>
  <c r="E262" i="1"/>
  <c r="E260" i="1"/>
  <c r="F255" i="1"/>
  <c r="F256" i="1"/>
  <c r="F257" i="1"/>
  <c r="F258" i="1"/>
  <c r="F259" i="1"/>
  <c r="F254" i="1"/>
  <c r="E258" i="1"/>
  <c r="E254" i="1"/>
  <c r="F248" i="1"/>
  <c r="F249" i="1"/>
  <c r="F250" i="1"/>
  <c r="F251" i="1"/>
  <c r="F253" i="1"/>
  <c r="F252" i="1"/>
  <c r="E252" i="1"/>
  <c r="F243" i="1"/>
  <c r="F244" i="1"/>
  <c r="F245" i="1"/>
  <c r="F246" i="1"/>
  <c r="F247" i="1"/>
  <c r="F242" i="1"/>
  <c r="E247" i="1"/>
  <c r="E246" i="1"/>
  <c r="E245" i="1"/>
  <c r="E244" i="1"/>
  <c r="E243" i="1"/>
  <c r="E242" i="1"/>
  <c r="F237" i="1"/>
  <c r="F238" i="1"/>
  <c r="F239" i="1"/>
  <c r="F240" i="1"/>
  <c r="F241" i="1"/>
  <c r="F236" i="1"/>
  <c r="E241" i="1"/>
  <c r="E240" i="1"/>
  <c r="E239" i="1"/>
  <c r="E238" i="1"/>
  <c r="E237" i="1"/>
  <c r="E236" i="1"/>
  <c r="F231" i="1"/>
  <c r="F232" i="1"/>
  <c r="F233" i="1"/>
  <c r="F234" i="1"/>
  <c r="F235" i="1"/>
  <c r="F230" i="1"/>
  <c r="E235" i="1"/>
  <c r="E234" i="1"/>
  <c r="E233" i="1"/>
  <c r="E231" i="1"/>
  <c r="E230" i="1"/>
  <c r="F225" i="1"/>
  <c r="F226" i="1"/>
  <c r="F227" i="1"/>
  <c r="F228" i="1"/>
  <c r="F229" i="1"/>
  <c r="F224" i="1"/>
  <c r="E229" i="1"/>
  <c r="E228" i="1"/>
  <c r="E227" i="1"/>
  <c r="E226" i="1"/>
  <c r="E225" i="1"/>
  <c r="E224" i="1"/>
  <c r="F219" i="1"/>
  <c r="F220" i="1"/>
  <c r="F221" i="1"/>
  <c r="F222" i="1"/>
  <c r="F223" i="1"/>
  <c r="F218" i="1"/>
  <c r="E222" i="1"/>
  <c r="E221" i="1"/>
  <c r="E220" i="1"/>
  <c r="E219" i="1"/>
  <c r="E218" i="1"/>
  <c r="F213" i="1"/>
  <c r="F214" i="1"/>
  <c r="F215" i="1"/>
  <c r="F216" i="1"/>
  <c r="F217" i="1"/>
  <c r="F212" i="1"/>
  <c r="E216" i="1"/>
  <c r="E215" i="1"/>
  <c r="E214" i="1"/>
  <c r="E212" i="1"/>
  <c r="F206" i="1"/>
  <c r="F207" i="1"/>
  <c r="F208" i="1"/>
  <c r="F209" i="1"/>
  <c r="F211" i="1"/>
  <c r="F210" i="1"/>
  <c r="E210" i="1"/>
  <c r="F201" i="1"/>
  <c r="F202" i="1"/>
  <c r="F203" i="1"/>
  <c r="F204" i="1"/>
  <c r="F205" i="1"/>
  <c r="F200" i="1"/>
  <c r="E205" i="1"/>
  <c r="E204" i="1"/>
  <c r="E203" i="1"/>
  <c r="E202" i="1"/>
  <c r="E200" i="1"/>
  <c r="F195" i="1"/>
  <c r="F196" i="1"/>
  <c r="F197" i="1"/>
  <c r="F198" i="1"/>
  <c r="F199" i="1"/>
  <c r="F194" i="1"/>
  <c r="E199" i="1"/>
  <c r="E198" i="1"/>
  <c r="E197" i="1"/>
  <c r="E196" i="1"/>
  <c r="E194" i="1"/>
  <c r="F189" i="1"/>
  <c r="F190" i="1"/>
  <c r="F191" i="1"/>
  <c r="F192" i="1"/>
  <c r="F193" i="1"/>
  <c r="F188" i="1"/>
  <c r="E193" i="1"/>
  <c r="E192" i="1"/>
  <c r="E191" i="1"/>
  <c r="E188" i="1"/>
  <c r="F183" i="1"/>
  <c r="F184" i="1"/>
  <c r="F185" i="1"/>
  <c r="F186" i="1"/>
  <c r="F187" i="1"/>
  <c r="F182" i="1"/>
  <c r="E187" i="1"/>
  <c r="E186" i="1"/>
  <c r="E185" i="1"/>
  <c r="E182" i="1"/>
  <c r="F177" i="1"/>
  <c r="F178" i="1"/>
  <c r="F179" i="1"/>
  <c r="F180" i="1"/>
  <c r="F181" i="1"/>
  <c r="F176" i="1"/>
  <c r="E180" i="1"/>
  <c r="E179" i="1"/>
  <c r="E176" i="1"/>
  <c r="F171" i="1"/>
  <c r="F172" i="1"/>
  <c r="F173" i="1"/>
  <c r="F174" i="1"/>
  <c r="F175" i="1"/>
  <c r="F170" i="1"/>
  <c r="E174" i="1"/>
  <c r="E172" i="1"/>
  <c r="E170" i="1"/>
  <c r="F159" i="1"/>
  <c r="F160" i="1"/>
  <c r="F161" i="1"/>
  <c r="F162" i="1"/>
  <c r="F163" i="1"/>
  <c r="F158" i="1"/>
  <c r="E162" i="1"/>
  <c r="F153" i="1"/>
  <c r="F154" i="1"/>
  <c r="F155" i="1"/>
  <c r="F156" i="1"/>
  <c r="F157" i="1"/>
  <c r="F152" i="1"/>
  <c r="F147" i="1"/>
  <c r="F148" i="1"/>
  <c r="F149" i="1"/>
  <c r="F150" i="1"/>
  <c r="F151" i="1"/>
  <c r="F146" i="1"/>
  <c r="F141" i="1"/>
  <c r="F142" i="1"/>
  <c r="F143" i="1"/>
  <c r="F144" i="1"/>
  <c r="F145" i="1"/>
  <c r="F140" i="1"/>
  <c r="E144" i="1"/>
  <c r="F135" i="1"/>
  <c r="F136" i="1"/>
  <c r="F137" i="1"/>
  <c r="F138" i="1"/>
  <c r="F139" i="1"/>
  <c r="F134" i="1"/>
  <c r="F129" i="1"/>
  <c r="F130" i="1"/>
  <c r="F131" i="1"/>
  <c r="F132" i="1"/>
  <c r="F133" i="1"/>
  <c r="F128" i="1"/>
  <c r="E132" i="1"/>
  <c r="F117" i="1"/>
  <c r="F118" i="1"/>
  <c r="F119" i="1"/>
  <c r="F120" i="1"/>
  <c r="F121" i="1"/>
  <c r="F116" i="1"/>
  <c r="E120" i="1"/>
  <c r="E116" i="1"/>
  <c r="F111" i="1"/>
  <c r="F112" i="1"/>
  <c r="F113" i="1"/>
  <c r="F114" i="1"/>
  <c r="F115" i="1"/>
  <c r="F110" i="1"/>
  <c r="E110" i="1"/>
  <c r="F105" i="1"/>
  <c r="F106" i="1"/>
  <c r="F107" i="1"/>
  <c r="F108" i="1"/>
  <c r="F109" i="1"/>
  <c r="F104" i="1"/>
  <c r="E104" i="1"/>
  <c r="F99" i="1"/>
  <c r="F100" i="1"/>
  <c r="F101" i="1"/>
  <c r="F102" i="1"/>
  <c r="F103" i="1"/>
  <c r="F98" i="1"/>
  <c r="E101" i="1"/>
  <c r="F93" i="1"/>
  <c r="F94" i="1"/>
  <c r="F95" i="1"/>
  <c r="F96" i="1"/>
  <c r="F97" i="1"/>
  <c r="F92" i="1"/>
  <c r="E96" i="1"/>
  <c r="E95" i="1"/>
  <c r="E92" i="1"/>
  <c r="F87" i="1"/>
  <c r="F88" i="1"/>
  <c r="F89" i="1"/>
  <c r="F90" i="1"/>
  <c r="F91" i="1"/>
  <c r="F86" i="1"/>
  <c r="E89" i="1"/>
  <c r="F80" i="1"/>
  <c r="F81" i="1"/>
  <c r="F82" i="1"/>
  <c r="F83" i="1"/>
  <c r="F85" i="1"/>
  <c r="F84" i="1"/>
  <c r="E84" i="1"/>
  <c r="F75" i="1"/>
  <c r="F76" i="1"/>
  <c r="F77" i="1"/>
  <c r="F78" i="1"/>
  <c r="F79" i="1"/>
  <c r="F74" i="1"/>
  <c r="E79" i="1"/>
  <c r="E78" i="1"/>
  <c r="E77" i="1"/>
  <c r="E75" i="1"/>
  <c r="E74" i="1"/>
  <c r="F69" i="1"/>
  <c r="F70" i="1"/>
  <c r="F71" i="1"/>
  <c r="F72" i="1"/>
  <c r="F73" i="1"/>
  <c r="F68" i="1"/>
  <c r="E73" i="1"/>
  <c r="E72" i="1"/>
  <c r="E71" i="1"/>
  <c r="E70" i="1"/>
  <c r="E69" i="1"/>
  <c r="E68" i="1"/>
  <c r="F63" i="1"/>
  <c r="F64" i="1"/>
  <c r="F65" i="1"/>
  <c r="F66" i="1"/>
  <c r="F67" i="1"/>
  <c r="F62" i="1"/>
  <c r="E67" i="1"/>
  <c r="E66" i="1"/>
  <c r="E64" i="1"/>
  <c r="E63" i="1"/>
  <c r="E62" i="1"/>
  <c r="F57" i="1"/>
  <c r="F58" i="1"/>
  <c r="F59" i="1"/>
  <c r="F60" i="1"/>
  <c r="F61" i="1"/>
  <c r="F56" i="1"/>
  <c r="E61" i="1"/>
  <c r="E60" i="1"/>
  <c r="E58" i="1"/>
  <c r="E57" i="1"/>
  <c r="E56" i="1"/>
  <c r="F51" i="1"/>
  <c r="F52" i="1"/>
  <c r="F53" i="1"/>
  <c r="F54" i="1"/>
  <c r="F55" i="1"/>
  <c r="F50" i="1"/>
  <c r="E54" i="1"/>
  <c r="E52" i="1"/>
  <c r="E51" i="1"/>
  <c r="E50" i="1"/>
  <c r="F45" i="1"/>
  <c r="F46" i="1"/>
  <c r="F47" i="1"/>
  <c r="F48" i="1"/>
  <c r="F49" i="1"/>
  <c r="F44" i="1"/>
  <c r="E48" i="1"/>
  <c r="E47" i="1"/>
  <c r="E46" i="1"/>
  <c r="E44" i="1"/>
  <c r="F37" i="1"/>
  <c r="F36" i="1"/>
  <c r="F35" i="1"/>
  <c r="F34" i="1"/>
  <c r="F33" i="1"/>
  <c r="F32" i="1"/>
  <c r="F31" i="1"/>
  <c r="F30" i="1"/>
  <c r="F29" i="1"/>
  <c r="F28" i="1"/>
  <c r="F27" i="1"/>
  <c r="F26" i="1"/>
  <c r="E36" i="1"/>
  <c r="E35" i="1"/>
  <c r="E34" i="1"/>
  <c r="E33" i="1"/>
  <c r="E32" i="1"/>
  <c r="E37" i="1"/>
  <c r="E31" i="1"/>
  <c r="E30" i="1"/>
  <c r="E29" i="1"/>
  <c r="E28" i="1"/>
  <c r="E27" i="1"/>
  <c r="E26" i="1"/>
  <c r="F21" i="1"/>
  <c r="F22" i="1"/>
  <c r="F23" i="1"/>
  <c r="F24" i="1"/>
  <c r="F25" i="1"/>
  <c r="F20" i="1"/>
  <c r="E25" i="1"/>
  <c r="E24" i="1"/>
  <c r="E23" i="1"/>
  <c r="E22" i="1"/>
  <c r="E21" i="1"/>
  <c r="E20" i="1"/>
  <c r="F15" i="1"/>
  <c r="F16" i="1"/>
  <c r="F17" i="1"/>
  <c r="F18" i="1"/>
  <c r="F19" i="1"/>
  <c r="F14" i="1"/>
  <c r="E19" i="1"/>
  <c r="E18" i="1"/>
  <c r="E17" i="1"/>
  <c r="E16" i="1"/>
  <c r="E15" i="1"/>
  <c r="E14" i="1"/>
  <c r="F10" i="1"/>
  <c r="F11" i="1"/>
  <c r="F12" i="1"/>
  <c r="F13" i="1"/>
  <c r="F8" i="1"/>
  <c r="F3" i="1"/>
  <c r="F4" i="1"/>
  <c r="F5" i="1"/>
  <c r="F6" i="1"/>
  <c r="F7" i="1"/>
  <c r="F2" i="1"/>
  <c r="E12" i="1"/>
  <c r="E11" i="1"/>
  <c r="E10" i="1"/>
  <c r="E9" i="1"/>
  <c r="E8" i="1"/>
  <c r="E6" i="1"/>
  <c r="E5" i="1"/>
  <c r="E4" i="1"/>
  <c r="E2" i="1"/>
</calcChain>
</file>

<file path=xl/sharedStrings.xml><?xml version="1.0" encoding="utf-8"?>
<sst xmlns="http://schemas.openxmlformats.org/spreadsheetml/2006/main" count="7106" uniqueCount="30">
  <si>
    <t>Month</t>
  </si>
  <si>
    <t>Grade</t>
  </si>
  <si>
    <t>Region</t>
  </si>
  <si>
    <t>Is_Active_Region</t>
  </si>
  <si>
    <t>National_Price</t>
  </si>
  <si>
    <t>Temperature</t>
  </si>
  <si>
    <t>Rainfall</t>
  </si>
  <si>
    <t>Exchange_Rate</t>
  </si>
  <si>
    <t>Inflation_Rate</t>
  </si>
  <si>
    <t>Fuel_Price</t>
  </si>
  <si>
    <t>ratnapura</t>
  </si>
  <si>
    <t>colombo</t>
  </si>
  <si>
    <t>kalutara</t>
  </si>
  <si>
    <t>galle</t>
  </si>
  <si>
    <t>matara</t>
  </si>
  <si>
    <t>hambantota</t>
  </si>
  <si>
    <t>alba</t>
  </si>
  <si>
    <t>c5sp</t>
  </si>
  <si>
    <t>c5</t>
  </si>
  <si>
    <t>c4</t>
  </si>
  <si>
    <t>h1</t>
  </si>
  <si>
    <t>h2</t>
  </si>
  <si>
    <t>h_faq</t>
  </si>
  <si>
    <t>Local_Export_Volume</t>
  </si>
  <si>
    <t>Global_Production_Volume</t>
  </si>
  <si>
    <t>Local_Production_Volume</t>
  </si>
  <si>
    <t>Regional_Price</t>
  </si>
  <si>
    <t>NaN</t>
  </si>
  <si>
    <t>Seasonal_Impact</t>
  </si>
  <si>
    <t>Global_Consumption_Volume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</si>
</sst>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yyyy\-mm\-dd;@"/>
    <numFmt numFmtId="166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9AB6-0F4E-45D7-9C21-A676A2F9F1AA}">
  <dimension ref="A1:P2899"/>
  <sheetViews>
    <sheetView tabSelected="1" topLeftCell="A2486" zoomScale="90" zoomScaleNormal="175" workbookViewId="0">
      <pane xSplit="1" topLeftCell="B1" activePane="topRight" state="frozen"/>
      <selection pane="topRight" activeCell="M2860" sqref="M2860:P2860"/>
    </sheetView>
  </sheetViews>
  <sheetFormatPr defaultRowHeight="14.5" x14ac:dyDescent="0.35"/>
  <cols>
    <col min="1" max="1" width="27.6328125" style="4" bestFit="1" customWidth="1"/>
    <col min="3" max="3" width="11.1796875" bestFit="1" customWidth="1"/>
    <col min="4" max="4" width="14.36328125" bestFit="1" customWidth="1"/>
    <col min="5" max="5" width="12.7265625" style="2" bestFit="1" customWidth="1"/>
    <col min="6" max="6" width="12.6328125" style="2" bestFit="1" customWidth="1"/>
    <col min="7" max="7" width="14.7265625" style="3" bestFit="1" customWidth="1"/>
    <col min="8" max="8" width="22.26953125" bestFit="1" customWidth="1"/>
    <col min="9" max="9" width="18.1796875" bestFit="1" customWidth="1"/>
    <col min="10" max="10" width="28.36328125" bestFit="1" customWidth="1"/>
    <col min="11" max="11" width="25.1796875" customWidth="1"/>
    <col min="12" max="12" width="11.1796875" style="2" bestFit="1" customWidth="1"/>
    <col min="13" max="13" width="8.7265625" style="5"/>
    <col min="14" max="14" width="13.1796875" bestFit="1" customWidth="1"/>
    <col min="15" max="15" width="11.90625" bestFit="1" customWidth="1"/>
    <col min="16" max="16" width="9.36328125" bestFit="1" customWidth="1"/>
    <col min="17" max="17" width="12.36328125" bestFit="1" customWidth="1"/>
    <col min="18" max="18" width="10" customWidth="1"/>
    <col min="19" max="19" width="10.36328125" bestFit="1" customWidth="1"/>
    <col min="20" max="20" width="10.54296875" bestFit="1" customWidth="1"/>
    <col min="21" max="21" width="14" bestFit="1" customWidth="1"/>
    <col min="22" max="22" width="11.08984375" bestFit="1" customWidth="1"/>
    <col min="23" max="23" width="13" bestFit="1" customWidth="1"/>
    <col min="24" max="24" width="16.6328125" bestFit="1" customWidth="1"/>
    <col min="25" max="25" width="10" bestFit="1" customWidth="1"/>
    <col min="26" max="26" width="13.453125" bestFit="1" customWidth="1"/>
    <col min="28" max="28" width="10.453125" bestFit="1" customWidth="1"/>
  </cols>
  <sheetData>
    <row r="1" spans="1:16" x14ac:dyDescent="0.35">
      <c r="A1" s="4" t="s">
        <v>0</v>
      </c>
      <c r="B1" t="s">
        <v>1</v>
      </c>
      <c r="C1" t="s">
        <v>2</v>
      </c>
      <c r="D1" t="s">
        <v>3</v>
      </c>
      <c r="E1" s="2" t="s">
        <v>26</v>
      </c>
      <c r="F1" s="2" t="s">
        <v>4</v>
      </c>
      <c r="G1" s="3" t="s">
        <v>28</v>
      </c>
      <c r="H1" t="s">
        <v>25</v>
      </c>
      <c r="I1" t="s">
        <v>23</v>
      </c>
      <c r="J1" t="s">
        <v>24</v>
      </c>
      <c r="K1" t="s">
        <v>29</v>
      </c>
      <c r="L1" s="2" t="s">
        <v>5</v>
      </c>
      <c r="M1" s="5" t="s">
        <v>6</v>
      </c>
      <c r="N1" t="s">
        <v>7</v>
      </c>
      <c r="O1" t="s">
        <v>8</v>
      </c>
      <c r="P1" t="s">
        <v>9</v>
      </c>
    </row>
    <row r="2" spans="1:16" x14ac:dyDescent="0.35">
      <c r="A2" s="4">
        <v>43831</v>
      </c>
      <c r="B2" t="s">
        <v>16</v>
      </c>
      <c r="C2" t="s">
        <v>10</v>
      </c>
      <c r="D2">
        <v>1</v>
      </c>
      <c r="E2" s="2">
        <f>(2600+2883+2650+2800)/4</f>
        <v>2733.25</v>
      </c>
      <c r="F2" s="2">
        <f t="shared" ref="F2:F7" si="0">(2639.25+2965.75+2674+2753.75)/4</f>
        <v>2758.1875</v>
      </c>
      <c r="G2" s="3">
        <v>0</v>
      </c>
      <c r="H2">
        <v>0</v>
      </c>
      <c r="I2">
        <v>1310.5</v>
      </c>
      <c r="J2">
        <v>19156</v>
      </c>
      <c r="K2">
        <v>11106</v>
      </c>
      <c r="L2" s="2">
        <v>25.560624999999998</v>
      </c>
      <c r="M2" s="5">
        <v>57.738500000000002</v>
      </c>
      <c r="N2" s="1">
        <v>181.40360000000001</v>
      </c>
      <c r="O2" s="2">
        <v>5.7</v>
      </c>
      <c r="P2">
        <v>104</v>
      </c>
    </row>
    <row r="3" spans="1:16" x14ac:dyDescent="0.35">
      <c r="A3" s="4">
        <v>43831</v>
      </c>
      <c r="B3" t="s">
        <v>16</v>
      </c>
      <c r="C3" t="s">
        <v>11</v>
      </c>
      <c r="D3">
        <v>0</v>
      </c>
      <c r="E3" s="2" t="s">
        <v>27</v>
      </c>
      <c r="F3" s="2">
        <f t="shared" si="0"/>
        <v>2758.1875</v>
      </c>
      <c r="G3" s="3">
        <v>0</v>
      </c>
      <c r="H3">
        <v>0</v>
      </c>
      <c r="I3">
        <v>1310.5</v>
      </c>
      <c r="J3">
        <v>19156</v>
      </c>
      <c r="K3">
        <v>11106</v>
      </c>
      <c r="L3" s="2">
        <v>25.560624999999998</v>
      </c>
      <c r="M3" s="5">
        <v>57.738500000000002</v>
      </c>
      <c r="N3" s="1">
        <v>181.40360000000001</v>
      </c>
      <c r="O3" s="2">
        <v>5.7</v>
      </c>
      <c r="P3">
        <v>104</v>
      </c>
    </row>
    <row r="4" spans="1:16" x14ac:dyDescent="0.35">
      <c r="A4" s="4">
        <v>43831</v>
      </c>
      <c r="B4" t="s">
        <v>16</v>
      </c>
      <c r="C4" t="s">
        <v>12</v>
      </c>
      <c r="D4">
        <v>1</v>
      </c>
      <c r="E4" s="2">
        <f>(2567+2567+2567+2565)/4</f>
        <v>2566.5</v>
      </c>
      <c r="F4" s="2">
        <f t="shared" si="0"/>
        <v>2758.1875</v>
      </c>
      <c r="G4" s="3">
        <v>0</v>
      </c>
      <c r="H4">
        <v>0</v>
      </c>
      <c r="I4">
        <v>1310.5</v>
      </c>
      <c r="J4">
        <v>19156</v>
      </c>
      <c r="K4">
        <v>11106</v>
      </c>
      <c r="L4" s="2">
        <v>25.560624999999998</v>
      </c>
      <c r="M4" s="5">
        <v>57.738500000000002</v>
      </c>
      <c r="N4" s="1">
        <v>181.40360000000001</v>
      </c>
      <c r="O4" s="2">
        <v>5.7</v>
      </c>
      <c r="P4">
        <v>104</v>
      </c>
    </row>
    <row r="5" spans="1:16" x14ac:dyDescent="0.35">
      <c r="A5" s="4">
        <v>43831</v>
      </c>
      <c r="B5" t="s">
        <v>16</v>
      </c>
      <c r="C5" t="s">
        <v>13</v>
      </c>
      <c r="D5">
        <v>1</v>
      </c>
      <c r="E5" s="2">
        <f>(2740+2750+2750+2740)/4</f>
        <v>2745</v>
      </c>
      <c r="F5" s="2">
        <f t="shared" si="0"/>
        <v>2758.1875</v>
      </c>
      <c r="G5" s="3">
        <v>0</v>
      </c>
      <c r="H5">
        <v>0</v>
      </c>
      <c r="I5">
        <v>1310.5</v>
      </c>
      <c r="J5">
        <v>19156</v>
      </c>
      <c r="K5">
        <v>11106</v>
      </c>
      <c r="L5" s="2">
        <v>25.560624999999998</v>
      </c>
      <c r="M5" s="5">
        <v>57.738500000000002</v>
      </c>
      <c r="N5" s="1">
        <v>181.40360000000001</v>
      </c>
      <c r="O5" s="2">
        <v>5.7</v>
      </c>
      <c r="P5">
        <v>104</v>
      </c>
    </row>
    <row r="6" spans="1:16" x14ac:dyDescent="0.35">
      <c r="A6" s="4">
        <v>43831</v>
      </c>
      <c r="B6" t="s">
        <v>16</v>
      </c>
      <c r="C6" t="s">
        <v>14</v>
      </c>
      <c r="D6">
        <v>1</v>
      </c>
      <c r="E6" s="2">
        <f>(2650+3663+2763+2950)/4</f>
        <v>3006.5</v>
      </c>
      <c r="F6" s="2">
        <f t="shared" si="0"/>
        <v>2758.1875</v>
      </c>
      <c r="G6" s="3">
        <v>0</v>
      </c>
      <c r="H6">
        <v>0</v>
      </c>
      <c r="I6">
        <v>1310.5</v>
      </c>
      <c r="J6">
        <v>19156</v>
      </c>
      <c r="K6">
        <v>11106</v>
      </c>
      <c r="L6" s="2">
        <v>25.560624999999998</v>
      </c>
      <c r="M6" s="5">
        <v>57.738500000000002</v>
      </c>
      <c r="N6" s="1">
        <v>181.40360000000001</v>
      </c>
      <c r="O6" s="2">
        <v>5.7</v>
      </c>
      <c r="P6">
        <v>104</v>
      </c>
    </row>
    <row r="7" spans="1:16" x14ac:dyDescent="0.35">
      <c r="A7" s="4">
        <v>43831</v>
      </c>
      <c r="B7" t="s">
        <v>16</v>
      </c>
      <c r="C7" t="s">
        <v>15</v>
      </c>
      <c r="D7">
        <v>0</v>
      </c>
      <c r="E7" s="2" t="s">
        <v>27</v>
      </c>
      <c r="F7" s="2">
        <f t="shared" si="0"/>
        <v>2758.1875</v>
      </c>
      <c r="G7" s="3">
        <v>0</v>
      </c>
      <c r="H7">
        <v>0</v>
      </c>
      <c r="I7">
        <v>1310.5</v>
      </c>
      <c r="J7">
        <v>19156</v>
      </c>
      <c r="K7">
        <v>11106</v>
      </c>
      <c r="L7" s="2">
        <v>25.560624999999998</v>
      </c>
      <c r="M7" s="5">
        <v>57.738500000000002</v>
      </c>
      <c r="N7" s="1">
        <v>181.40360000000001</v>
      </c>
      <c r="O7" s="2">
        <v>5.7</v>
      </c>
      <c r="P7">
        <v>104</v>
      </c>
    </row>
    <row r="8" spans="1:16" x14ac:dyDescent="0.35">
      <c r="A8" s="4">
        <v>43831</v>
      </c>
      <c r="B8" t="s">
        <v>17</v>
      </c>
      <c r="C8" t="s">
        <v>10</v>
      </c>
      <c r="D8">
        <v>1</v>
      </c>
      <c r="E8" s="2">
        <f>(2483+2483+2416+2566)/4</f>
        <v>2487</v>
      </c>
      <c r="F8" s="2">
        <f t="shared" ref="F8:F13" si="1">(2330+2330.6+2307.75+2401.2)/4</f>
        <v>2342.3874999999998</v>
      </c>
      <c r="G8" s="3">
        <v>0</v>
      </c>
      <c r="H8">
        <v>0</v>
      </c>
      <c r="I8">
        <v>1310.5</v>
      </c>
      <c r="J8">
        <v>19156</v>
      </c>
      <c r="K8">
        <v>11106</v>
      </c>
      <c r="L8" s="2">
        <v>25.560624999999998</v>
      </c>
      <c r="M8" s="5">
        <v>57.738500000000002</v>
      </c>
      <c r="N8" s="1">
        <v>181.40360000000001</v>
      </c>
      <c r="O8" s="2">
        <v>5.7</v>
      </c>
      <c r="P8">
        <v>104</v>
      </c>
    </row>
    <row r="9" spans="1:16" x14ac:dyDescent="0.35">
      <c r="A9" s="4">
        <v>43831</v>
      </c>
      <c r="B9" t="s">
        <v>17</v>
      </c>
      <c r="C9" t="s">
        <v>11</v>
      </c>
      <c r="D9">
        <v>1</v>
      </c>
      <c r="E9" s="2">
        <f>(2300+2300+2500)/3</f>
        <v>2366.6666666666665</v>
      </c>
      <c r="F9" s="2">
        <f>(2330+2330.6+2307.75+2401.2)/4</f>
        <v>2342.3874999999998</v>
      </c>
      <c r="G9" s="3">
        <v>0</v>
      </c>
      <c r="H9">
        <v>0</v>
      </c>
      <c r="I9">
        <v>1310.5</v>
      </c>
      <c r="J9">
        <v>19156</v>
      </c>
      <c r="K9">
        <v>11106</v>
      </c>
      <c r="L9" s="2">
        <v>25.560624999999998</v>
      </c>
      <c r="M9" s="5">
        <v>57.738500000000002</v>
      </c>
      <c r="N9" s="1">
        <v>181.40360000000001</v>
      </c>
      <c r="O9" s="2">
        <v>5.7</v>
      </c>
      <c r="P9">
        <v>104</v>
      </c>
    </row>
    <row r="10" spans="1:16" x14ac:dyDescent="0.35">
      <c r="A10" s="4">
        <v>43831</v>
      </c>
      <c r="B10" t="s">
        <v>17</v>
      </c>
      <c r="C10" t="s">
        <v>12</v>
      </c>
      <c r="D10">
        <v>1</v>
      </c>
      <c r="E10" s="2">
        <f>(2167+2170+2165+2165)/4</f>
        <v>2166.75</v>
      </c>
      <c r="F10" s="2">
        <f t="shared" si="1"/>
        <v>2342.3874999999998</v>
      </c>
      <c r="G10" s="3">
        <v>0</v>
      </c>
      <c r="H10">
        <v>0</v>
      </c>
      <c r="I10">
        <v>1310.5</v>
      </c>
      <c r="J10">
        <v>19156</v>
      </c>
      <c r="K10">
        <v>11106</v>
      </c>
      <c r="L10" s="2">
        <v>25.560624999999998</v>
      </c>
      <c r="M10" s="5">
        <v>57.738500000000002</v>
      </c>
      <c r="N10" s="1">
        <v>181.40360000000001</v>
      </c>
      <c r="O10" s="2">
        <v>5.7</v>
      </c>
      <c r="P10">
        <v>104</v>
      </c>
    </row>
    <row r="11" spans="1:16" x14ac:dyDescent="0.35">
      <c r="A11" s="4">
        <v>43831</v>
      </c>
      <c r="B11" t="s">
        <v>17</v>
      </c>
      <c r="C11" t="s">
        <v>13</v>
      </c>
      <c r="D11">
        <v>1</v>
      </c>
      <c r="E11" s="2">
        <f>(2450+2400+2350+2325)/4</f>
        <v>2381.25</v>
      </c>
      <c r="F11" s="2">
        <f t="shared" si="1"/>
        <v>2342.3874999999998</v>
      </c>
      <c r="G11" s="3">
        <v>0</v>
      </c>
      <c r="H11">
        <v>0</v>
      </c>
      <c r="I11">
        <v>1310.5</v>
      </c>
      <c r="J11">
        <v>19156</v>
      </c>
      <c r="K11">
        <v>11106</v>
      </c>
      <c r="L11" s="2">
        <v>25.560624999999998</v>
      </c>
      <c r="M11" s="5">
        <v>57.738500000000002</v>
      </c>
      <c r="N11" s="1">
        <v>181.40360000000001</v>
      </c>
      <c r="O11" s="2">
        <v>5.7</v>
      </c>
      <c r="P11">
        <v>104</v>
      </c>
    </row>
    <row r="12" spans="1:16" x14ac:dyDescent="0.35">
      <c r="A12" s="4">
        <v>43831</v>
      </c>
      <c r="B12" t="s">
        <v>17</v>
      </c>
      <c r="C12" t="s">
        <v>14</v>
      </c>
      <c r="D12">
        <v>1</v>
      </c>
      <c r="E12" s="2">
        <f>(2450+2300+2300+2250)/4</f>
        <v>2325</v>
      </c>
      <c r="F12" s="2">
        <f t="shared" si="1"/>
        <v>2342.3874999999998</v>
      </c>
      <c r="G12" s="3">
        <v>0</v>
      </c>
      <c r="H12">
        <v>0</v>
      </c>
      <c r="I12">
        <v>1310.5</v>
      </c>
      <c r="J12">
        <v>19156</v>
      </c>
      <c r="K12">
        <v>11106</v>
      </c>
      <c r="L12" s="2">
        <v>25.560624999999998</v>
      </c>
      <c r="M12" s="5">
        <v>57.738500000000002</v>
      </c>
      <c r="N12" s="1">
        <v>181.40360000000001</v>
      </c>
      <c r="O12" s="2">
        <v>5.7</v>
      </c>
      <c r="P12">
        <v>104</v>
      </c>
    </row>
    <row r="13" spans="1:16" x14ac:dyDescent="0.35">
      <c r="A13" s="4">
        <v>43831</v>
      </c>
      <c r="B13" t="s">
        <v>17</v>
      </c>
      <c r="C13" t="s">
        <v>15</v>
      </c>
      <c r="D13">
        <v>0</v>
      </c>
      <c r="E13" s="2" t="s">
        <v>27</v>
      </c>
      <c r="F13" s="2">
        <f t="shared" si="1"/>
        <v>2342.3874999999998</v>
      </c>
      <c r="G13" s="3">
        <v>0</v>
      </c>
      <c r="H13">
        <v>0</v>
      </c>
      <c r="I13">
        <v>1310.5</v>
      </c>
      <c r="J13">
        <v>19156</v>
      </c>
      <c r="K13">
        <v>11106</v>
      </c>
      <c r="L13" s="2">
        <v>25.560624999999998</v>
      </c>
      <c r="M13" s="5">
        <v>57.738500000000002</v>
      </c>
      <c r="N13" s="1">
        <v>181.40360000000001</v>
      </c>
      <c r="O13" s="2">
        <v>5.7</v>
      </c>
      <c r="P13">
        <v>104</v>
      </c>
    </row>
    <row r="14" spans="1:16" x14ac:dyDescent="0.35">
      <c r="A14" s="4">
        <v>43831</v>
      </c>
      <c r="B14" t="s">
        <v>18</v>
      </c>
      <c r="C14" t="s">
        <v>10</v>
      </c>
      <c r="D14">
        <v>1</v>
      </c>
      <c r="E14" s="2">
        <f>(2166+2250+2233+2383)/4</f>
        <v>2258</v>
      </c>
      <c r="F14" s="2">
        <f t="shared" ref="F14:F19" si="2">(2069.86+2075.43+2068.5+2153)/4</f>
        <v>2091.6975000000002</v>
      </c>
      <c r="G14" s="3">
        <v>0</v>
      </c>
      <c r="H14">
        <v>0</v>
      </c>
      <c r="I14">
        <v>1310.5</v>
      </c>
      <c r="J14">
        <v>19156</v>
      </c>
      <c r="K14">
        <v>11106</v>
      </c>
      <c r="L14" s="2">
        <v>25.560624999999998</v>
      </c>
      <c r="M14" s="5">
        <v>57.738500000000002</v>
      </c>
      <c r="N14" s="1">
        <v>181.40360000000001</v>
      </c>
      <c r="O14" s="2">
        <v>5.7</v>
      </c>
      <c r="P14">
        <v>104</v>
      </c>
    </row>
    <row r="15" spans="1:16" x14ac:dyDescent="0.35">
      <c r="A15" s="4">
        <v>43831</v>
      </c>
      <c r="B15" t="s">
        <v>18</v>
      </c>
      <c r="C15" t="s">
        <v>11</v>
      </c>
      <c r="D15">
        <v>1</v>
      </c>
      <c r="E15" s="2">
        <f>(2200+2200+2300)/3</f>
        <v>2233.3333333333335</v>
      </c>
      <c r="F15" s="2">
        <f t="shared" si="2"/>
        <v>2091.6975000000002</v>
      </c>
      <c r="G15" s="3">
        <v>0</v>
      </c>
      <c r="H15">
        <v>0</v>
      </c>
      <c r="I15">
        <v>1310.5</v>
      </c>
      <c r="J15">
        <v>19156</v>
      </c>
      <c r="K15">
        <v>11106</v>
      </c>
      <c r="L15" s="2">
        <v>25.560624999999998</v>
      </c>
      <c r="M15" s="5">
        <v>57.738500000000002</v>
      </c>
      <c r="N15" s="1">
        <v>181.40360000000001</v>
      </c>
      <c r="O15" s="2">
        <v>5.7</v>
      </c>
      <c r="P15">
        <v>104</v>
      </c>
    </row>
    <row r="16" spans="1:16" x14ac:dyDescent="0.35">
      <c r="A16" s="4">
        <v>43831</v>
      </c>
      <c r="B16" t="s">
        <v>18</v>
      </c>
      <c r="C16" t="s">
        <v>12</v>
      </c>
      <c r="D16">
        <v>1</v>
      </c>
      <c r="E16" s="2">
        <f>(1983+1983+1983+1983)/4</f>
        <v>1983</v>
      </c>
      <c r="F16" s="2">
        <f t="shared" si="2"/>
        <v>2091.6975000000002</v>
      </c>
      <c r="G16" s="3">
        <v>0</v>
      </c>
      <c r="H16">
        <v>0</v>
      </c>
      <c r="I16">
        <v>1310.5</v>
      </c>
      <c r="J16">
        <v>19156</v>
      </c>
      <c r="K16">
        <v>11106</v>
      </c>
      <c r="L16" s="2">
        <v>25.560624999999998</v>
      </c>
      <c r="M16" s="5">
        <v>57.738500000000002</v>
      </c>
      <c r="N16" s="1">
        <v>181.40360000000001</v>
      </c>
      <c r="O16" s="2">
        <v>5.7</v>
      </c>
      <c r="P16">
        <v>104</v>
      </c>
    </row>
    <row r="17" spans="1:16" x14ac:dyDescent="0.35">
      <c r="A17" s="4">
        <v>43831</v>
      </c>
      <c r="B17" t="s">
        <v>18</v>
      </c>
      <c r="C17" t="s">
        <v>13</v>
      </c>
      <c r="D17">
        <v>1</v>
      </c>
      <c r="E17" s="2">
        <f>(2025+2075+2050+2075)/4</f>
        <v>2056.25</v>
      </c>
      <c r="F17" s="2">
        <f t="shared" si="2"/>
        <v>2091.6975000000002</v>
      </c>
      <c r="G17" s="3">
        <v>0</v>
      </c>
      <c r="H17">
        <v>0</v>
      </c>
      <c r="I17">
        <v>1310.5</v>
      </c>
      <c r="J17">
        <v>19156</v>
      </c>
      <c r="K17">
        <v>11106</v>
      </c>
      <c r="L17" s="2">
        <v>25.560624999999998</v>
      </c>
      <c r="M17" s="5">
        <v>57.738500000000002</v>
      </c>
      <c r="N17" s="1">
        <v>181.40360000000001</v>
      </c>
      <c r="O17" s="2">
        <v>5.7</v>
      </c>
      <c r="P17">
        <v>104</v>
      </c>
    </row>
    <row r="18" spans="1:16" x14ac:dyDescent="0.35">
      <c r="A18" s="4">
        <v>43831</v>
      </c>
      <c r="B18" t="s">
        <v>18</v>
      </c>
      <c r="C18" t="s">
        <v>14</v>
      </c>
      <c r="D18">
        <v>1</v>
      </c>
      <c r="E18" s="2">
        <f>(1990+2010+2000+2180)/4</f>
        <v>2045</v>
      </c>
      <c r="F18" s="2">
        <f t="shared" si="2"/>
        <v>2091.6975000000002</v>
      </c>
      <c r="G18" s="3">
        <v>0</v>
      </c>
      <c r="H18">
        <v>0</v>
      </c>
      <c r="I18">
        <v>1310.5</v>
      </c>
      <c r="J18">
        <v>19156</v>
      </c>
      <c r="K18">
        <v>11106</v>
      </c>
      <c r="L18" s="2">
        <v>25.560624999999998</v>
      </c>
      <c r="M18" s="5">
        <v>57.738500000000002</v>
      </c>
      <c r="N18" s="1">
        <v>181.40360000000001</v>
      </c>
      <c r="O18" s="2">
        <v>5.7</v>
      </c>
      <c r="P18">
        <v>104</v>
      </c>
    </row>
    <row r="19" spans="1:16" x14ac:dyDescent="0.35">
      <c r="A19" s="4">
        <v>43831</v>
      </c>
      <c r="B19" t="s">
        <v>18</v>
      </c>
      <c r="C19" t="s">
        <v>15</v>
      </c>
      <c r="D19">
        <v>1</v>
      </c>
      <c r="E19" s="2">
        <f>(2150+2075+2010+1925)/4</f>
        <v>2040</v>
      </c>
      <c r="F19" s="2">
        <f t="shared" si="2"/>
        <v>2091.6975000000002</v>
      </c>
      <c r="G19" s="3">
        <v>0</v>
      </c>
      <c r="H19">
        <v>0</v>
      </c>
      <c r="I19">
        <v>1310.5</v>
      </c>
      <c r="J19">
        <v>19156</v>
      </c>
      <c r="K19">
        <v>11106</v>
      </c>
      <c r="L19" s="2">
        <v>25.560624999999998</v>
      </c>
      <c r="M19" s="5">
        <v>57.738500000000002</v>
      </c>
      <c r="N19" s="1">
        <v>181.40360000000001</v>
      </c>
      <c r="O19" s="2">
        <v>5.7</v>
      </c>
      <c r="P19">
        <v>104</v>
      </c>
    </row>
    <row r="20" spans="1:16" x14ac:dyDescent="0.35">
      <c r="A20" s="4">
        <v>43831</v>
      </c>
      <c r="B20" t="s">
        <v>19</v>
      </c>
      <c r="C20" t="s">
        <v>10</v>
      </c>
      <c r="D20">
        <v>1</v>
      </c>
      <c r="E20" s="2">
        <f>(2116+1816+2033+1950)/4</f>
        <v>1978.75</v>
      </c>
      <c r="F20" s="2">
        <f t="shared" ref="F20:F25" si="3">(1889.14+1852.43+1880.33+1980)/4</f>
        <v>1900.4749999999999</v>
      </c>
      <c r="G20" s="3">
        <v>0</v>
      </c>
      <c r="H20">
        <v>0</v>
      </c>
      <c r="I20">
        <v>1310.5</v>
      </c>
      <c r="J20">
        <v>19156</v>
      </c>
      <c r="K20">
        <v>11106</v>
      </c>
      <c r="L20" s="2">
        <v>25.560624999999998</v>
      </c>
      <c r="M20" s="5">
        <v>57.738500000000002</v>
      </c>
      <c r="N20" s="1">
        <v>181.40360000000001</v>
      </c>
      <c r="O20" s="2">
        <v>5.7</v>
      </c>
      <c r="P20">
        <v>104</v>
      </c>
    </row>
    <row r="21" spans="1:16" x14ac:dyDescent="0.35">
      <c r="A21" s="4">
        <v>43831</v>
      </c>
      <c r="B21" t="s">
        <v>19</v>
      </c>
      <c r="C21" t="s">
        <v>11</v>
      </c>
      <c r="D21">
        <v>1</v>
      </c>
      <c r="E21" s="2">
        <f>(1900+1900+2100)/3</f>
        <v>1966.6666666666667</v>
      </c>
      <c r="F21" s="2">
        <f t="shared" si="3"/>
        <v>1900.4749999999999</v>
      </c>
      <c r="G21" s="3">
        <v>0</v>
      </c>
      <c r="H21">
        <v>0</v>
      </c>
      <c r="I21">
        <v>1310.5</v>
      </c>
      <c r="J21">
        <v>19156</v>
      </c>
      <c r="K21">
        <v>11106</v>
      </c>
      <c r="L21" s="2">
        <v>25.560624999999998</v>
      </c>
      <c r="M21" s="5">
        <v>57.738500000000002</v>
      </c>
      <c r="N21" s="1">
        <v>181.40360000000001</v>
      </c>
      <c r="O21" s="2">
        <v>5.7</v>
      </c>
      <c r="P21">
        <v>104</v>
      </c>
    </row>
    <row r="22" spans="1:16" x14ac:dyDescent="0.35">
      <c r="A22" s="4">
        <v>43831</v>
      </c>
      <c r="B22" t="s">
        <v>19</v>
      </c>
      <c r="C22" t="s">
        <v>12</v>
      </c>
      <c r="D22">
        <v>1</v>
      </c>
      <c r="E22" s="2">
        <f>(1765+1768+1766+1766)/4</f>
        <v>1766.25</v>
      </c>
      <c r="F22" s="2">
        <f t="shared" si="3"/>
        <v>1900.4749999999999</v>
      </c>
      <c r="G22" s="3">
        <v>0</v>
      </c>
      <c r="H22">
        <v>0</v>
      </c>
      <c r="I22">
        <v>1310.5</v>
      </c>
      <c r="J22">
        <v>19156</v>
      </c>
      <c r="K22">
        <v>11106</v>
      </c>
      <c r="L22" s="2">
        <v>25.560624999999998</v>
      </c>
      <c r="M22" s="5">
        <v>57.738500000000002</v>
      </c>
      <c r="N22" s="1">
        <v>181.40360000000001</v>
      </c>
      <c r="O22" s="2">
        <v>5.7</v>
      </c>
      <c r="P22">
        <v>104</v>
      </c>
    </row>
    <row r="23" spans="1:16" x14ac:dyDescent="0.35">
      <c r="A23" s="4">
        <v>43831</v>
      </c>
      <c r="B23" t="s">
        <v>19</v>
      </c>
      <c r="C23" t="s">
        <v>13</v>
      </c>
      <c r="D23">
        <v>1</v>
      </c>
      <c r="E23" s="2">
        <f>(1925+2000+1950+1980)/4</f>
        <v>1963.75</v>
      </c>
      <c r="F23" s="2">
        <f t="shared" si="3"/>
        <v>1900.4749999999999</v>
      </c>
      <c r="G23" s="3">
        <v>0</v>
      </c>
      <c r="H23">
        <v>0</v>
      </c>
      <c r="I23">
        <v>1310.5</v>
      </c>
      <c r="J23">
        <v>19156</v>
      </c>
      <c r="K23">
        <v>11106</v>
      </c>
      <c r="L23" s="2">
        <v>25.560624999999998</v>
      </c>
      <c r="M23" s="5">
        <v>57.738500000000002</v>
      </c>
      <c r="N23" s="1">
        <v>181.40360000000001</v>
      </c>
      <c r="O23" s="2">
        <v>5.7</v>
      </c>
      <c r="P23">
        <v>104</v>
      </c>
    </row>
    <row r="24" spans="1:16" x14ac:dyDescent="0.35">
      <c r="A24" s="4">
        <v>43831</v>
      </c>
      <c r="B24" t="s">
        <v>19</v>
      </c>
      <c r="C24" t="s">
        <v>14</v>
      </c>
      <c r="D24">
        <v>1</v>
      </c>
      <c r="E24" s="2">
        <f>(1933+1958+1983+2050)/4</f>
        <v>1981</v>
      </c>
      <c r="F24" s="2">
        <f t="shared" si="3"/>
        <v>1900.4749999999999</v>
      </c>
      <c r="G24" s="3">
        <v>0</v>
      </c>
      <c r="H24">
        <v>0</v>
      </c>
      <c r="I24">
        <v>1310.5</v>
      </c>
      <c r="J24">
        <v>19156</v>
      </c>
      <c r="K24">
        <v>11106</v>
      </c>
      <c r="L24" s="2">
        <v>25.560624999999998</v>
      </c>
      <c r="M24" s="5">
        <v>57.738500000000002</v>
      </c>
      <c r="N24" s="1">
        <v>181.40360000000001</v>
      </c>
      <c r="O24" s="2">
        <v>5.7</v>
      </c>
      <c r="P24">
        <v>104</v>
      </c>
    </row>
    <row r="25" spans="1:16" x14ac:dyDescent="0.35">
      <c r="A25" s="4">
        <v>43831</v>
      </c>
      <c r="B25" t="s">
        <v>19</v>
      </c>
      <c r="C25" t="s">
        <v>15</v>
      </c>
      <c r="D25">
        <v>1</v>
      </c>
      <c r="E25" s="2">
        <f>(1910+1950+1975+2050)/4</f>
        <v>1971.25</v>
      </c>
      <c r="F25" s="2">
        <f t="shared" si="3"/>
        <v>1900.4749999999999</v>
      </c>
      <c r="G25" s="3">
        <v>0</v>
      </c>
      <c r="H25">
        <v>0</v>
      </c>
      <c r="I25">
        <v>1310.5</v>
      </c>
      <c r="J25">
        <v>19156</v>
      </c>
      <c r="K25">
        <v>11106</v>
      </c>
      <c r="L25" s="2">
        <v>25.560624999999998</v>
      </c>
      <c r="M25" s="5">
        <v>57.738500000000002</v>
      </c>
      <c r="N25" s="1">
        <v>181.40360000000001</v>
      </c>
      <c r="O25" s="2">
        <v>5.7</v>
      </c>
      <c r="P25">
        <v>104</v>
      </c>
    </row>
    <row r="26" spans="1:16" x14ac:dyDescent="0.35">
      <c r="A26" s="4">
        <v>43831</v>
      </c>
      <c r="B26" t="s">
        <v>20</v>
      </c>
      <c r="C26" t="s">
        <v>10</v>
      </c>
      <c r="D26">
        <v>1</v>
      </c>
      <c r="E26" s="2">
        <f>(1450+1466+1433+1450)/4</f>
        <v>1449.75</v>
      </c>
      <c r="F26" s="2">
        <f t="shared" ref="F26:F31" si="4">(1572.17+1588+1580.6+1650)/4</f>
        <v>1597.6925000000001</v>
      </c>
      <c r="G26" s="3">
        <v>0</v>
      </c>
      <c r="H26">
        <v>0</v>
      </c>
      <c r="I26">
        <v>1310.5</v>
      </c>
      <c r="J26">
        <v>19156</v>
      </c>
      <c r="K26">
        <v>11106</v>
      </c>
      <c r="L26" s="2">
        <v>25.560624999999998</v>
      </c>
      <c r="M26" s="5">
        <v>57.738500000000002</v>
      </c>
      <c r="N26" s="1">
        <v>181.40360000000001</v>
      </c>
      <c r="O26" s="2">
        <v>5.7</v>
      </c>
      <c r="P26">
        <v>104</v>
      </c>
    </row>
    <row r="27" spans="1:16" x14ac:dyDescent="0.35">
      <c r="A27" s="4">
        <v>43831</v>
      </c>
      <c r="B27" t="s">
        <v>20</v>
      </c>
      <c r="C27" t="s">
        <v>11</v>
      </c>
      <c r="D27">
        <v>1</v>
      </c>
      <c r="E27" s="2">
        <f>(1650+1600+1800)/3</f>
        <v>1683.3333333333333</v>
      </c>
      <c r="F27" s="2">
        <f t="shared" si="4"/>
        <v>1597.6925000000001</v>
      </c>
      <c r="G27" s="3">
        <v>0</v>
      </c>
      <c r="H27">
        <v>0</v>
      </c>
      <c r="I27">
        <v>1310.5</v>
      </c>
      <c r="J27">
        <v>19156</v>
      </c>
      <c r="K27">
        <v>11106</v>
      </c>
      <c r="L27" s="2">
        <v>25.560624999999998</v>
      </c>
      <c r="M27" s="5">
        <v>57.738500000000002</v>
      </c>
      <c r="N27" s="1">
        <v>181.40360000000001</v>
      </c>
      <c r="O27" s="2">
        <v>5.7</v>
      </c>
      <c r="P27">
        <v>104</v>
      </c>
    </row>
    <row r="28" spans="1:16" x14ac:dyDescent="0.35">
      <c r="A28" s="4">
        <v>43831</v>
      </c>
      <c r="B28" t="s">
        <v>20</v>
      </c>
      <c r="C28" t="s">
        <v>12</v>
      </c>
      <c r="D28">
        <v>1</v>
      </c>
      <c r="E28" s="2">
        <f>(1368+1367+1370+1370)/4</f>
        <v>1368.75</v>
      </c>
      <c r="F28" s="2">
        <f t="shared" si="4"/>
        <v>1597.6925000000001</v>
      </c>
      <c r="G28" s="3">
        <v>0</v>
      </c>
      <c r="H28">
        <v>0</v>
      </c>
      <c r="I28">
        <v>1310.5</v>
      </c>
      <c r="J28">
        <v>19156</v>
      </c>
      <c r="K28">
        <v>11106</v>
      </c>
      <c r="L28" s="2">
        <v>25.560624999999998</v>
      </c>
      <c r="M28" s="5">
        <v>57.738500000000002</v>
      </c>
      <c r="N28" s="1">
        <v>181.40360000000001</v>
      </c>
      <c r="O28" s="2">
        <v>5.7</v>
      </c>
      <c r="P28">
        <v>104</v>
      </c>
    </row>
    <row r="29" spans="1:16" x14ac:dyDescent="0.35">
      <c r="A29" s="4">
        <v>43831</v>
      </c>
      <c r="B29" t="s">
        <v>20</v>
      </c>
      <c r="C29" t="s">
        <v>13</v>
      </c>
      <c r="D29">
        <v>1</v>
      </c>
      <c r="E29" s="2">
        <f>(1625+1650+1650+1650)/4</f>
        <v>1643.75</v>
      </c>
      <c r="F29" s="2">
        <f t="shared" si="4"/>
        <v>1597.6925000000001</v>
      </c>
      <c r="G29" s="3">
        <v>0</v>
      </c>
      <c r="H29">
        <v>0</v>
      </c>
      <c r="I29">
        <v>1310.5</v>
      </c>
      <c r="J29">
        <v>19156</v>
      </c>
      <c r="K29">
        <v>11106</v>
      </c>
      <c r="L29" s="2">
        <v>25.560624999999998</v>
      </c>
      <c r="M29" s="5">
        <v>57.738500000000002</v>
      </c>
      <c r="N29" s="1">
        <v>181.40360000000001</v>
      </c>
      <c r="O29" s="2">
        <v>5.7</v>
      </c>
      <c r="P29">
        <v>104</v>
      </c>
    </row>
    <row r="30" spans="1:16" x14ac:dyDescent="0.35">
      <c r="A30" s="4">
        <v>43831</v>
      </c>
      <c r="B30" t="s">
        <v>20</v>
      </c>
      <c r="C30" t="s">
        <v>14</v>
      </c>
      <c r="D30">
        <v>1</v>
      </c>
      <c r="E30" s="2">
        <f>(1690+1720+1725+1800)/4</f>
        <v>1733.75</v>
      </c>
      <c r="F30" s="2">
        <f t="shared" si="4"/>
        <v>1597.6925000000001</v>
      </c>
      <c r="G30" s="3">
        <v>0</v>
      </c>
      <c r="H30">
        <v>0</v>
      </c>
      <c r="I30">
        <v>1310.5</v>
      </c>
      <c r="J30">
        <v>19156</v>
      </c>
      <c r="K30">
        <v>11106</v>
      </c>
      <c r="L30" s="2">
        <v>25.560624999999998</v>
      </c>
      <c r="M30" s="5">
        <v>57.738500000000002</v>
      </c>
      <c r="N30" s="1">
        <v>181.40360000000001</v>
      </c>
      <c r="O30" s="2">
        <v>5.7</v>
      </c>
      <c r="P30">
        <v>104</v>
      </c>
    </row>
    <row r="31" spans="1:16" x14ac:dyDescent="0.35">
      <c r="A31" s="4">
        <v>43831</v>
      </c>
      <c r="B31" t="s">
        <v>20</v>
      </c>
      <c r="C31" t="s">
        <v>15</v>
      </c>
      <c r="D31">
        <v>1</v>
      </c>
      <c r="E31" s="2">
        <f>(1775+1725+1725+1650)/4</f>
        <v>1718.75</v>
      </c>
      <c r="F31" s="2">
        <f t="shared" si="4"/>
        <v>1597.6925000000001</v>
      </c>
      <c r="G31" s="3">
        <v>0</v>
      </c>
      <c r="H31">
        <v>0</v>
      </c>
      <c r="I31">
        <v>1310.5</v>
      </c>
      <c r="J31">
        <v>19156</v>
      </c>
      <c r="K31">
        <v>11106</v>
      </c>
      <c r="L31" s="2">
        <v>25.560624999999998</v>
      </c>
      <c r="M31" s="5">
        <v>57.738500000000002</v>
      </c>
      <c r="N31" s="1">
        <v>181.40360000000001</v>
      </c>
      <c r="O31" s="2">
        <v>5.7</v>
      </c>
      <c r="P31">
        <v>104</v>
      </c>
    </row>
    <row r="32" spans="1:16" x14ac:dyDescent="0.35">
      <c r="A32" s="4">
        <v>43831</v>
      </c>
      <c r="B32" t="s">
        <v>21</v>
      </c>
      <c r="C32" t="s">
        <v>10</v>
      </c>
      <c r="D32">
        <v>1</v>
      </c>
      <c r="E32" s="2">
        <f>(1250+1283+1150+1116)/4</f>
        <v>1199.75</v>
      </c>
      <c r="F32" s="2">
        <f t="shared" ref="F32:F37" si="5">(1479.83+1506.17+1479.6+1520)/4</f>
        <v>1496.4</v>
      </c>
      <c r="G32" s="3">
        <v>0</v>
      </c>
      <c r="H32">
        <v>0</v>
      </c>
      <c r="I32">
        <v>1310.5</v>
      </c>
      <c r="J32">
        <v>19156</v>
      </c>
      <c r="K32">
        <v>11106</v>
      </c>
      <c r="L32" s="2">
        <v>25.560624999999998</v>
      </c>
      <c r="M32" s="5">
        <v>57.738500000000002</v>
      </c>
      <c r="N32" s="1">
        <v>181.40360000000001</v>
      </c>
      <c r="O32" s="2">
        <v>5.7</v>
      </c>
      <c r="P32">
        <v>104</v>
      </c>
    </row>
    <row r="33" spans="1:16" x14ac:dyDescent="0.35">
      <c r="A33" s="4">
        <v>43831</v>
      </c>
      <c r="B33" t="s">
        <v>21</v>
      </c>
      <c r="C33" t="s">
        <v>11</v>
      </c>
      <c r="D33">
        <v>1</v>
      </c>
      <c r="E33" s="2">
        <f>(1600+1550+1700)/3</f>
        <v>1616.6666666666667</v>
      </c>
      <c r="F33" s="2">
        <f t="shared" si="5"/>
        <v>1496.4</v>
      </c>
      <c r="G33" s="3">
        <v>0</v>
      </c>
      <c r="H33">
        <v>0</v>
      </c>
      <c r="I33">
        <v>1310.5</v>
      </c>
      <c r="J33">
        <v>19156</v>
      </c>
      <c r="K33">
        <v>11106</v>
      </c>
      <c r="L33" s="2">
        <v>25.560624999999998</v>
      </c>
      <c r="M33" s="5">
        <v>57.738500000000002</v>
      </c>
      <c r="N33" s="1">
        <v>181.40360000000001</v>
      </c>
      <c r="O33" s="2">
        <v>5.7</v>
      </c>
      <c r="P33">
        <v>104</v>
      </c>
    </row>
    <row r="34" spans="1:16" x14ac:dyDescent="0.35">
      <c r="A34" s="4">
        <v>43831</v>
      </c>
      <c r="B34" t="s">
        <v>21</v>
      </c>
      <c r="C34" t="s">
        <v>12</v>
      </c>
      <c r="D34">
        <v>1</v>
      </c>
      <c r="E34" s="2">
        <f>(1265+1265+1268+1268)/4</f>
        <v>1266.5</v>
      </c>
      <c r="F34" s="2">
        <f t="shared" si="5"/>
        <v>1496.4</v>
      </c>
      <c r="G34" s="3">
        <v>0</v>
      </c>
      <c r="H34">
        <v>0</v>
      </c>
      <c r="I34">
        <v>1310.5</v>
      </c>
      <c r="J34">
        <v>19156</v>
      </c>
      <c r="K34">
        <v>11106</v>
      </c>
      <c r="L34" s="2">
        <v>25.560624999999998</v>
      </c>
      <c r="M34" s="5">
        <v>57.738500000000002</v>
      </c>
      <c r="N34" s="1">
        <v>181.40360000000001</v>
      </c>
      <c r="O34" s="2">
        <v>5.7</v>
      </c>
      <c r="P34">
        <v>104</v>
      </c>
    </row>
    <row r="35" spans="1:16" x14ac:dyDescent="0.35">
      <c r="A35" s="4">
        <v>43831</v>
      </c>
      <c r="B35" t="s">
        <v>21</v>
      </c>
      <c r="C35" t="s">
        <v>13</v>
      </c>
      <c r="D35">
        <v>1</v>
      </c>
      <c r="E35" s="2">
        <f>(1550+1600+1600+1600)/4</f>
        <v>1587.5</v>
      </c>
      <c r="F35" s="2">
        <f t="shared" si="5"/>
        <v>1496.4</v>
      </c>
      <c r="G35" s="3">
        <v>0</v>
      </c>
      <c r="H35">
        <v>0</v>
      </c>
      <c r="I35">
        <v>1310.5</v>
      </c>
      <c r="J35">
        <v>19156</v>
      </c>
      <c r="K35">
        <v>11106</v>
      </c>
      <c r="L35" s="2">
        <v>25.560624999999998</v>
      </c>
      <c r="M35" s="5">
        <v>57.738500000000002</v>
      </c>
      <c r="N35" s="1">
        <v>181.40360000000001</v>
      </c>
      <c r="O35" s="2">
        <v>5.7</v>
      </c>
      <c r="P35">
        <v>104</v>
      </c>
    </row>
    <row r="36" spans="1:16" x14ac:dyDescent="0.35">
      <c r="A36" s="4">
        <v>43831</v>
      </c>
      <c r="B36" t="s">
        <v>21</v>
      </c>
      <c r="C36" t="s">
        <v>14</v>
      </c>
      <c r="D36">
        <v>1</v>
      </c>
      <c r="E36" s="2">
        <f>(1711+1680+1639+1614)/4</f>
        <v>1661</v>
      </c>
      <c r="F36" s="2">
        <f t="shared" si="5"/>
        <v>1496.4</v>
      </c>
      <c r="G36" s="3">
        <v>0</v>
      </c>
      <c r="H36">
        <v>0</v>
      </c>
      <c r="I36">
        <v>1310.5</v>
      </c>
      <c r="J36">
        <v>19156</v>
      </c>
      <c r="K36">
        <v>11106</v>
      </c>
      <c r="L36" s="2">
        <v>25.560624999999998</v>
      </c>
      <c r="M36" s="5">
        <v>57.738500000000002</v>
      </c>
      <c r="N36" s="1">
        <v>181.40360000000001</v>
      </c>
      <c r="O36" s="2">
        <v>5.7</v>
      </c>
      <c r="P36">
        <v>104</v>
      </c>
    </row>
    <row r="37" spans="1:16" x14ac:dyDescent="0.35">
      <c r="A37" s="4">
        <v>43831</v>
      </c>
      <c r="B37" t="s">
        <v>21</v>
      </c>
      <c r="C37" t="s">
        <v>15</v>
      </c>
      <c r="D37">
        <v>1</v>
      </c>
      <c r="E37" s="2">
        <f>(1600+1700+1700+1725)/4</f>
        <v>1681.25</v>
      </c>
      <c r="F37" s="2">
        <f t="shared" si="5"/>
        <v>1496.4</v>
      </c>
      <c r="G37" s="3">
        <v>0</v>
      </c>
      <c r="H37">
        <v>0</v>
      </c>
      <c r="I37">
        <v>1310.5</v>
      </c>
      <c r="J37">
        <v>19156</v>
      </c>
      <c r="K37">
        <v>11106</v>
      </c>
      <c r="L37" s="2">
        <v>25.560624999999998</v>
      </c>
      <c r="M37" s="5">
        <v>57.738500000000002</v>
      </c>
      <c r="N37" s="1">
        <v>181.40360000000001</v>
      </c>
      <c r="O37" s="2">
        <v>5.7</v>
      </c>
      <c r="P37">
        <v>104</v>
      </c>
    </row>
    <row r="38" spans="1:16" x14ac:dyDescent="0.35">
      <c r="A38" s="4">
        <v>43831</v>
      </c>
      <c r="B38" t="s">
        <v>22</v>
      </c>
      <c r="C38" t="s">
        <v>10</v>
      </c>
      <c r="D38">
        <v>0</v>
      </c>
      <c r="E38" s="2" t="s">
        <v>27</v>
      </c>
      <c r="F38" s="2">
        <v>1407.5</v>
      </c>
      <c r="G38" s="3">
        <v>0</v>
      </c>
      <c r="H38">
        <v>0</v>
      </c>
      <c r="I38">
        <v>1310.5</v>
      </c>
      <c r="J38">
        <v>19156</v>
      </c>
      <c r="K38">
        <v>11106</v>
      </c>
      <c r="L38" s="2">
        <v>25.560624999999998</v>
      </c>
      <c r="M38" s="5">
        <v>57.738500000000002</v>
      </c>
      <c r="N38" s="1">
        <v>181.40360000000001</v>
      </c>
      <c r="O38" s="2">
        <v>5.7</v>
      </c>
      <c r="P38">
        <v>104</v>
      </c>
    </row>
    <row r="39" spans="1:16" x14ac:dyDescent="0.35">
      <c r="A39" s="4">
        <v>43831</v>
      </c>
      <c r="B39" t="s">
        <v>22</v>
      </c>
      <c r="C39" t="s">
        <v>11</v>
      </c>
      <c r="D39">
        <v>0</v>
      </c>
      <c r="E39" s="2" t="s">
        <v>27</v>
      </c>
      <c r="F39" s="2">
        <v>1407.5</v>
      </c>
      <c r="G39" s="3">
        <v>0</v>
      </c>
      <c r="H39">
        <v>0</v>
      </c>
      <c r="I39">
        <v>1310.5</v>
      </c>
      <c r="J39">
        <v>19156</v>
      </c>
      <c r="K39">
        <v>11106</v>
      </c>
      <c r="L39" s="2">
        <v>25.560624999999998</v>
      </c>
      <c r="M39" s="5">
        <v>57.738500000000002</v>
      </c>
      <c r="N39" s="1">
        <v>181.40360000000001</v>
      </c>
      <c r="O39" s="2">
        <v>5.7</v>
      </c>
      <c r="P39">
        <v>104</v>
      </c>
    </row>
    <row r="40" spans="1:16" x14ac:dyDescent="0.35">
      <c r="A40" s="4">
        <v>43831</v>
      </c>
      <c r="B40" t="s">
        <v>22</v>
      </c>
      <c r="C40" t="s">
        <v>12</v>
      </c>
      <c r="D40">
        <v>0</v>
      </c>
      <c r="E40" s="2" t="s">
        <v>27</v>
      </c>
      <c r="F40" s="2">
        <v>1407.5</v>
      </c>
      <c r="G40" s="3">
        <v>0</v>
      </c>
      <c r="H40">
        <v>0</v>
      </c>
      <c r="I40">
        <v>1310.5</v>
      </c>
      <c r="J40">
        <v>19156</v>
      </c>
      <c r="K40">
        <v>11106</v>
      </c>
      <c r="L40" s="2">
        <v>25.560624999999998</v>
      </c>
      <c r="M40" s="5">
        <v>57.738500000000002</v>
      </c>
      <c r="N40" s="1">
        <v>181.40360000000001</v>
      </c>
      <c r="O40" s="2">
        <v>5.7</v>
      </c>
      <c r="P40">
        <v>104</v>
      </c>
    </row>
    <row r="41" spans="1:16" x14ac:dyDescent="0.35">
      <c r="A41" s="4">
        <v>43831</v>
      </c>
      <c r="B41" t="s">
        <v>22</v>
      </c>
      <c r="C41" t="s">
        <v>13</v>
      </c>
      <c r="D41">
        <v>0</v>
      </c>
      <c r="E41" s="2" t="s">
        <v>27</v>
      </c>
      <c r="F41" s="2">
        <v>1407.5</v>
      </c>
      <c r="G41" s="3">
        <v>0</v>
      </c>
      <c r="H41">
        <v>0</v>
      </c>
      <c r="I41">
        <v>1310.5</v>
      </c>
      <c r="J41">
        <v>19156</v>
      </c>
      <c r="K41">
        <v>11106</v>
      </c>
      <c r="L41" s="2">
        <v>25.560624999999998</v>
      </c>
      <c r="M41" s="5">
        <v>57.738500000000002</v>
      </c>
      <c r="N41" s="1">
        <v>181.40360000000001</v>
      </c>
      <c r="O41" s="2">
        <v>5.7</v>
      </c>
      <c r="P41">
        <v>104</v>
      </c>
    </row>
    <row r="42" spans="1:16" x14ac:dyDescent="0.35">
      <c r="A42" s="4">
        <v>43831</v>
      </c>
      <c r="B42" t="s">
        <v>22</v>
      </c>
      <c r="C42" t="s">
        <v>14</v>
      </c>
      <c r="D42">
        <v>1</v>
      </c>
      <c r="E42" s="2">
        <v>1407.5</v>
      </c>
      <c r="F42" s="2">
        <v>1407.5</v>
      </c>
      <c r="G42" s="3">
        <v>0</v>
      </c>
      <c r="H42">
        <v>0</v>
      </c>
      <c r="I42">
        <v>1310.5</v>
      </c>
      <c r="J42">
        <v>19156</v>
      </c>
      <c r="K42">
        <v>11106</v>
      </c>
      <c r="L42" s="2">
        <v>25.560624999999998</v>
      </c>
      <c r="M42" s="5">
        <v>57.738500000000002</v>
      </c>
      <c r="N42" s="1">
        <v>181.40360000000001</v>
      </c>
      <c r="O42" s="2">
        <v>5.7</v>
      </c>
      <c r="P42">
        <v>104</v>
      </c>
    </row>
    <row r="43" spans="1:16" x14ac:dyDescent="0.35">
      <c r="A43" s="4">
        <v>43831</v>
      </c>
      <c r="B43" t="s">
        <v>22</v>
      </c>
      <c r="C43" t="s">
        <v>15</v>
      </c>
      <c r="D43">
        <v>0</v>
      </c>
      <c r="E43" s="2" t="s">
        <v>27</v>
      </c>
      <c r="F43" s="2">
        <v>1407.5</v>
      </c>
      <c r="G43" s="3">
        <v>0</v>
      </c>
      <c r="H43">
        <v>0</v>
      </c>
      <c r="I43">
        <v>1310.5</v>
      </c>
      <c r="J43">
        <v>19156</v>
      </c>
      <c r="K43">
        <v>11106</v>
      </c>
      <c r="L43" s="2">
        <v>25.560624999999998</v>
      </c>
      <c r="M43" s="5">
        <v>57.738500000000002</v>
      </c>
      <c r="N43" s="1">
        <v>181.40360000000001</v>
      </c>
      <c r="O43" s="2">
        <v>5.7</v>
      </c>
      <c r="P43">
        <v>104</v>
      </c>
    </row>
    <row r="44" spans="1:16" x14ac:dyDescent="0.35">
      <c r="A44" s="4">
        <v>43862</v>
      </c>
      <c r="B44" t="s">
        <v>16</v>
      </c>
      <c r="C44" t="s">
        <v>10</v>
      </c>
      <c r="D44">
        <v>1</v>
      </c>
      <c r="E44" s="2">
        <f>(2933+2983+3016+2750)/4</f>
        <v>2920.5</v>
      </c>
      <c r="F44" s="2">
        <f t="shared" ref="F44:F49" si="6">(3018.75+3037.5+2914.75+2774.5)/4</f>
        <v>2936.375</v>
      </c>
      <c r="G44" s="3">
        <v>0</v>
      </c>
      <c r="H44">
        <v>0</v>
      </c>
      <c r="I44">
        <v>1310.5</v>
      </c>
      <c r="J44">
        <v>15757</v>
      </c>
      <c r="K44">
        <v>15549</v>
      </c>
      <c r="L44" s="2">
        <v>25.815625000000001</v>
      </c>
      <c r="M44" s="5">
        <v>28.699000000000005</v>
      </c>
      <c r="N44" s="1">
        <v>181.56280000000001</v>
      </c>
      <c r="O44" s="2">
        <v>6.2</v>
      </c>
      <c r="P44">
        <v>104</v>
      </c>
    </row>
    <row r="45" spans="1:16" x14ac:dyDescent="0.35">
      <c r="A45" s="4">
        <v>43862</v>
      </c>
      <c r="B45" t="s">
        <v>16</v>
      </c>
      <c r="C45" t="s">
        <v>11</v>
      </c>
      <c r="D45">
        <v>0</v>
      </c>
      <c r="E45" s="2" t="s">
        <v>27</v>
      </c>
      <c r="F45" s="2">
        <f t="shared" si="6"/>
        <v>2936.375</v>
      </c>
      <c r="G45" s="3">
        <v>0</v>
      </c>
      <c r="H45">
        <v>0</v>
      </c>
      <c r="I45">
        <v>1310.5</v>
      </c>
      <c r="J45">
        <v>15757</v>
      </c>
      <c r="K45">
        <v>15549</v>
      </c>
      <c r="L45" s="2">
        <v>25.815625000000001</v>
      </c>
      <c r="M45" s="5">
        <v>28.699000000000005</v>
      </c>
      <c r="N45" s="1">
        <v>181.56280000000001</v>
      </c>
      <c r="O45" s="2">
        <v>6.2</v>
      </c>
      <c r="P45">
        <v>104</v>
      </c>
    </row>
    <row r="46" spans="1:16" x14ac:dyDescent="0.35">
      <c r="A46" s="4">
        <v>43862</v>
      </c>
      <c r="B46" t="s">
        <v>16</v>
      </c>
      <c r="C46" t="s">
        <v>12</v>
      </c>
      <c r="D46">
        <v>1</v>
      </c>
      <c r="E46" s="2">
        <f>(2565+2568+2967+2967)/4</f>
        <v>2766.75</v>
      </c>
      <c r="F46" s="2">
        <f t="shared" si="6"/>
        <v>2936.375</v>
      </c>
      <c r="G46" s="3">
        <v>0</v>
      </c>
      <c r="H46">
        <v>0</v>
      </c>
      <c r="I46">
        <v>1310.5</v>
      </c>
      <c r="J46">
        <v>15757</v>
      </c>
      <c r="K46">
        <v>15549</v>
      </c>
      <c r="L46" s="2">
        <v>25.815625000000001</v>
      </c>
      <c r="M46" s="5">
        <v>28.699000000000005</v>
      </c>
      <c r="N46" s="1">
        <v>181.56280000000001</v>
      </c>
      <c r="O46" s="2">
        <v>6.2</v>
      </c>
      <c r="P46">
        <v>104</v>
      </c>
    </row>
    <row r="47" spans="1:16" x14ac:dyDescent="0.35">
      <c r="A47" s="4">
        <v>43862</v>
      </c>
      <c r="B47" t="s">
        <v>16</v>
      </c>
      <c r="C47" t="s">
        <v>13</v>
      </c>
      <c r="D47">
        <v>1</v>
      </c>
      <c r="E47" s="2">
        <f>(2900*3+2750)/4</f>
        <v>2862.5</v>
      </c>
      <c r="F47" s="2">
        <f t="shared" si="6"/>
        <v>2936.375</v>
      </c>
      <c r="G47" s="3">
        <v>0</v>
      </c>
      <c r="H47">
        <v>0</v>
      </c>
      <c r="I47">
        <v>1310.5</v>
      </c>
      <c r="J47">
        <v>15757</v>
      </c>
      <c r="K47">
        <v>15549</v>
      </c>
      <c r="L47" s="2">
        <v>25.815625000000001</v>
      </c>
      <c r="M47" s="5">
        <v>28.699000000000005</v>
      </c>
      <c r="N47" s="1">
        <v>181.56280000000001</v>
      </c>
      <c r="O47" s="2">
        <v>6.2</v>
      </c>
      <c r="P47">
        <v>104</v>
      </c>
    </row>
    <row r="48" spans="1:16" x14ac:dyDescent="0.35">
      <c r="A48" s="4">
        <v>43862</v>
      </c>
      <c r="B48" t="s">
        <v>16</v>
      </c>
      <c r="C48" t="s">
        <v>14</v>
      </c>
      <c r="D48">
        <v>1</v>
      </c>
      <c r="E48" s="2">
        <f>(3033+3175+3300+3275)/4</f>
        <v>3195.75</v>
      </c>
      <c r="F48" s="2">
        <f t="shared" si="6"/>
        <v>2936.375</v>
      </c>
      <c r="G48" s="3">
        <v>0</v>
      </c>
      <c r="H48">
        <v>0</v>
      </c>
      <c r="I48">
        <v>1310.5</v>
      </c>
      <c r="J48">
        <v>15757</v>
      </c>
      <c r="K48">
        <v>15549</v>
      </c>
      <c r="L48" s="2">
        <v>25.815625000000001</v>
      </c>
      <c r="M48" s="5">
        <v>28.699000000000005</v>
      </c>
      <c r="N48" s="1">
        <v>181.56280000000001</v>
      </c>
      <c r="O48" s="2">
        <v>6.2</v>
      </c>
      <c r="P48">
        <v>104</v>
      </c>
    </row>
    <row r="49" spans="1:16" x14ac:dyDescent="0.35">
      <c r="A49" s="4">
        <v>43862</v>
      </c>
      <c r="B49" t="s">
        <v>16</v>
      </c>
      <c r="C49" t="s">
        <v>15</v>
      </c>
      <c r="D49">
        <v>0</v>
      </c>
      <c r="E49" s="2" t="s">
        <v>27</v>
      </c>
      <c r="F49" s="2">
        <f t="shared" si="6"/>
        <v>2936.375</v>
      </c>
      <c r="G49" s="3">
        <v>0</v>
      </c>
      <c r="H49">
        <v>0</v>
      </c>
      <c r="I49">
        <v>1310.5</v>
      </c>
      <c r="J49">
        <v>15757</v>
      </c>
      <c r="K49">
        <v>15549</v>
      </c>
      <c r="L49" s="2">
        <v>25.815625000000001</v>
      </c>
      <c r="M49" s="5">
        <v>28.699000000000005</v>
      </c>
      <c r="N49" s="1">
        <v>181.56280000000001</v>
      </c>
      <c r="O49" s="2">
        <v>6.2</v>
      </c>
      <c r="P49">
        <v>104</v>
      </c>
    </row>
    <row r="50" spans="1:16" x14ac:dyDescent="0.35">
      <c r="A50" s="4">
        <v>43862</v>
      </c>
      <c r="B50" t="s">
        <v>17</v>
      </c>
      <c r="C50" t="s">
        <v>10</v>
      </c>
      <c r="D50">
        <v>1</v>
      </c>
      <c r="E50" s="2">
        <f>(2483+2783+2766+2750)/4</f>
        <v>2695.5</v>
      </c>
      <c r="F50" s="2">
        <f t="shared" ref="F50:F55" si="7">(2576.6+2625.8+2426.6+2393.6)/4</f>
        <v>2505.65</v>
      </c>
      <c r="G50" s="3">
        <v>0</v>
      </c>
      <c r="H50">
        <v>0</v>
      </c>
      <c r="I50">
        <v>1310.5</v>
      </c>
      <c r="J50">
        <v>15757</v>
      </c>
      <c r="K50">
        <v>15549</v>
      </c>
      <c r="L50" s="2">
        <v>25.815625000000001</v>
      </c>
      <c r="M50" s="5">
        <v>28.699000000000005</v>
      </c>
      <c r="N50" s="1">
        <v>181.56280000000001</v>
      </c>
      <c r="O50" s="2">
        <v>6.2</v>
      </c>
      <c r="P50">
        <v>104</v>
      </c>
    </row>
    <row r="51" spans="1:16" x14ac:dyDescent="0.35">
      <c r="A51" s="4">
        <v>43862</v>
      </c>
      <c r="B51" t="s">
        <v>17</v>
      </c>
      <c r="C51" t="s">
        <v>11</v>
      </c>
      <c r="D51">
        <v>1</v>
      </c>
      <c r="E51" s="2">
        <f>(2600+3000+2300+2400)/4</f>
        <v>2575</v>
      </c>
      <c r="F51" s="2">
        <f t="shared" si="7"/>
        <v>2505.65</v>
      </c>
      <c r="G51" s="3">
        <v>0</v>
      </c>
      <c r="H51">
        <v>0</v>
      </c>
      <c r="I51">
        <v>1310.5</v>
      </c>
      <c r="J51">
        <v>15757</v>
      </c>
      <c r="K51">
        <v>15549</v>
      </c>
      <c r="L51" s="2">
        <v>25.815625000000001</v>
      </c>
      <c r="M51" s="5">
        <v>28.699000000000005</v>
      </c>
      <c r="N51" s="1">
        <v>181.56280000000001</v>
      </c>
      <c r="O51" s="2">
        <v>6.2</v>
      </c>
      <c r="P51">
        <v>104</v>
      </c>
    </row>
    <row r="52" spans="1:16" x14ac:dyDescent="0.35">
      <c r="A52" s="4">
        <v>43862</v>
      </c>
      <c r="B52" t="s">
        <v>17</v>
      </c>
      <c r="C52" t="s">
        <v>12</v>
      </c>
      <c r="D52">
        <v>1</v>
      </c>
      <c r="E52" s="2">
        <f>(2160+2165+2483+2483)/4</f>
        <v>2322.75</v>
      </c>
      <c r="F52" s="2">
        <f t="shared" si="7"/>
        <v>2505.65</v>
      </c>
      <c r="G52" s="3">
        <v>0</v>
      </c>
      <c r="H52">
        <v>0</v>
      </c>
      <c r="I52">
        <v>1310.5</v>
      </c>
      <c r="J52">
        <v>15757</v>
      </c>
      <c r="K52">
        <v>15549</v>
      </c>
      <c r="L52" s="2">
        <v>25.815625000000001</v>
      </c>
      <c r="M52" s="5">
        <v>28.699000000000005</v>
      </c>
      <c r="N52" s="1">
        <v>181.56280000000001</v>
      </c>
      <c r="O52" s="2">
        <v>6.2</v>
      </c>
      <c r="P52">
        <v>104</v>
      </c>
    </row>
    <row r="53" spans="1:16" x14ac:dyDescent="0.35">
      <c r="A53" s="4">
        <v>43862</v>
      </c>
      <c r="B53" t="s">
        <v>17</v>
      </c>
      <c r="C53" t="s">
        <v>13</v>
      </c>
      <c r="D53">
        <v>1</v>
      </c>
      <c r="E53" s="2">
        <v>2350</v>
      </c>
      <c r="F53" s="2">
        <f t="shared" si="7"/>
        <v>2505.65</v>
      </c>
      <c r="G53" s="3">
        <v>0</v>
      </c>
      <c r="H53">
        <v>0</v>
      </c>
      <c r="I53">
        <v>1310.5</v>
      </c>
      <c r="J53">
        <v>15757</v>
      </c>
      <c r="K53">
        <v>15549</v>
      </c>
      <c r="L53" s="2">
        <v>25.815625000000001</v>
      </c>
      <c r="M53" s="5">
        <v>28.699000000000005</v>
      </c>
      <c r="N53" s="1">
        <v>181.56280000000001</v>
      </c>
      <c r="O53" s="2">
        <v>6.2</v>
      </c>
      <c r="P53">
        <v>104</v>
      </c>
    </row>
    <row r="54" spans="1:16" x14ac:dyDescent="0.35">
      <c r="A54" s="4">
        <v>43862</v>
      </c>
      <c r="B54" t="s">
        <v>17</v>
      </c>
      <c r="C54" t="s">
        <v>14</v>
      </c>
      <c r="D54">
        <v>1</v>
      </c>
      <c r="E54" s="2">
        <f>(2575+2535+2530+2700)/4</f>
        <v>2585</v>
      </c>
      <c r="F54" s="2">
        <f t="shared" si="7"/>
        <v>2505.65</v>
      </c>
      <c r="G54" s="3">
        <v>0</v>
      </c>
      <c r="H54">
        <v>0</v>
      </c>
      <c r="I54">
        <v>1310.5</v>
      </c>
      <c r="J54">
        <v>15757</v>
      </c>
      <c r="K54">
        <v>15549</v>
      </c>
      <c r="L54" s="2">
        <v>25.815625000000001</v>
      </c>
      <c r="M54" s="5">
        <v>28.699000000000005</v>
      </c>
      <c r="N54" s="1">
        <v>181.56280000000001</v>
      </c>
      <c r="O54" s="2">
        <v>6.2</v>
      </c>
      <c r="P54">
        <v>104</v>
      </c>
    </row>
    <row r="55" spans="1:16" x14ac:dyDescent="0.35">
      <c r="A55" s="4">
        <v>43862</v>
      </c>
      <c r="B55" t="s">
        <v>17</v>
      </c>
      <c r="C55" t="s">
        <v>15</v>
      </c>
      <c r="D55">
        <v>0</v>
      </c>
      <c r="E55" s="2" t="s">
        <v>27</v>
      </c>
      <c r="F55" s="2">
        <f t="shared" si="7"/>
        <v>2505.65</v>
      </c>
      <c r="G55" s="3">
        <v>0</v>
      </c>
      <c r="H55">
        <v>0</v>
      </c>
      <c r="I55">
        <v>1310.5</v>
      </c>
      <c r="J55">
        <v>15757</v>
      </c>
      <c r="K55">
        <v>15549</v>
      </c>
      <c r="L55" s="2">
        <v>25.815625000000001</v>
      </c>
      <c r="M55" s="5">
        <v>28.699000000000005</v>
      </c>
      <c r="N55" s="1">
        <v>181.56280000000001</v>
      </c>
      <c r="O55" s="2">
        <v>6.2</v>
      </c>
      <c r="P55">
        <v>104</v>
      </c>
    </row>
    <row r="56" spans="1:16" x14ac:dyDescent="0.35">
      <c r="A56" s="4">
        <v>43862</v>
      </c>
      <c r="B56" t="s">
        <v>18</v>
      </c>
      <c r="C56" t="s">
        <v>10</v>
      </c>
      <c r="D56">
        <v>1</v>
      </c>
      <c r="E56" s="2">
        <f>(2383+2450+2450+2466)/4</f>
        <v>2437.25</v>
      </c>
      <c r="F56" s="2">
        <f t="shared" ref="F56:F61" si="8">(2269.86+2286.43+2198.71+2188.43)/4</f>
        <v>2235.8575000000001</v>
      </c>
      <c r="G56" s="3">
        <v>0</v>
      </c>
      <c r="H56">
        <v>0</v>
      </c>
      <c r="I56">
        <v>1310.5</v>
      </c>
      <c r="J56">
        <v>15757</v>
      </c>
      <c r="K56">
        <v>15549</v>
      </c>
      <c r="L56" s="2">
        <v>25.815625000000001</v>
      </c>
      <c r="M56" s="5">
        <v>28.699000000000005</v>
      </c>
      <c r="N56" s="1">
        <v>181.56280000000001</v>
      </c>
      <c r="O56" s="2">
        <v>6.2</v>
      </c>
      <c r="P56">
        <v>104</v>
      </c>
    </row>
    <row r="57" spans="1:16" x14ac:dyDescent="0.35">
      <c r="A57" s="4">
        <v>43862</v>
      </c>
      <c r="B57" t="s">
        <v>18</v>
      </c>
      <c r="C57" t="s">
        <v>11</v>
      </c>
      <c r="D57">
        <v>1</v>
      </c>
      <c r="E57" s="2">
        <f>(2400+2500+2200+2300)/4</f>
        <v>2350</v>
      </c>
      <c r="F57" s="2">
        <f t="shared" si="8"/>
        <v>2235.8575000000001</v>
      </c>
      <c r="G57" s="3">
        <v>0</v>
      </c>
      <c r="H57">
        <v>0</v>
      </c>
      <c r="I57">
        <v>1310.5</v>
      </c>
      <c r="J57">
        <v>15757</v>
      </c>
      <c r="K57">
        <v>15549</v>
      </c>
      <c r="L57" s="2">
        <v>25.815625000000001</v>
      </c>
      <c r="M57" s="5">
        <v>28.699000000000005</v>
      </c>
      <c r="N57" s="1">
        <v>181.56280000000001</v>
      </c>
      <c r="O57" s="2">
        <v>6.2</v>
      </c>
      <c r="P57">
        <v>104</v>
      </c>
    </row>
    <row r="58" spans="1:16" x14ac:dyDescent="0.35">
      <c r="A58" s="4">
        <v>43862</v>
      </c>
      <c r="B58" t="s">
        <v>18</v>
      </c>
      <c r="C58" t="s">
        <v>12</v>
      </c>
      <c r="D58">
        <v>1</v>
      </c>
      <c r="E58" s="2">
        <f>(1986+1983+2165+2165)/4</f>
        <v>2074.75</v>
      </c>
      <c r="F58" s="2">
        <f t="shared" si="8"/>
        <v>2235.8575000000001</v>
      </c>
      <c r="G58" s="3">
        <v>0</v>
      </c>
      <c r="H58">
        <v>0</v>
      </c>
      <c r="I58">
        <v>1310.5</v>
      </c>
      <c r="J58">
        <v>15757</v>
      </c>
      <c r="K58">
        <v>15549</v>
      </c>
      <c r="L58" s="2">
        <v>25.815625000000001</v>
      </c>
      <c r="M58" s="5">
        <v>28.699000000000005</v>
      </c>
      <c r="N58" s="1">
        <v>181.56280000000001</v>
      </c>
      <c r="O58" s="2">
        <v>6.2</v>
      </c>
      <c r="P58">
        <v>104</v>
      </c>
    </row>
    <row r="59" spans="1:16" x14ac:dyDescent="0.35">
      <c r="A59" s="4">
        <v>43862</v>
      </c>
      <c r="B59" t="s">
        <v>18</v>
      </c>
      <c r="C59" t="s">
        <v>13</v>
      </c>
      <c r="D59">
        <v>1</v>
      </c>
      <c r="E59" s="2">
        <v>2200</v>
      </c>
      <c r="F59" s="2">
        <f t="shared" si="8"/>
        <v>2235.8575000000001</v>
      </c>
      <c r="G59" s="3">
        <v>0</v>
      </c>
      <c r="H59">
        <v>0</v>
      </c>
      <c r="I59">
        <v>1310.5</v>
      </c>
      <c r="J59">
        <v>15757</v>
      </c>
      <c r="K59">
        <v>15549</v>
      </c>
      <c r="L59" s="2">
        <v>25.815625000000001</v>
      </c>
      <c r="M59" s="5">
        <v>28.699000000000005</v>
      </c>
      <c r="N59" s="1">
        <v>181.56280000000001</v>
      </c>
      <c r="O59" s="2">
        <v>6.2</v>
      </c>
      <c r="P59">
        <v>104</v>
      </c>
    </row>
    <row r="60" spans="1:16" x14ac:dyDescent="0.35">
      <c r="A60" s="4">
        <v>43862</v>
      </c>
      <c r="B60" t="s">
        <v>18</v>
      </c>
      <c r="C60" t="s">
        <v>14</v>
      </c>
      <c r="D60">
        <v>1</v>
      </c>
      <c r="E60" s="2">
        <f>(2275+2283+2290+2433)/4</f>
        <v>2320.25</v>
      </c>
      <c r="F60" s="2">
        <f t="shared" si="8"/>
        <v>2235.8575000000001</v>
      </c>
      <c r="G60" s="3">
        <v>0</v>
      </c>
      <c r="H60">
        <v>0</v>
      </c>
      <c r="I60">
        <v>1310.5</v>
      </c>
      <c r="J60">
        <v>15757</v>
      </c>
      <c r="K60">
        <v>15549</v>
      </c>
      <c r="L60" s="2">
        <v>25.815625000000001</v>
      </c>
      <c r="M60" s="5">
        <v>28.699000000000005</v>
      </c>
      <c r="N60" s="1">
        <v>181.56280000000001</v>
      </c>
      <c r="O60" s="2">
        <v>6.2</v>
      </c>
      <c r="P60">
        <v>104</v>
      </c>
    </row>
    <row r="61" spans="1:16" x14ac:dyDescent="0.35">
      <c r="A61" s="4">
        <v>43862</v>
      </c>
      <c r="B61" t="s">
        <v>18</v>
      </c>
      <c r="C61" t="s">
        <v>15</v>
      </c>
      <c r="D61">
        <v>1</v>
      </c>
      <c r="E61" s="2">
        <f>(2225+2225+2300+2275)/4</f>
        <v>2256.25</v>
      </c>
      <c r="F61" s="2">
        <f t="shared" si="8"/>
        <v>2235.8575000000001</v>
      </c>
      <c r="G61" s="3">
        <v>0</v>
      </c>
      <c r="H61">
        <v>0</v>
      </c>
      <c r="I61">
        <v>1310.5</v>
      </c>
      <c r="J61">
        <v>15757</v>
      </c>
      <c r="K61">
        <v>15549</v>
      </c>
      <c r="L61" s="2">
        <v>25.815625000000001</v>
      </c>
      <c r="M61" s="5">
        <v>28.699000000000005</v>
      </c>
      <c r="N61" s="1">
        <v>181.56280000000001</v>
      </c>
      <c r="O61" s="2">
        <v>6.2</v>
      </c>
      <c r="P61">
        <v>104</v>
      </c>
    </row>
    <row r="62" spans="1:16" x14ac:dyDescent="0.35">
      <c r="A62" s="4">
        <v>43862</v>
      </c>
      <c r="B62" t="s">
        <v>19</v>
      </c>
      <c r="C62" t="s">
        <v>10</v>
      </c>
      <c r="D62">
        <v>1</v>
      </c>
      <c r="E62" s="2">
        <f>(2066+2200+2216+2200)/4</f>
        <v>2170.5</v>
      </c>
      <c r="F62" s="2">
        <f t="shared" ref="F62:F67" si="9">(1968+2000.57+2097.29+2055.71)/4</f>
        <v>2030.3924999999999</v>
      </c>
      <c r="G62" s="3">
        <v>0</v>
      </c>
      <c r="H62">
        <v>0</v>
      </c>
      <c r="I62">
        <v>1310.5</v>
      </c>
      <c r="J62">
        <v>15757</v>
      </c>
      <c r="K62">
        <v>15549</v>
      </c>
      <c r="L62" s="2">
        <v>25.815625000000001</v>
      </c>
      <c r="M62" s="5">
        <v>28.699000000000005</v>
      </c>
      <c r="N62" s="1">
        <v>181.56280000000001</v>
      </c>
      <c r="O62" s="2">
        <v>6.2</v>
      </c>
      <c r="P62">
        <v>104</v>
      </c>
    </row>
    <row r="63" spans="1:16" x14ac:dyDescent="0.35">
      <c r="A63" s="4">
        <v>43862</v>
      </c>
      <c r="B63" t="s">
        <v>19</v>
      </c>
      <c r="C63" t="s">
        <v>11</v>
      </c>
      <c r="D63">
        <v>1</v>
      </c>
      <c r="E63" s="2">
        <f>(2200+2400+2000+2000)/4</f>
        <v>2150</v>
      </c>
      <c r="F63" s="2">
        <f t="shared" si="9"/>
        <v>2030.3924999999999</v>
      </c>
      <c r="G63" s="3">
        <v>0</v>
      </c>
      <c r="H63">
        <v>0</v>
      </c>
      <c r="I63">
        <v>1310.5</v>
      </c>
      <c r="J63">
        <v>15757</v>
      </c>
      <c r="K63">
        <v>15549</v>
      </c>
      <c r="L63" s="2">
        <v>25.815625000000001</v>
      </c>
      <c r="M63" s="5">
        <v>28.699000000000005</v>
      </c>
      <c r="N63" s="1">
        <v>181.56280000000001</v>
      </c>
      <c r="O63" s="2">
        <v>6.2</v>
      </c>
      <c r="P63">
        <v>104</v>
      </c>
    </row>
    <row r="64" spans="1:16" x14ac:dyDescent="0.35">
      <c r="A64" s="4">
        <v>43862</v>
      </c>
      <c r="B64" t="s">
        <v>19</v>
      </c>
      <c r="C64" t="s">
        <v>12</v>
      </c>
      <c r="D64">
        <v>1</v>
      </c>
      <c r="E64" s="2">
        <f>(1765+1766+1965+1965)/4</f>
        <v>1865.25</v>
      </c>
      <c r="F64" s="2">
        <f t="shared" si="9"/>
        <v>2030.3924999999999</v>
      </c>
      <c r="G64" s="3">
        <v>0</v>
      </c>
      <c r="H64">
        <v>0</v>
      </c>
      <c r="I64">
        <v>1310.5</v>
      </c>
      <c r="J64">
        <v>15757</v>
      </c>
      <c r="K64">
        <v>15549</v>
      </c>
      <c r="L64" s="2">
        <v>25.815625000000001</v>
      </c>
      <c r="M64" s="5">
        <v>28.699000000000005</v>
      </c>
      <c r="N64" s="1">
        <v>181.56280000000001</v>
      </c>
      <c r="O64" s="2">
        <v>6.2</v>
      </c>
      <c r="P64">
        <v>104</v>
      </c>
    </row>
    <row r="65" spans="1:16" x14ac:dyDescent="0.35">
      <c r="A65" s="4">
        <v>43862</v>
      </c>
      <c r="B65" t="s">
        <v>19</v>
      </c>
      <c r="C65" t="s">
        <v>13</v>
      </c>
      <c r="D65">
        <v>1</v>
      </c>
      <c r="E65" s="2">
        <v>2115</v>
      </c>
      <c r="F65" s="2">
        <f t="shared" si="9"/>
        <v>2030.3924999999999</v>
      </c>
      <c r="G65" s="3">
        <v>0</v>
      </c>
      <c r="H65">
        <v>0</v>
      </c>
      <c r="I65">
        <v>1310.5</v>
      </c>
      <c r="J65">
        <v>15757</v>
      </c>
      <c r="K65">
        <v>15549</v>
      </c>
      <c r="L65" s="2">
        <v>25.815625000000001</v>
      </c>
      <c r="M65" s="5">
        <v>28.699000000000005</v>
      </c>
      <c r="N65" s="1">
        <v>181.56280000000001</v>
      </c>
      <c r="O65" s="2">
        <v>6.2</v>
      </c>
      <c r="P65">
        <v>104</v>
      </c>
    </row>
    <row r="66" spans="1:16" x14ac:dyDescent="0.35">
      <c r="A66" s="4">
        <v>43862</v>
      </c>
      <c r="B66" t="s">
        <v>19</v>
      </c>
      <c r="C66" t="s">
        <v>14</v>
      </c>
      <c r="D66">
        <v>1</v>
      </c>
      <c r="E66" s="2">
        <f>(2125+2225+2133+2090)/4</f>
        <v>2143.25</v>
      </c>
      <c r="F66" s="2">
        <f t="shared" si="9"/>
        <v>2030.3924999999999</v>
      </c>
      <c r="G66" s="3">
        <v>0</v>
      </c>
      <c r="H66">
        <v>0</v>
      </c>
      <c r="I66">
        <v>1310.5</v>
      </c>
      <c r="J66">
        <v>15757</v>
      </c>
      <c r="K66">
        <v>15549</v>
      </c>
      <c r="L66" s="2">
        <v>25.815625000000001</v>
      </c>
      <c r="M66" s="5">
        <v>28.699000000000005</v>
      </c>
      <c r="N66" s="1">
        <v>181.56280000000001</v>
      </c>
      <c r="O66" s="2">
        <v>6.2</v>
      </c>
      <c r="P66">
        <v>104</v>
      </c>
    </row>
    <row r="67" spans="1:16" x14ac:dyDescent="0.35">
      <c r="A67" s="4">
        <v>43862</v>
      </c>
      <c r="B67" t="s">
        <v>19</v>
      </c>
      <c r="C67" t="s">
        <v>15</v>
      </c>
      <c r="D67">
        <v>1</v>
      </c>
      <c r="E67" s="2">
        <f>(2250+2225+2150+2150)/4</f>
        <v>2193.75</v>
      </c>
      <c r="F67" s="2">
        <f t="shared" si="9"/>
        <v>2030.3924999999999</v>
      </c>
      <c r="G67" s="3">
        <v>0</v>
      </c>
      <c r="H67">
        <v>0</v>
      </c>
      <c r="I67">
        <v>1310.5</v>
      </c>
      <c r="J67">
        <v>15757</v>
      </c>
      <c r="K67">
        <v>15549</v>
      </c>
      <c r="L67" s="2">
        <v>25.815625000000001</v>
      </c>
      <c r="M67" s="5">
        <v>28.699000000000005</v>
      </c>
      <c r="N67" s="1">
        <v>181.56280000000001</v>
      </c>
      <c r="O67" s="2">
        <v>6.2</v>
      </c>
      <c r="P67">
        <v>104</v>
      </c>
    </row>
    <row r="68" spans="1:16" x14ac:dyDescent="0.35">
      <c r="A68" s="4">
        <v>43862</v>
      </c>
      <c r="B68" t="s">
        <v>20</v>
      </c>
      <c r="C68" t="s">
        <v>10</v>
      </c>
      <c r="D68">
        <v>1</v>
      </c>
      <c r="E68" s="2">
        <f>(1516+1583+1600+1516)/4</f>
        <v>1553.75</v>
      </c>
      <c r="F68" s="2">
        <f t="shared" ref="F68:F73" si="10">(1675.17+1702+1814.67+1791)/4</f>
        <v>1745.71</v>
      </c>
      <c r="G68" s="3">
        <v>0</v>
      </c>
      <c r="H68">
        <v>0</v>
      </c>
      <c r="I68">
        <v>1310.5</v>
      </c>
      <c r="J68">
        <v>15757</v>
      </c>
      <c r="K68">
        <v>15549</v>
      </c>
      <c r="L68" s="2">
        <v>25.815625000000001</v>
      </c>
      <c r="M68" s="5">
        <v>28.699000000000005</v>
      </c>
      <c r="N68" s="1">
        <v>181.56280000000001</v>
      </c>
      <c r="O68" s="2">
        <v>6.2</v>
      </c>
      <c r="P68">
        <v>104</v>
      </c>
    </row>
    <row r="69" spans="1:16" x14ac:dyDescent="0.35">
      <c r="A69" s="4">
        <v>43862</v>
      </c>
      <c r="B69" t="s">
        <v>20</v>
      </c>
      <c r="C69" t="s">
        <v>11</v>
      </c>
      <c r="D69">
        <v>1</v>
      </c>
      <c r="E69" s="2">
        <f>(1750+1800*2+2000)/4</f>
        <v>1837.5</v>
      </c>
      <c r="F69" s="2">
        <f t="shared" si="10"/>
        <v>1745.71</v>
      </c>
      <c r="G69" s="3">
        <v>0</v>
      </c>
      <c r="H69">
        <v>0</v>
      </c>
      <c r="I69">
        <v>1310.5</v>
      </c>
      <c r="J69">
        <v>15757</v>
      </c>
      <c r="K69">
        <v>15549</v>
      </c>
      <c r="L69" s="2">
        <v>25.815625000000001</v>
      </c>
      <c r="M69" s="5">
        <v>28.699000000000005</v>
      </c>
      <c r="N69" s="1">
        <v>181.56280000000001</v>
      </c>
      <c r="O69" s="2">
        <v>6.2</v>
      </c>
      <c r="P69">
        <v>104</v>
      </c>
    </row>
    <row r="70" spans="1:16" x14ac:dyDescent="0.35">
      <c r="A70" s="4">
        <v>43862</v>
      </c>
      <c r="B70" t="s">
        <v>20</v>
      </c>
      <c r="C70" t="s">
        <v>12</v>
      </c>
      <c r="D70">
        <v>1</v>
      </c>
      <c r="E70" s="2">
        <f>(1370+1367+1580*2)/4</f>
        <v>1474.25</v>
      </c>
      <c r="F70" s="2">
        <f t="shared" si="10"/>
        <v>1745.71</v>
      </c>
      <c r="G70" s="3">
        <v>0</v>
      </c>
      <c r="H70">
        <v>0</v>
      </c>
      <c r="I70">
        <v>1310.5</v>
      </c>
      <c r="J70">
        <v>15757</v>
      </c>
      <c r="K70">
        <v>15549</v>
      </c>
      <c r="L70" s="2">
        <v>25.815625000000001</v>
      </c>
      <c r="M70" s="5">
        <v>28.699000000000005</v>
      </c>
      <c r="N70" s="1">
        <v>181.56280000000001</v>
      </c>
      <c r="O70" s="2">
        <v>6.2</v>
      </c>
      <c r="P70">
        <v>104</v>
      </c>
    </row>
    <row r="71" spans="1:16" x14ac:dyDescent="0.35">
      <c r="A71" s="4">
        <v>43862</v>
      </c>
      <c r="B71" t="s">
        <v>20</v>
      </c>
      <c r="C71" t="s">
        <v>13</v>
      </c>
      <c r="D71">
        <v>1</v>
      </c>
      <c r="E71" s="2">
        <f>(1875*2+1750+1690)/4</f>
        <v>1797.5</v>
      </c>
      <c r="F71" s="2">
        <f t="shared" si="10"/>
        <v>1745.71</v>
      </c>
      <c r="G71" s="3">
        <v>0</v>
      </c>
      <c r="H71">
        <v>0</v>
      </c>
      <c r="I71">
        <v>1310.5</v>
      </c>
      <c r="J71">
        <v>15757</v>
      </c>
      <c r="K71">
        <v>15549</v>
      </c>
      <c r="L71" s="2">
        <v>25.815625000000001</v>
      </c>
      <c r="M71" s="5">
        <v>28.699000000000005</v>
      </c>
      <c r="N71" s="1">
        <v>181.56280000000001</v>
      </c>
      <c r="O71" s="2">
        <v>6.2</v>
      </c>
      <c r="P71">
        <v>104</v>
      </c>
    </row>
    <row r="72" spans="1:16" x14ac:dyDescent="0.35">
      <c r="A72" s="4">
        <v>43862</v>
      </c>
      <c r="B72" t="s">
        <v>20</v>
      </c>
      <c r="C72" t="s">
        <v>14</v>
      </c>
      <c r="D72">
        <v>1</v>
      </c>
      <c r="E72" s="2">
        <f>(1800+1870+1950+1975)/4</f>
        <v>1898.75</v>
      </c>
      <c r="F72" s="2">
        <f t="shared" si="10"/>
        <v>1745.71</v>
      </c>
      <c r="G72" s="3">
        <v>0</v>
      </c>
      <c r="H72">
        <v>0</v>
      </c>
      <c r="I72">
        <v>1310.5</v>
      </c>
      <c r="J72">
        <v>15757</v>
      </c>
      <c r="K72">
        <v>15549</v>
      </c>
      <c r="L72" s="2">
        <v>25.815625000000001</v>
      </c>
      <c r="M72" s="5">
        <v>28.699000000000005</v>
      </c>
      <c r="N72" s="1">
        <v>181.56280000000001</v>
      </c>
      <c r="O72" s="2">
        <v>6.2</v>
      </c>
      <c r="P72">
        <v>104</v>
      </c>
    </row>
    <row r="73" spans="1:16" x14ac:dyDescent="0.35">
      <c r="A73" s="4">
        <v>43862</v>
      </c>
      <c r="B73" t="s">
        <v>20</v>
      </c>
      <c r="C73" t="s">
        <v>15</v>
      </c>
      <c r="D73">
        <v>1</v>
      </c>
      <c r="E73" s="2">
        <f>(2000+1900+1875*2)/4</f>
        <v>1912.5</v>
      </c>
      <c r="F73" s="2">
        <f t="shared" si="10"/>
        <v>1745.71</v>
      </c>
      <c r="G73" s="3">
        <v>0</v>
      </c>
      <c r="H73">
        <v>0</v>
      </c>
      <c r="I73">
        <v>1310.5</v>
      </c>
      <c r="J73">
        <v>15757</v>
      </c>
      <c r="K73">
        <v>15549</v>
      </c>
      <c r="L73" s="2">
        <v>25.815625000000001</v>
      </c>
      <c r="M73" s="5">
        <v>28.699000000000005</v>
      </c>
      <c r="N73" s="1">
        <v>181.56280000000001</v>
      </c>
      <c r="O73" s="2">
        <v>6.2</v>
      </c>
      <c r="P73">
        <v>104</v>
      </c>
    </row>
    <row r="74" spans="1:16" x14ac:dyDescent="0.35">
      <c r="A74" s="4">
        <v>43862</v>
      </c>
      <c r="B74" t="s">
        <v>21</v>
      </c>
      <c r="C74" t="s">
        <v>10</v>
      </c>
      <c r="D74">
        <v>1</v>
      </c>
      <c r="E74" s="2">
        <f>(1316+1266+1283+1250)/4</f>
        <v>1278.75</v>
      </c>
      <c r="F74" s="2">
        <f t="shared" ref="F74:F79" si="11">(1688.33+1664+1590.67+1558.33)/4</f>
        <v>1625.3325</v>
      </c>
      <c r="G74" s="3">
        <v>0</v>
      </c>
      <c r="H74">
        <v>0</v>
      </c>
      <c r="I74">
        <v>1310.5</v>
      </c>
      <c r="J74">
        <v>15757</v>
      </c>
      <c r="K74">
        <v>15549</v>
      </c>
      <c r="L74" s="2">
        <v>25.815625000000001</v>
      </c>
      <c r="M74" s="5">
        <v>28.699000000000005</v>
      </c>
      <c r="N74" s="1">
        <v>181.56280000000001</v>
      </c>
      <c r="O74" s="2">
        <v>6.2</v>
      </c>
      <c r="P74">
        <v>104</v>
      </c>
    </row>
    <row r="75" spans="1:16" x14ac:dyDescent="0.35">
      <c r="A75" s="4">
        <v>43862</v>
      </c>
      <c r="B75" t="s">
        <v>21</v>
      </c>
      <c r="C75" t="s">
        <v>11</v>
      </c>
      <c r="D75">
        <v>1</v>
      </c>
      <c r="E75" s="2">
        <f>(1700*2+1900+1750)/4</f>
        <v>1762.5</v>
      </c>
      <c r="F75" s="2">
        <f t="shared" si="11"/>
        <v>1625.3325</v>
      </c>
      <c r="G75" s="3">
        <v>0</v>
      </c>
      <c r="H75">
        <v>0</v>
      </c>
      <c r="I75">
        <v>1310.5</v>
      </c>
      <c r="J75">
        <v>15757</v>
      </c>
      <c r="K75">
        <v>15549</v>
      </c>
      <c r="L75" s="2">
        <v>25.815625000000001</v>
      </c>
      <c r="M75" s="5">
        <v>28.699000000000005</v>
      </c>
      <c r="N75" s="1">
        <v>181.56280000000001</v>
      </c>
      <c r="O75" s="2">
        <v>6.2</v>
      </c>
      <c r="P75">
        <v>104</v>
      </c>
    </row>
    <row r="76" spans="1:16" x14ac:dyDescent="0.35">
      <c r="A76" s="4">
        <v>43862</v>
      </c>
      <c r="B76" t="s">
        <v>21</v>
      </c>
      <c r="C76" t="s">
        <v>12</v>
      </c>
      <c r="D76">
        <v>1</v>
      </c>
      <c r="E76" s="2">
        <v>1368</v>
      </c>
      <c r="F76" s="2">
        <f t="shared" si="11"/>
        <v>1625.3325</v>
      </c>
      <c r="G76" s="3">
        <v>0</v>
      </c>
      <c r="H76">
        <v>0</v>
      </c>
      <c r="I76">
        <v>1310.5</v>
      </c>
      <c r="J76">
        <v>15757</v>
      </c>
      <c r="K76">
        <v>15549</v>
      </c>
      <c r="L76" s="2">
        <v>25.815625000000001</v>
      </c>
      <c r="M76" s="5">
        <v>28.699000000000005</v>
      </c>
      <c r="N76" s="1">
        <v>181.56280000000001</v>
      </c>
      <c r="O76" s="2">
        <v>6.2</v>
      </c>
      <c r="P76">
        <v>104</v>
      </c>
    </row>
    <row r="77" spans="1:16" x14ac:dyDescent="0.35">
      <c r="A77" s="4">
        <v>43862</v>
      </c>
      <c r="B77" t="s">
        <v>21</v>
      </c>
      <c r="C77" t="s">
        <v>13</v>
      </c>
      <c r="D77">
        <v>1</v>
      </c>
      <c r="E77" s="2">
        <f>(1775*2+1675+1600)/4</f>
        <v>1706.25</v>
      </c>
      <c r="F77" s="2">
        <f t="shared" si="11"/>
        <v>1625.3325</v>
      </c>
      <c r="G77" s="3">
        <v>0</v>
      </c>
      <c r="H77">
        <v>0</v>
      </c>
      <c r="I77">
        <v>1310.5</v>
      </c>
      <c r="J77">
        <v>15757</v>
      </c>
      <c r="K77">
        <v>15549</v>
      </c>
      <c r="L77" s="2">
        <v>25.815625000000001</v>
      </c>
      <c r="M77" s="5">
        <v>28.699000000000005</v>
      </c>
      <c r="N77" s="1">
        <v>181.56280000000001</v>
      </c>
      <c r="O77" s="2">
        <v>6.2</v>
      </c>
      <c r="P77">
        <v>104</v>
      </c>
    </row>
    <row r="78" spans="1:16" x14ac:dyDescent="0.35">
      <c r="A78" s="4">
        <v>43862</v>
      </c>
      <c r="B78" t="s">
        <v>21</v>
      </c>
      <c r="C78" t="s">
        <v>14</v>
      </c>
      <c r="D78">
        <v>1</v>
      </c>
      <c r="E78" s="2">
        <f>(1871+1750+1793+1707)/4</f>
        <v>1780.25</v>
      </c>
      <c r="F78" s="2">
        <f t="shared" si="11"/>
        <v>1625.3325</v>
      </c>
      <c r="G78" s="3">
        <v>0</v>
      </c>
      <c r="H78">
        <v>0</v>
      </c>
      <c r="I78">
        <v>1310.5</v>
      </c>
      <c r="J78">
        <v>15757</v>
      </c>
      <c r="K78">
        <v>15549</v>
      </c>
      <c r="L78" s="2">
        <v>25.815625000000001</v>
      </c>
      <c r="M78" s="5">
        <v>28.699000000000005</v>
      </c>
      <c r="N78" s="1">
        <v>181.56280000000001</v>
      </c>
      <c r="O78" s="2">
        <v>6.2</v>
      </c>
      <c r="P78">
        <v>104</v>
      </c>
    </row>
    <row r="79" spans="1:16" x14ac:dyDescent="0.35">
      <c r="A79" s="4">
        <v>43862</v>
      </c>
      <c r="B79" t="s">
        <v>21</v>
      </c>
      <c r="C79" t="s">
        <v>15</v>
      </c>
      <c r="D79">
        <v>1</v>
      </c>
      <c r="E79" s="2">
        <f>(1825*3+1950)/4</f>
        <v>1856.25</v>
      </c>
      <c r="F79" s="2">
        <f t="shared" si="11"/>
        <v>1625.3325</v>
      </c>
      <c r="G79" s="3">
        <v>0</v>
      </c>
      <c r="H79">
        <v>0</v>
      </c>
      <c r="I79">
        <v>1310.5</v>
      </c>
      <c r="J79">
        <v>15757</v>
      </c>
      <c r="K79">
        <v>15549</v>
      </c>
      <c r="L79" s="2">
        <v>25.815625000000001</v>
      </c>
      <c r="M79" s="5">
        <v>28.699000000000005</v>
      </c>
      <c r="N79" s="1">
        <v>181.56280000000001</v>
      </c>
      <c r="O79" s="2">
        <v>6.2</v>
      </c>
      <c r="P79">
        <v>104</v>
      </c>
    </row>
    <row r="80" spans="1:16" x14ac:dyDescent="0.35">
      <c r="A80" s="4">
        <v>43862</v>
      </c>
      <c r="B80" t="s">
        <v>22</v>
      </c>
      <c r="C80" t="s">
        <v>10</v>
      </c>
      <c r="D80">
        <v>0</v>
      </c>
      <c r="E80" s="2" t="s">
        <v>27</v>
      </c>
      <c r="F80" s="2">
        <f t="shared" ref="F80:F85" si="12">(1492+1475+1500+1650)/4</f>
        <v>1529.25</v>
      </c>
      <c r="G80" s="3">
        <v>0</v>
      </c>
      <c r="H80">
        <v>0</v>
      </c>
      <c r="I80">
        <v>1310.5</v>
      </c>
      <c r="J80">
        <v>15757</v>
      </c>
      <c r="K80">
        <v>15549</v>
      </c>
      <c r="L80" s="2">
        <v>25.815625000000001</v>
      </c>
      <c r="M80" s="5">
        <v>28.699000000000005</v>
      </c>
      <c r="N80" s="1">
        <v>181.56280000000001</v>
      </c>
      <c r="O80" s="2">
        <v>6.2</v>
      </c>
      <c r="P80">
        <v>104</v>
      </c>
    </row>
    <row r="81" spans="1:16" x14ac:dyDescent="0.35">
      <c r="A81" s="4">
        <v>43862</v>
      </c>
      <c r="B81" t="s">
        <v>22</v>
      </c>
      <c r="C81" t="s">
        <v>11</v>
      </c>
      <c r="D81">
        <v>0</v>
      </c>
      <c r="E81" s="2" t="s">
        <v>27</v>
      </c>
      <c r="F81" s="2">
        <f t="shared" si="12"/>
        <v>1529.25</v>
      </c>
      <c r="G81" s="3">
        <v>0</v>
      </c>
      <c r="H81">
        <v>0</v>
      </c>
      <c r="I81">
        <v>1310.5</v>
      </c>
      <c r="J81">
        <v>15757</v>
      </c>
      <c r="K81">
        <v>15549</v>
      </c>
      <c r="L81" s="2">
        <v>25.815625000000001</v>
      </c>
      <c r="M81" s="5">
        <v>28.699000000000005</v>
      </c>
      <c r="N81" s="1">
        <v>181.56280000000001</v>
      </c>
      <c r="O81" s="2">
        <v>6.2</v>
      </c>
      <c r="P81">
        <v>104</v>
      </c>
    </row>
    <row r="82" spans="1:16" x14ac:dyDescent="0.35">
      <c r="A82" s="4">
        <v>43862</v>
      </c>
      <c r="B82" t="s">
        <v>22</v>
      </c>
      <c r="C82" t="s">
        <v>12</v>
      </c>
      <c r="D82">
        <v>0</v>
      </c>
      <c r="E82" s="2" t="s">
        <v>27</v>
      </c>
      <c r="F82" s="2">
        <f t="shared" si="12"/>
        <v>1529.25</v>
      </c>
      <c r="G82" s="3">
        <v>0</v>
      </c>
      <c r="H82">
        <v>0</v>
      </c>
      <c r="I82">
        <v>1310.5</v>
      </c>
      <c r="J82">
        <v>15757</v>
      </c>
      <c r="K82">
        <v>15549</v>
      </c>
      <c r="L82" s="2">
        <v>25.815625000000001</v>
      </c>
      <c r="M82" s="5">
        <v>28.699000000000005</v>
      </c>
      <c r="N82" s="1">
        <v>181.56280000000001</v>
      </c>
      <c r="O82" s="2">
        <v>6.2</v>
      </c>
      <c r="P82">
        <v>104</v>
      </c>
    </row>
    <row r="83" spans="1:16" x14ac:dyDescent="0.35">
      <c r="A83" s="4">
        <v>43862</v>
      </c>
      <c r="B83" t="s">
        <v>22</v>
      </c>
      <c r="C83" t="s">
        <v>13</v>
      </c>
      <c r="D83">
        <v>0</v>
      </c>
      <c r="E83" s="2" t="s">
        <v>27</v>
      </c>
      <c r="F83" s="2">
        <f t="shared" si="12"/>
        <v>1529.25</v>
      </c>
      <c r="G83" s="3">
        <v>0</v>
      </c>
      <c r="H83">
        <v>0</v>
      </c>
      <c r="I83">
        <v>1310.5</v>
      </c>
      <c r="J83">
        <v>15757</v>
      </c>
      <c r="K83">
        <v>15549</v>
      </c>
      <c r="L83" s="2">
        <v>25.815625000000001</v>
      </c>
      <c r="M83" s="5">
        <v>28.699000000000005</v>
      </c>
      <c r="N83" s="1">
        <v>181.56280000000001</v>
      </c>
      <c r="O83" s="2">
        <v>6.2</v>
      </c>
      <c r="P83">
        <v>104</v>
      </c>
    </row>
    <row r="84" spans="1:16" x14ac:dyDescent="0.35">
      <c r="A84" s="4">
        <v>43862</v>
      </c>
      <c r="B84" t="s">
        <v>22</v>
      </c>
      <c r="C84" t="s">
        <v>14</v>
      </c>
      <c r="D84">
        <v>1</v>
      </c>
      <c r="E84" s="2">
        <f>(1492+1475+1500+1650)/4</f>
        <v>1529.25</v>
      </c>
      <c r="F84" s="2">
        <f t="shared" si="12"/>
        <v>1529.25</v>
      </c>
      <c r="G84" s="3">
        <v>0</v>
      </c>
      <c r="H84">
        <v>0</v>
      </c>
      <c r="I84">
        <v>1310.5</v>
      </c>
      <c r="J84">
        <v>15757</v>
      </c>
      <c r="K84">
        <v>15549</v>
      </c>
      <c r="L84" s="2">
        <v>25.815625000000001</v>
      </c>
      <c r="M84" s="5">
        <v>28.699000000000005</v>
      </c>
      <c r="N84" s="1">
        <v>181.56280000000001</v>
      </c>
      <c r="O84" s="2">
        <v>6.2</v>
      </c>
      <c r="P84">
        <v>104</v>
      </c>
    </row>
    <row r="85" spans="1:16" x14ac:dyDescent="0.35">
      <c r="A85" s="4">
        <v>43862</v>
      </c>
      <c r="B85" t="s">
        <v>22</v>
      </c>
      <c r="C85" t="s">
        <v>15</v>
      </c>
      <c r="D85">
        <v>0</v>
      </c>
      <c r="E85" s="2" t="s">
        <v>27</v>
      </c>
      <c r="F85" s="2">
        <f t="shared" si="12"/>
        <v>1529.25</v>
      </c>
      <c r="G85" s="3">
        <v>0</v>
      </c>
      <c r="H85">
        <v>0</v>
      </c>
      <c r="I85">
        <v>1310.5</v>
      </c>
      <c r="J85">
        <v>15757</v>
      </c>
      <c r="K85">
        <v>15549</v>
      </c>
      <c r="L85" s="2">
        <v>25.815625000000001</v>
      </c>
      <c r="M85" s="5">
        <v>28.699000000000005</v>
      </c>
      <c r="N85" s="1">
        <v>181.56280000000001</v>
      </c>
      <c r="O85" s="2">
        <v>6.2</v>
      </c>
      <c r="P85">
        <v>104</v>
      </c>
    </row>
    <row r="86" spans="1:16" x14ac:dyDescent="0.35">
      <c r="A86" s="4">
        <v>43891</v>
      </c>
      <c r="B86" t="s">
        <v>16</v>
      </c>
      <c r="C86" t="s">
        <v>10</v>
      </c>
      <c r="D86">
        <v>1</v>
      </c>
      <c r="E86" s="2">
        <v>3008</v>
      </c>
      <c r="F86" s="2">
        <f t="shared" ref="F86:F91" si="13">(3157.75+3123)/2</f>
        <v>3140.375</v>
      </c>
      <c r="G86" s="3">
        <v>0</v>
      </c>
      <c r="H86">
        <v>0</v>
      </c>
      <c r="I86">
        <v>1123.3</v>
      </c>
      <c r="J86">
        <v>23807</v>
      </c>
      <c r="K86">
        <v>17770</v>
      </c>
      <c r="L86" s="2">
        <v>27.176875000000003</v>
      </c>
      <c r="M86" s="5">
        <v>29.895999999999997</v>
      </c>
      <c r="N86" s="1">
        <v>185.05670000000001</v>
      </c>
      <c r="O86" s="2">
        <v>5.4</v>
      </c>
      <c r="P86">
        <v>104</v>
      </c>
    </row>
    <row r="87" spans="1:16" x14ac:dyDescent="0.35">
      <c r="A87" s="4">
        <v>43891</v>
      </c>
      <c r="B87" t="s">
        <v>16</v>
      </c>
      <c r="C87" t="s">
        <v>11</v>
      </c>
      <c r="D87">
        <v>0</v>
      </c>
      <c r="E87" s="2" t="s">
        <v>27</v>
      </c>
      <c r="F87" s="2">
        <f t="shared" si="13"/>
        <v>3140.375</v>
      </c>
      <c r="G87" s="3">
        <v>0</v>
      </c>
      <c r="H87">
        <v>0</v>
      </c>
      <c r="I87">
        <v>1123.3</v>
      </c>
      <c r="J87">
        <v>23807</v>
      </c>
      <c r="K87">
        <v>17770</v>
      </c>
      <c r="L87" s="2">
        <v>27.176875000000003</v>
      </c>
      <c r="M87" s="5">
        <v>29.895999999999997</v>
      </c>
      <c r="N87" s="1">
        <v>185.05670000000001</v>
      </c>
      <c r="O87" s="2">
        <v>5.4</v>
      </c>
      <c r="P87">
        <v>104</v>
      </c>
    </row>
    <row r="88" spans="1:16" x14ac:dyDescent="0.35">
      <c r="A88" s="4">
        <v>43891</v>
      </c>
      <c r="B88" t="s">
        <v>16</v>
      </c>
      <c r="C88" t="s">
        <v>12</v>
      </c>
      <c r="D88">
        <v>1</v>
      </c>
      <c r="E88" s="2">
        <v>2966</v>
      </c>
      <c r="F88" s="2">
        <f t="shared" si="13"/>
        <v>3140.375</v>
      </c>
      <c r="G88" s="3">
        <v>0</v>
      </c>
      <c r="H88">
        <v>0</v>
      </c>
      <c r="I88">
        <v>1123.3</v>
      </c>
      <c r="J88">
        <v>23807</v>
      </c>
      <c r="K88">
        <v>17770</v>
      </c>
      <c r="L88" s="2">
        <v>27.176875000000003</v>
      </c>
      <c r="M88" s="5">
        <v>29.895999999999997</v>
      </c>
      <c r="N88" s="1">
        <v>185.05670000000001</v>
      </c>
      <c r="O88" s="2">
        <v>5.4</v>
      </c>
      <c r="P88">
        <v>104</v>
      </c>
    </row>
    <row r="89" spans="1:16" x14ac:dyDescent="0.35">
      <c r="A89" s="4">
        <v>43891</v>
      </c>
      <c r="B89" t="s">
        <v>16</v>
      </c>
      <c r="C89" t="s">
        <v>13</v>
      </c>
      <c r="D89">
        <v>1</v>
      </c>
      <c r="E89" s="2">
        <f>(3150+3375)/2</f>
        <v>3262.5</v>
      </c>
      <c r="F89" s="2">
        <f t="shared" si="13"/>
        <v>3140.375</v>
      </c>
      <c r="G89" s="3">
        <v>0</v>
      </c>
      <c r="H89">
        <v>0</v>
      </c>
      <c r="I89">
        <v>1123.3</v>
      </c>
      <c r="J89">
        <v>23807</v>
      </c>
      <c r="K89">
        <v>17770</v>
      </c>
      <c r="L89" s="2">
        <v>27.176875000000003</v>
      </c>
      <c r="M89" s="5">
        <v>29.895999999999997</v>
      </c>
      <c r="N89" s="1">
        <v>185.05670000000001</v>
      </c>
      <c r="O89" s="2">
        <v>5.4</v>
      </c>
      <c r="P89">
        <v>104</v>
      </c>
    </row>
    <row r="90" spans="1:16" x14ac:dyDescent="0.35">
      <c r="A90" s="4">
        <v>43891</v>
      </c>
      <c r="B90" t="s">
        <v>16</v>
      </c>
      <c r="C90" t="s">
        <v>14</v>
      </c>
      <c r="D90">
        <v>1</v>
      </c>
      <c r="E90" s="2">
        <v>3325</v>
      </c>
      <c r="F90" s="2">
        <f t="shared" si="13"/>
        <v>3140.375</v>
      </c>
      <c r="G90" s="3">
        <v>0</v>
      </c>
      <c r="H90">
        <v>0</v>
      </c>
      <c r="I90">
        <v>1123.3</v>
      </c>
      <c r="J90">
        <v>23807</v>
      </c>
      <c r="K90">
        <v>17770</v>
      </c>
      <c r="L90" s="2">
        <v>27.176875000000003</v>
      </c>
      <c r="M90" s="5">
        <v>29.895999999999997</v>
      </c>
      <c r="N90" s="1">
        <v>185.05670000000001</v>
      </c>
      <c r="O90" s="2">
        <v>5.4</v>
      </c>
      <c r="P90">
        <v>104</v>
      </c>
    </row>
    <row r="91" spans="1:16" x14ac:dyDescent="0.35">
      <c r="A91" s="4">
        <v>43891</v>
      </c>
      <c r="B91" t="s">
        <v>16</v>
      </c>
      <c r="C91" t="s">
        <v>15</v>
      </c>
      <c r="D91">
        <v>0</v>
      </c>
      <c r="E91" s="2" t="s">
        <v>27</v>
      </c>
      <c r="F91" s="2">
        <f t="shared" si="13"/>
        <v>3140.375</v>
      </c>
      <c r="G91" s="3">
        <v>0</v>
      </c>
      <c r="H91">
        <v>0</v>
      </c>
      <c r="I91">
        <v>1123.3</v>
      </c>
      <c r="J91">
        <v>23807</v>
      </c>
      <c r="K91">
        <v>17770</v>
      </c>
      <c r="L91" s="2">
        <v>27.176875000000003</v>
      </c>
      <c r="M91" s="5">
        <v>29.895999999999997</v>
      </c>
      <c r="N91" s="1">
        <v>185.05670000000001</v>
      </c>
      <c r="O91" s="2">
        <v>5.4</v>
      </c>
      <c r="P91">
        <v>104</v>
      </c>
    </row>
    <row r="92" spans="1:16" x14ac:dyDescent="0.35">
      <c r="A92" s="4">
        <v>43891</v>
      </c>
      <c r="B92" t="s">
        <v>17</v>
      </c>
      <c r="C92" t="s">
        <v>10</v>
      </c>
      <c r="D92">
        <v>1</v>
      </c>
      <c r="E92" s="2">
        <f>(2750+2533)/2</f>
        <v>2641.5</v>
      </c>
      <c r="F92" s="2">
        <f t="shared" ref="F92:F97" si="14">(2578.6+2649)/2</f>
        <v>2613.8000000000002</v>
      </c>
      <c r="G92" s="3">
        <v>0</v>
      </c>
      <c r="H92">
        <v>0</v>
      </c>
      <c r="I92">
        <v>1123.3</v>
      </c>
      <c r="J92">
        <v>23807</v>
      </c>
      <c r="K92">
        <v>17770</v>
      </c>
      <c r="L92" s="2">
        <v>27.176875000000003</v>
      </c>
      <c r="M92" s="5">
        <v>29.895999999999997</v>
      </c>
      <c r="N92" s="1">
        <v>185.05670000000001</v>
      </c>
      <c r="O92" s="2">
        <v>5.4</v>
      </c>
      <c r="P92">
        <v>104</v>
      </c>
    </row>
    <row r="93" spans="1:16" x14ac:dyDescent="0.35">
      <c r="A93" s="4">
        <v>43891</v>
      </c>
      <c r="B93" t="s">
        <v>17</v>
      </c>
      <c r="C93" t="s">
        <v>11</v>
      </c>
      <c r="D93">
        <v>1</v>
      </c>
      <c r="E93" s="2">
        <v>2800</v>
      </c>
      <c r="F93" s="2">
        <f t="shared" si="14"/>
        <v>2613.8000000000002</v>
      </c>
      <c r="G93" s="3">
        <v>0</v>
      </c>
      <c r="H93">
        <v>0</v>
      </c>
      <c r="I93">
        <v>1123.3</v>
      </c>
      <c r="J93">
        <v>23807</v>
      </c>
      <c r="K93">
        <v>17770</v>
      </c>
      <c r="L93" s="2">
        <v>27.176875000000003</v>
      </c>
      <c r="M93" s="5">
        <v>29.895999999999997</v>
      </c>
      <c r="N93" s="1">
        <v>185.05670000000001</v>
      </c>
      <c r="O93" s="2">
        <v>5.4</v>
      </c>
      <c r="P93">
        <v>104</v>
      </c>
    </row>
    <row r="94" spans="1:16" x14ac:dyDescent="0.35">
      <c r="A94" s="4">
        <v>43891</v>
      </c>
      <c r="B94" t="s">
        <v>17</v>
      </c>
      <c r="C94" t="s">
        <v>12</v>
      </c>
      <c r="D94">
        <v>1</v>
      </c>
      <c r="E94" s="2">
        <v>2481.5</v>
      </c>
      <c r="F94" s="2">
        <f t="shared" si="14"/>
        <v>2613.8000000000002</v>
      </c>
      <c r="G94" s="3">
        <v>0</v>
      </c>
      <c r="H94">
        <v>0</v>
      </c>
      <c r="I94">
        <v>1123.3</v>
      </c>
      <c r="J94">
        <v>23807</v>
      </c>
      <c r="K94">
        <v>17770</v>
      </c>
      <c r="L94" s="2">
        <v>27.176875000000003</v>
      </c>
      <c r="M94" s="5">
        <v>29.895999999999997</v>
      </c>
      <c r="N94" s="1">
        <v>185.05670000000001</v>
      </c>
      <c r="O94" s="2">
        <v>5.4</v>
      </c>
      <c r="P94">
        <v>104</v>
      </c>
    </row>
    <row r="95" spans="1:16" x14ac:dyDescent="0.35">
      <c r="A95" s="4">
        <v>43891</v>
      </c>
      <c r="B95" t="s">
        <v>17</v>
      </c>
      <c r="C95" t="s">
        <v>13</v>
      </c>
      <c r="D95">
        <v>1</v>
      </c>
      <c r="E95" s="2">
        <f>(2545+2480)/2</f>
        <v>2512.5</v>
      </c>
      <c r="F95" s="2">
        <f t="shared" si="14"/>
        <v>2613.8000000000002</v>
      </c>
      <c r="G95" s="3">
        <v>0</v>
      </c>
      <c r="H95">
        <v>0</v>
      </c>
      <c r="I95">
        <v>1123.3</v>
      </c>
      <c r="J95">
        <v>23807</v>
      </c>
      <c r="K95">
        <v>17770</v>
      </c>
      <c r="L95" s="2">
        <v>27.176875000000003</v>
      </c>
      <c r="M95" s="5">
        <v>29.895999999999997</v>
      </c>
      <c r="N95" s="1">
        <v>185.05670000000001</v>
      </c>
      <c r="O95" s="2">
        <v>5.4</v>
      </c>
      <c r="P95">
        <v>104</v>
      </c>
    </row>
    <row r="96" spans="1:16" x14ac:dyDescent="0.35">
      <c r="A96" s="4">
        <v>43891</v>
      </c>
      <c r="B96" t="s">
        <v>17</v>
      </c>
      <c r="C96" t="s">
        <v>14</v>
      </c>
      <c r="D96">
        <v>1</v>
      </c>
      <c r="E96" s="2">
        <f>(2600+2667)/2</f>
        <v>2633.5</v>
      </c>
      <c r="F96" s="2">
        <f t="shared" si="14"/>
        <v>2613.8000000000002</v>
      </c>
      <c r="G96" s="3">
        <v>0</v>
      </c>
      <c r="H96">
        <v>0</v>
      </c>
      <c r="I96">
        <v>1123.3</v>
      </c>
      <c r="J96">
        <v>23807</v>
      </c>
      <c r="K96">
        <v>17770</v>
      </c>
      <c r="L96" s="2">
        <v>27.176875000000003</v>
      </c>
      <c r="M96" s="5">
        <v>29.895999999999997</v>
      </c>
      <c r="N96" s="1">
        <v>185.05670000000001</v>
      </c>
      <c r="O96" s="2">
        <v>5.4</v>
      </c>
      <c r="P96">
        <v>104</v>
      </c>
    </row>
    <row r="97" spans="1:16" x14ac:dyDescent="0.35">
      <c r="A97" s="4">
        <v>43891</v>
      </c>
      <c r="B97" t="s">
        <v>17</v>
      </c>
      <c r="C97" t="s">
        <v>15</v>
      </c>
      <c r="D97">
        <v>0</v>
      </c>
      <c r="E97" s="2" t="s">
        <v>27</v>
      </c>
      <c r="F97" s="2">
        <f t="shared" si="14"/>
        <v>2613.8000000000002</v>
      </c>
      <c r="G97" s="3">
        <v>0</v>
      </c>
      <c r="H97">
        <v>0</v>
      </c>
      <c r="I97">
        <v>1123.3</v>
      </c>
      <c r="J97">
        <v>23807</v>
      </c>
      <c r="K97">
        <v>17770</v>
      </c>
      <c r="L97" s="2">
        <v>27.176875000000003</v>
      </c>
      <c r="M97" s="5">
        <v>29.895999999999997</v>
      </c>
      <c r="N97" s="1">
        <v>185.05670000000001</v>
      </c>
      <c r="O97" s="2">
        <v>5.4</v>
      </c>
      <c r="P97">
        <v>104</v>
      </c>
    </row>
    <row r="98" spans="1:16" x14ac:dyDescent="0.35">
      <c r="A98" s="4">
        <v>43891</v>
      </c>
      <c r="B98" t="s">
        <v>18</v>
      </c>
      <c r="C98" t="s">
        <v>10</v>
      </c>
      <c r="D98">
        <v>1</v>
      </c>
      <c r="E98" s="2">
        <v>2458</v>
      </c>
      <c r="F98" s="2">
        <f t="shared" ref="F98:F103" si="15">(2318.71+2331.57)/2</f>
        <v>2325.1400000000003</v>
      </c>
      <c r="G98" s="3">
        <v>0</v>
      </c>
      <c r="H98">
        <v>0</v>
      </c>
      <c r="I98">
        <v>1123.3</v>
      </c>
      <c r="J98">
        <v>23807</v>
      </c>
      <c r="K98">
        <v>17770</v>
      </c>
      <c r="L98" s="2">
        <v>27.176875000000003</v>
      </c>
      <c r="M98" s="5">
        <v>29.895999999999997</v>
      </c>
      <c r="N98" s="1">
        <v>185.05670000000001</v>
      </c>
      <c r="O98" s="2">
        <v>5.4</v>
      </c>
      <c r="P98">
        <v>104</v>
      </c>
    </row>
    <row r="99" spans="1:16" x14ac:dyDescent="0.35">
      <c r="A99" s="4">
        <v>43891</v>
      </c>
      <c r="B99" t="s">
        <v>18</v>
      </c>
      <c r="C99" t="s">
        <v>11</v>
      </c>
      <c r="D99">
        <v>1</v>
      </c>
      <c r="E99" s="2">
        <v>2500</v>
      </c>
      <c r="F99" s="2">
        <f t="shared" si="15"/>
        <v>2325.1400000000003</v>
      </c>
      <c r="G99" s="3">
        <v>0</v>
      </c>
      <c r="H99">
        <v>0</v>
      </c>
      <c r="I99">
        <v>1123.3</v>
      </c>
      <c r="J99">
        <v>23807</v>
      </c>
      <c r="K99">
        <v>17770</v>
      </c>
      <c r="L99" s="2">
        <v>27.176875000000003</v>
      </c>
      <c r="M99" s="5">
        <v>29.895999999999997</v>
      </c>
      <c r="N99" s="1">
        <v>185.05670000000001</v>
      </c>
      <c r="O99" s="2">
        <v>5.4</v>
      </c>
      <c r="P99">
        <v>104</v>
      </c>
    </row>
    <row r="100" spans="1:16" x14ac:dyDescent="0.35">
      <c r="A100" s="4">
        <v>43891</v>
      </c>
      <c r="B100" t="s">
        <v>18</v>
      </c>
      <c r="C100" t="s">
        <v>12</v>
      </c>
      <c r="D100">
        <v>1</v>
      </c>
      <c r="E100" s="2">
        <v>2165.5</v>
      </c>
      <c r="F100" s="2">
        <f t="shared" si="15"/>
        <v>2325.1400000000003</v>
      </c>
      <c r="G100" s="3">
        <v>0</v>
      </c>
      <c r="H100">
        <v>0</v>
      </c>
      <c r="I100">
        <v>1123.3</v>
      </c>
      <c r="J100">
        <v>23807</v>
      </c>
      <c r="K100">
        <v>17770</v>
      </c>
      <c r="L100" s="2">
        <v>27.176875000000003</v>
      </c>
      <c r="M100" s="5">
        <v>29.895999999999997</v>
      </c>
      <c r="N100" s="1">
        <v>185.05670000000001</v>
      </c>
      <c r="O100" s="2">
        <v>5.4</v>
      </c>
      <c r="P100">
        <v>104</v>
      </c>
    </row>
    <row r="101" spans="1:16" x14ac:dyDescent="0.35">
      <c r="A101" s="4">
        <v>43891</v>
      </c>
      <c r="B101" t="s">
        <v>18</v>
      </c>
      <c r="C101" t="s">
        <v>13</v>
      </c>
      <c r="D101">
        <v>1</v>
      </c>
      <c r="E101" s="2">
        <f>(2280+2325)/2</f>
        <v>2302.5</v>
      </c>
      <c r="F101" s="2">
        <f t="shared" si="15"/>
        <v>2325.1400000000003</v>
      </c>
      <c r="G101" s="3">
        <v>0</v>
      </c>
      <c r="H101">
        <v>0</v>
      </c>
      <c r="I101">
        <v>1123.3</v>
      </c>
      <c r="J101">
        <v>23807</v>
      </c>
      <c r="K101">
        <v>17770</v>
      </c>
      <c r="L101" s="2">
        <v>27.176875000000003</v>
      </c>
      <c r="M101" s="5">
        <v>29.895999999999997</v>
      </c>
      <c r="N101" s="1">
        <v>185.05670000000001</v>
      </c>
      <c r="O101" s="2">
        <v>5.4</v>
      </c>
      <c r="P101">
        <v>104</v>
      </c>
    </row>
    <row r="102" spans="1:16" x14ac:dyDescent="0.35">
      <c r="A102" s="4">
        <v>43891</v>
      </c>
      <c r="B102" t="s">
        <v>18</v>
      </c>
      <c r="C102" t="s">
        <v>14</v>
      </c>
      <c r="D102">
        <v>1</v>
      </c>
      <c r="E102" s="2">
        <v>2425</v>
      </c>
      <c r="F102" s="2">
        <f t="shared" si="15"/>
        <v>2325.1400000000003</v>
      </c>
      <c r="G102" s="3">
        <v>0</v>
      </c>
      <c r="H102">
        <v>0</v>
      </c>
      <c r="I102">
        <v>1123.3</v>
      </c>
      <c r="J102">
        <v>23807</v>
      </c>
      <c r="K102">
        <v>17770</v>
      </c>
      <c r="L102" s="2">
        <v>27.176875000000003</v>
      </c>
      <c r="M102" s="5">
        <v>29.895999999999997</v>
      </c>
      <c r="N102" s="1">
        <v>185.05670000000001</v>
      </c>
      <c r="O102" s="2">
        <v>5.4</v>
      </c>
      <c r="P102">
        <v>104</v>
      </c>
    </row>
    <row r="103" spans="1:16" x14ac:dyDescent="0.35">
      <c r="A103" s="4">
        <v>43891</v>
      </c>
      <c r="B103" t="s">
        <v>18</v>
      </c>
      <c r="C103" t="s">
        <v>15</v>
      </c>
      <c r="D103">
        <v>1</v>
      </c>
      <c r="E103" s="2">
        <v>2325</v>
      </c>
      <c r="F103" s="2">
        <f t="shared" si="15"/>
        <v>2325.1400000000003</v>
      </c>
      <c r="G103" s="3">
        <v>0</v>
      </c>
      <c r="H103">
        <v>0</v>
      </c>
      <c r="I103">
        <v>1123.3</v>
      </c>
      <c r="J103">
        <v>23807</v>
      </c>
      <c r="K103">
        <v>17770</v>
      </c>
      <c r="L103" s="2">
        <v>27.176875000000003</v>
      </c>
      <c r="M103" s="5">
        <v>29.895999999999997</v>
      </c>
      <c r="N103" s="1">
        <v>185.05670000000001</v>
      </c>
      <c r="O103" s="2">
        <v>5.4</v>
      </c>
      <c r="P103">
        <v>104</v>
      </c>
    </row>
    <row r="104" spans="1:16" x14ac:dyDescent="0.35">
      <c r="A104" s="4">
        <v>43891</v>
      </c>
      <c r="B104" t="s">
        <v>19</v>
      </c>
      <c r="C104" t="s">
        <v>10</v>
      </c>
      <c r="D104">
        <v>1</v>
      </c>
      <c r="E104" s="2">
        <f>(1933+2216)/2</f>
        <v>2074.5</v>
      </c>
      <c r="F104" s="2">
        <f t="shared" ref="F104:F109" si="16">(2086.86+2203.71)/2</f>
        <v>2145.2849999999999</v>
      </c>
      <c r="G104" s="3">
        <v>0</v>
      </c>
      <c r="H104">
        <v>0</v>
      </c>
      <c r="I104">
        <v>1123.3</v>
      </c>
      <c r="J104">
        <v>23807</v>
      </c>
      <c r="K104">
        <v>17770</v>
      </c>
      <c r="L104" s="2">
        <v>27.176875000000003</v>
      </c>
      <c r="M104" s="5">
        <v>29.895999999999997</v>
      </c>
      <c r="N104" s="1">
        <v>185.05670000000001</v>
      </c>
      <c r="O104" s="2">
        <v>5.4</v>
      </c>
      <c r="P104">
        <v>104</v>
      </c>
    </row>
    <row r="105" spans="1:16" x14ac:dyDescent="0.35">
      <c r="A105" s="4">
        <v>43891</v>
      </c>
      <c r="B105" t="s">
        <v>19</v>
      </c>
      <c r="C105" t="s">
        <v>11</v>
      </c>
      <c r="D105">
        <v>1</v>
      </c>
      <c r="E105" s="2">
        <v>2400</v>
      </c>
      <c r="F105" s="2">
        <f t="shared" si="16"/>
        <v>2145.2849999999999</v>
      </c>
      <c r="G105" s="3">
        <v>0</v>
      </c>
      <c r="H105">
        <v>0</v>
      </c>
      <c r="I105">
        <v>1123.3</v>
      </c>
      <c r="J105">
        <v>23807</v>
      </c>
      <c r="K105">
        <v>17770</v>
      </c>
      <c r="L105" s="2">
        <v>27.176875000000003</v>
      </c>
      <c r="M105" s="5">
        <v>29.895999999999997</v>
      </c>
      <c r="N105" s="1">
        <v>185.05670000000001</v>
      </c>
      <c r="O105" s="2">
        <v>5.4</v>
      </c>
      <c r="P105">
        <v>104</v>
      </c>
    </row>
    <row r="106" spans="1:16" x14ac:dyDescent="0.35">
      <c r="A106" s="4">
        <v>43891</v>
      </c>
      <c r="B106" t="s">
        <v>19</v>
      </c>
      <c r="C106" t="s">
        <v>12</v>
      </c>
      <c r="D106">
        <v>1</v>
      </c>
      <c r="E106" s="2">
        <v>1963.5</v>
      </c>
      <c r="F106" s="2">
        <f t="shared" si="16"/>
        <v>2145.2849999999999</v>
      </c>
      <c r="G106" s="3">
        <v>0</v>
      </c>
      <c r="H106">
        <v>0</v>
      </c>
      <c r="I106">
        <v>1123.3</v>
      </c>
      <c r="J106">
        <v>23807</v>
      </c>
      <c r="K106">
        <v>17770</v>
      </c>
      <c r="L106" s="2">
        <v>27.176875000000003</v>
      </c>
      <c r="M106" s="5">
        <v>29.895999999999997</v>
      </c>
      <c r="N106" s="1">
        <v>185.05670000000001</v>
      </c>
      <c r="O106" s="2">
        <v>5.4</v>
      </c>
      <c r="P106">
        <v>104</v>
      </c>
    </row>
    <row r="107" spans="1:16" x14ac:dyDescent="0.35">
      <c r="A107" s="4">
        <v>43891</v>
      </c>
      <c r="B107" t="s">
        <v>19</v>
      </c>
      <c r="C107" t="s">
        <v>13</v>
      </c>
      <c r="D107">
        <v>1</v>
      </c>
      <c r="E107" s="2">
        <v>2225</v>
      </c>
      <c r="F107" s="2">
        <f t="shared" si="16"/>
        <v>2145.2849999999999</v>
      </c>
      <c r="G107" s="3">
        <v>0</v>
      </c>
      <c r="H107">
        <v>0</v>
      </c>
      <c r="I107">
        <v>1123.3</v>
      </c>
      <c r="J107">
        <v>23807</v>
      </c>
      <c r="K107">
        <v>17770</v>
      </c>
      <c r="L107" s="2">
        <v>27.176875000000003</v>
      </c>
      <c r="M107" s="5">
        <v>29.895999999999997</v>
      </c>
      <c r="N107" s="1">
        <v>185.05670000000001</v>
      </c>
      <c r="O107" s="2">
        <v>5.4</v>
      </c>
      <c r="P107">
        <v>104</v>
      </c>
    </row>
    <row r="108" spans="1:16" x14ac:dyDescent="0.35">
      <c r="A108" s="4">
        <v>43891</v>
      </c>
      <c r="B108" t="s">
        <v>19</v>
      </c>
      <c r="C108" t="s">
        <v>14</v>
      </c>
      <c r="D108">
        <v>1</v>
      </c>
      <c r="E108" s="2">
        <v>2241.5</v>
      </c>
      <c r="F108" s="2">
        <f t="shared" si="16"/>
        <v>2145.2849999999999</v>
      </c>
      <c r="G108" s="3">
        <v>0</v>
      </c>
      <c r="H108">
        <v>0</v>
      </c>
      <c r="I108">
        <v>1123.3</v>
      </c>
      <c r="J108">
        <v>23807</v>
      </c>
      <c r="K108">
        <v>17770</v>
      </c>
      <c r="L108" s="2">
        <v>27.176875000000003</v>
      </c>
      <c r="M108" s="5">
        <v>29.895999999999997</v>
      </c>
      <c r="N108" s="1">
        <v>185.05670000000001</v>
      </c>
      <c r="O108" s="2">
        <v>5.4</v>
      </c>
      <c r="P108">
        <v>104</v>
      </c>
    </row>
    <row r="109" spans="1:16" x14ac:dyDescent="0.35">
      <c r="A109" s="4">
        <v>43891</v>
      </c>
      <c r="B109" t="s">
        <v>19</v>
      </c>
      <c r="C109" t="s">
        <v>15</v>
      </c>
      <c r="D109">
        <v>1</v>
      </c>
      <c r="E109" s="2">
        <v>2525</v>
      </c>
      <c r="F109" s="2">
        <f t="shared" si="16"/>
        <v>2145.2849999999999</v>
      </c>
      <c r="G109" s="3">
        <v>0</v>
      </c>
      <c r="H109">
        <v>0</v>
      </c>
      <c r="I109">
        <v>1123.3</v>
      </c>
      <c r="J109">
        <v>23807</v>
      </c>
      <c r="K109">
        <v>17770</v>
      </c>
      <c r="L109" s="2">
        <v>27.176875000000003</v>
      </c>
      <c r="M109" s="5">
        <v>29.895999999999997</v>
      </c>
      <c r="N109" s="1">
        <v>185.05670000000001</v>
      </c>
      <c r="O109" s="2">
        <v>5.4</v>
      </c>
      <c r="P109">
        <v>104</v>
      </c>
    </row>
    <row r="110" spans="1:16" x14ac:dyDescent="0.35">
      <c r="A110" s="4">
        <v>43891</v>
      </c>
      <c r="B110" t="s">
        <v>20</v>
      </c>
      <c r="C110" t="s">
        <v>10</v>
      </c>
      <c r="D110">
        <v>1</v>
      </c>
      <c r="E110" s="2">
        <f>(1533+1600)/2</f>
        <v>1566.5</v>
      </c>
      <c r="F110" s="2">
        <f t="shared" ref="F110:F115" si="17">(1874.17+1864.83)/2</f>
        <v>1869.5</v>
      </c>
      <c r="G110" s="3">
        <v>0</v>
      </c>
      <c r="H110">
        <v>0</v>
      </c>
      <c r="I110">
        <v>1123.3</v>
      </c>
      <c r="J110">
        <v>23807</v>
      </c>
      <c r="K110">
        <v>17770</v>
      </c>
      <c r="L110" s="2">
        <v>27.176875000000003</v>
      </c>
      <c r="M110" s="5">
        <v>29.895999999999997</v>
      </c>
      <c r="N110" s="1">
        <v>185.05670000000001</v>
      </c>
      <c r="O110" s="2">
        <v>5.4</v>
      </c>
      <c r="P110">
        <v>104</v>
      </c>
    </row>
    <row r="111" spans="1:16" x14ac:dyDescent="0.35">
      <c r="A111" s="4">
        <v>43891</v>
      </c>
      <c r="B111" t="s">
        <v>20</v>
      </c>
      <c r="C111" t="s">
        <v>11</v>
      </c>
      <c r="D111">
        <v>1</v>
      </c>
      <c r="E111" s="2">
        <v>2025</v>
      </c>
      <c r="F111" s="2">
        <f t="shared" si="17"/>
        <v>1869.5</v>
      </c>
      <c r="G111" s="3">
        <v>0</v>
      </c>
      <c r="H111">
        <v>0</v>
      </c>
      <c r="I111">
        <v>1123.3</v>
      </c>
      <c r="J111">
        <v>23807</v>
      </c>
      <c r="K111">
        <v>17770</v>
      </c>
      <c r="L111" s="2">
        <v>27.176875000000003</v>
      </c>
      <c r="M111" s="5">
        <v>29.895999999999997</v>
      </c>
      <c r="N111" s="1">
        <v>185.05670000000001</v>
      </c>
      <c r="O111" s="2">
        <v>5.4</v>
      </c>
      <c r="P111">
        <v>104</v>
      </c>
    </row>
    <row r="112" spans="1:16" x14ac:dyDescent="0.35">
      <c r="A112" s="4">
        <v>43891</v>
      </c>
      <c r="B112" t="s">
        <v>20</v>
      </c>
      <c r="C112" t="s">
        <v>12</v>
      </c>
      <c r="D112">
        <v>1</v>
      </c>
      <c r="E112" s="2">
        <v>1579.5</v>
      </c>
      <c r="F112" s="2">
        <f t="shared" si="17"/>
        <v>1869.5</v>
      </c>
      <c r="G112" s="3">
        <v>0</v>
      </c>
      <c r="H112">
        <v>0</v>
      </c>
      <c r="I112">
        <v>1123.3</v>
      </c>
      <c r="J112">
        <v>23807</v>
      </c>
      <c r="K112">
        <v>17770</v>
      </c>
      <c r="L112" s="2">
        <v>27.176875000000003</v>
      </c>
      <c r="M112" s="5">
        <v>29.895999999999997</v>
      </c>
      <c r="N112" s="1">
        <v>185.05670000000001</v>
      </c>
      <c r="O112" s="2">
        <v>5.4</v>
      </c>
      <c r="P112">
        <v>104</v>
      </c>
    </row>
    <row r="113" spans="1:16" x14ac:dyDescent="0.35">
      <c r="A113" s="4">
        <v>43891</v>
      </c>
      <c r="B113" t="s">
        <v>20</v>
      </c>
      <c r="C113" t="s">
        <v>13</v>
      </c>
      <c r="D113">
        <v>1</v>
      </c>
      <c r="E113" s="2">
        <v>2025</v>
      </c>
      <c r="F113" s="2">
        <f t="shared" si="17"/>
        <v>1869.5</v>
      </c>
      <c r="G113" s="3">
        <v>0</v>
      </c>
      <c r="H113">
        <v>0</v>
      </c>
      <c r="I113">
        <v>1123.3</v>
      </c>
      <c r="J113">
        <v>23807</v>
      </c>
      <c r="K113">
        <v>17770</v>
      </c>
      <c r="L113" s="2">
        <v>27.176875000000003</v>
      </c>
      <c r="M113" s="5">
        <v>29.895999999999997</v>
      </c>
      <c r="N113" s="1">
        <v>185.05670000000001</v>
      </c>
      <c r="O113" s="2">
        <v>5.4</v>
      </c>
      <c r="P113">
        <v>104</v>
      </c>
    </row>
    <row r="114" spans="1:16" x14ac:dyDescent="0.35">
      <c r="A114" s="4">
        <v>43891</v>
      </c>
      <c r="B114" t="s">
        <v>20</v>
      </c>
      <c r="C114" t="s">
        <v>14</v>
      </c>
      <c r="D114">
        <v>1</v>
      </c>
      <c r="E114" s="2">
        <v>1991</v>
      </c>
      <c r="F114" s="2">
        <f t="shared" si="17"/>
        <v>1869.5</v>
      </c>
      <c r="G114" s="3">
        <v>0</v>
      </c>
      <c r="H114">
        <v>0</v>
      </c>
      <c r="I114">
        <v>1123.3</v>
      </c>
      <c r="J114">
        <v>23807</v>
      </c>
      <c r="K114">
        <v>17770</v>
      </c>
      <c r="L114" s="2">
        <v>27.176875000000003</v>
      </c>
      <c r="M114" s="5">
        <v>29.895999999999997</v>
      </c>
      <c r="N114" s="1">
        <v>185.05670000000001</v>
      </c>
      <c r="O114" s="2">
        <v>5.4</v>
      </c>
      <c r="P114">
        <v>104</v>
      </c>
    </row>
    <row r="115" spans="1:16" x14ac:dyDescent="0.35">
      <c r="A115" s="4">
        <v>43891</v>
      </c>
      <c r="B115" t="s">
        <v>20</v>
      </c>
      <c r="C115" t="s">
        <v>15</v>
      </c>
      <c r="D115">
        <v>1</v>
      </c>
      <c r="E115" s="2">
        <v>2030</v>
      </c>
      <c r="F115" s="2">
        <f t="shared" si="17"/>
        <v>1869.5</v>
      </c>
      <c r="G115" s="3">
        <v>0</v>
      </c>
      <c r="H115">
        <v>0</v>
      </c>
      <c r="I115">
        <v>1123.3</v>
      </c>
      <c r="J115">
        <v>23807</v>
      </c>
      <c r="K115">
        <v>17770</v>
      </c>
      <c r="L115" s="2">
        <v>27.176875000000003</v>
      </c>
      <c r="M115" s="5">
        <v>29.895999999999997</v>
      </c>
      <c r="N115" s="1">
        <v>185.05670000000001</v>
      </c>
      <c r="O115" s="2">
        <v>5.4</v>
      </c>
      <c r="P115">
        <v>104</v>
      </c>
    </row>
    <row r="116" spans="1:16" x14ac:dyDescent="0.35">
      <c r="A116" s="4">
        <v>43891</v>
      </c>
      <c r="B116" t="s">
        <v>21</v>
      </c>
      <c r="C116" t="s">
        <v>10</v>
      </c>
      <c r="D116">
        <v>1</v>
      </c>
      <c r="E116" s="2">
        <f>(1233+1316)/2</f>
        <v>1274.5</v>
      </c>
      <c r="F116" s="2">
        <f t="shared" ref="F116:F121" si="18">(1728+1737.83)/2</f>
        <v>1732.915</v>
      </c>
      <c r="G116" s="3">
        <v>0</v>
      </c>
      <c r="H116">
        <v>0</v>
      </c>
      <c r="I116">
        <v>1123.3</v>
      </c>
      <c r="J116">
        <v>23807</v>
      </c>
      <c r="K116">
        <v>17770</v>
      </c>
      <c r="L116" s="2">
        <v>27.176875000000003</v>
      </c>
      <c r="M116" s="5">
        <v>29.895999999999997</v>
      </c>
      <c r="N116" s="1">
        <v>185.05670000000001</v>
      </c>
      <c r="O116" s="2">
        <v>5.4</v>
      </c>
      <c r="P116">
        <v>104</v>
      </c>
    </row>
    <row r="117" spans="1:16" x14ac:dyDescent="0.35">
      <c r="A117" s="4">
        <v>43891</v>
      </c>
      <c r="B117" t="s">
        <v>21</v>
      </c>
      <c r="C117" t="s">
        <v>11</v>
      </c>
      <c r="D117">
        <v>1</v>
      </c>
      <c r="E117" s="2">
        <v>1975</v>
      </c>
      <c r="F117" s="2">
        <f t="shared" si="18"/>
        <v>1732.915</v>
      </c>
      <c r="G117" s="3">
        <v>0</v>
      </c>
      <c r="H117">
        <v>0</v>
      </c>
      <c r="I117">
        <v>1123.3</v>
      </c>
      <c r="J117">
        <v>23807</v>
      </c>
      <c r="K117">
        <v>17770</v>
      </c>
      <c r="L117" s="2">
        <v>27.176875000000003</v>
      </c>
      <c r="M117" s="5">
        <v>29.895999999999997</v>
      </c>
      <c r="N117" s="1">
        <v>185.05670000000001</v>
      </c>
      <c r="O117" s="2">
        <v>5.4</v>
      </c>
      <c r="P117">
        <v>104</v>
      </c>
    </row>
    <row r="118" spans="1:16" x14ac:dyDescent="0.35">
      <c r="A118" s="4">
        <v>43891</v>
      </c>
      <c r="B118" t="s">
        <v>21</v>
      </c>
      <c r="C118" t="s">
        <v>12</v>
      </c>
      <c r="D118">
        <v>1</v>
      </c>
      <c r="E118" s="2">
        <v>1460</v>
      </c>
      <c r="F118" s="2">
        <f t="shared" si="18"/>
        <v>1732.915</v>
      </c>
      <c r="G118" s="3">
        <v>0</v>
      </c>
      <c r="H118">
        <v>0</v>
      </c>
      <c r="I118">
        <v>1123.3</v>
      </c>
      <c r="J118">
        <v>23807</v>
      </c>
      <c r="K118">
        <v>17770</v>
      </c>
      <c r="L118" s="2">
        <v>27.176875000000003</v>
      </c>
      <c r="M118" s="5">
        <v>29.895999999999997</v>
      </c>
      <c r="N118" s="1">
        <v>185.05670000000001</v>
      </c>
      <c r="O118" s="2">
        <v>5.4</v>
      </c>
      <c r="P118">
        <v>104</v>
      </c>
    </row>
    <row r="119" spans="1:16" x14ac:dyDescent="0.35">
      <c r="A119" s="4">
        <v>43891</v>
      </c>
      <c r="B119" t="s">
        <v>21</v>
      </c>
      <c r="C119" t="s">
        <v>13</v>
      </c>
      <c r="D119">
        <v>1</v>
      </c>
      <c r="E119" s="2">
        <v>2000</v>
      </c>
      <c r="F119" s="2">
        <f t="shared" si="18"/>
        <v>1732.915</v>
      </c>
      <c r="G119" s="3">
        <v>0</v>
      </c>
      <c r="H119">
        <v>0</v>
      </c>
      <c r="I119">
        <v>1123.3</v>
      </c>
      <c r="J119">
        <v>23807</v>
      </c>
      <c r="K119">
        <v>17770</v>
      </c>
      <c r="L119" s="2">
        <v>27.176875000000003</v>
      </c>
      <c r="M119" s="5">
        <v>29.895999999999997</v>
      </c>
      <c r="N119" s="1">
        <v>185.05670000000001</v>
      </c>
      <c r="O119" s="2">
        <v>5.4</v>
      </c>
      <c r="P119">
        <v>104</v>
      </c>
    </row>
    <row r="120" spans="1:16" x14ac:dyDescent="0.35">
      <c r="A120" s="4">
        <v>43891</v>
      </c>
      <c r="B120" t="s">
        <v>21</v>
      </c>
      <c r="C120" t="s">
        <v>14</v>
      </c>
      <c r="D120">
        <v>1</v>
      </c>
      <c r="E120" s="2">
        <f>(1690+1876)/2</f>
        <v>1783</v>
      </c>
      <c r="F120" s="2">
        <f t="shared" si="18"/>
        <v>1732.915</v>
      </c>
      <c r="G120" s="3">
        <v>0</v>
      </c>
      <c r="H120">
        <v>0</v>
      </c>
      <c r="I120">
        <v>1123.3</v>
      </c>
      <c r="J120">
        <v>23807</v>
      </c>
      <c r="K120">
        <v>17770</v>
      </c>
      <c r="L120" s="2">
        <v>27.176875000000003</v>
      </c>
      <c r="M120" s="5">
        <v>29.895999999999997</v>
      </c>
      <c r="N120" s="1">
        <v>185.05670000000001</v>
      </c>
      <c r="O120" s="2">
        <v>5.4</v>
      </c>
      <c r="P120">
        <v>104</v>
      </c>
    </row>
    <row r="121" spans="1:16" x14ac:dyDescent="0.35">
      <c r="A121" s="4">
        <v>43891</v>
      </c>
      <c r="B121" t="s">
        <v>21</v>
      </c>
      <c r="C121" t="s">
        <v>15</v>
      </c>
      <c r="D121">
        <v>1</v>
      </c>
      <c r="E121" s="2">
        <v>1950</v>
      </c>
      <c r="F121" s="2">
        <f t="shared" si="18"/>
        <v>1732.915</v>
      </c>
      <c r="G121" s="3">
        <v>0</v>
      </c>
      <c r="H121">
        <v>0</v>
      </c>
      <c r="I121">
        <v>1123.3</v>
      </c>
      <c r="J121">
        <v>23807</v>
      </c>
      <c r="K121">
        <v>17770</v>
      </c>
      <c r="L121" s="2">
        <v>27.176875000000003</v>
      </c>
      <c r="M121" s="5">
        <v>29.895999999999997</v>
      </c>
      <c r="N121" s="1">
        <v>185.05670000000001</v>
      </c>
      <c r="O121" s="2">
        <v>5.4</v>
      </c>
      <c r="P121">
        <v>104</v>
      </c>
    </row>
    <row r="122" spans="1:16" x14ac:dyDescent="0.35">
      <c r="A122" s="4">
        <v>43891</v>
      </c>
      <c r="B122" t="s">
        <v>22</v>
      </c>
      <c r="C122" t="s">
        <v>10</v>
      </c>
      <c r="D122">
        <v>0</v>
      </c>
      <c r="E122" s="2" t="s">
        <v>27</v>
      </c>
      <c r="F122" s="2">
        <v>1519</v>
      </c>
      <c r="G122" s="3">
        <v>0</v>
      </c>
      <c r="H122">
        <v>0</v>
      </c>
      <c r="I122">
        <v>1123.3</v>
      </c>
      <c r="J122">
        <v>23807</v>
      </c>
      <c r="K122">
        <v>17770</v>
      </c>
      <c r="L122" s="2">
        <v>27.176875000000003</v>
      </c>
      <c r="M122" s="5">
        <v>29.895999999999997</v>
      </c>
      <c r="N122" s="1">
        <v>185.05670000000001</v>
      </c>
      <c r="O122" s="2">
        <v>5.4</v>
      </c>
      <c r="P122">
        <v>104</v>
      </c>
    </row>
    <row r="123" spans="1:16" x14ac:dyDescent="0.35">
      <c r="A123" s="4">
        <v>43891</v>
      </c>
      <c r="B123" t="s">
        <v>22</v>
      </c>
      <c r="C123" t="s">
        <v>11</v>
      </c>
      <c r="D123">
        <v>0</v>
      </c>
      <c r="E123" s="2" t="s">
        <v>27</v>
      </c>
      <c r="F123" s="2">
        <v>1519</v>
      </c>
      <c r="G123" s="3">
        <v>0</v>
      </c>
      <c r="H123">
        <v>0</v>
      </c>
      <c r="I123">
        <v>1123.3</v>
      </c>
      <c r="J123">
        <v>23807</v>
      </c>
      <c r="K123">
        <v>17770</v>
      </c>
      <c r="L123" s="2">
        <v>27.176875000000003</v>
      </c>
      <c r="M123" s="5">
        <v>29.895999999999997</v>
      </c>
      <c r="N123" s="1">
        <v>185.05670000000001</v>
      </c>
      <c r="O123" s="2">
        <v>5.4</v>
      </c>
      <c r="P123">
        <v>104</v>
      </c>
    </row>
    <row r="124" spans="1:16" x14ac:dyDescent="0.35">
      <c r="A124" s="4">
        <v>43891</v>
      </c>
      <c r="B124" t="s">
        <v>22</v>
      </c>
      <c r="C124" t="s">
        <v>12</v>
      </c>
      <c r="D124">
        <v>0</v>
      </c>
      <c r="E124" s="2" t="s">
        <v>27</v>
      </c>
      <c r="F124" s="2">
        <v>1519</v>
      </c>
      <c r="G124" s="3">
        <v>0</v>
      </c>
      <c r="H124">
        <v>0</v>
      </c>
      <c r="I124">
        <v>1123.3</v>
      </c>
      <c r="J124">
        <v>23807</v>
      </c>
      <c r="K124">
        <v>17770</v>
      </c>
      <c r="L124" s="2">
        <v>27.176875000000003</v>
      </c>
      <c r="M124" s="5">
        <v>29.895999999999997</v>
      </c>
      <c r="N124" s="1">
        <v>185.05670000000001</v>
      </c>
      <c r="O124" s="2">
        <v>5.4</v>
      </c>
      <c r="P124">
        <v>104</v>
      </c>
    </row>
    <row r="125" spans="1:16" x14ac:dyDescent="0.35">
      <c r="A125" s="4">
        <v>43891</v>
      </c>
      <c r="B125" t="s">
        <v>22</v>
      </c>
      <c r="C125" t="s">
        <v>13</v>
      </c>
      <c r="D125">
        <v>0</v>
      </c>
      <c r="E125" s="2" t="s">
        <v>27</v>
      </c>
      <c r="F125" s="2">
        <v>1519</v>
      </c>
      <c r="G125" s="3">
        <v>0</v>
      </c>
      <c r="H125">
        <v>0</v>
      </c>
      <c r="I125">
        <v>1123.3</v>
      </c>
      <c r="J125">
        <v>23807</v>
      </c>
      <c r="K125">
        <v>17770</v>
      </c>
      <c r="L125" s="2">
        <v>27.176875000000003</v>
      </c>
      <c r="M125" s="5">
        <v>29.895999999999997</v>
      </c>
      <c r="N125" s="1">
        <v>185.05670000000001</v>
      </c>
      <c r="O125" s="2">
        <v>5.4</v>
      </c>
      <c r="P125">
        <v>104</v>
      </c>
    </row>
    <row r="126" spans="1:16" x14ac:dyDescent="0.35">
      <c r="A126" s="4">
        <v>43891</v>
      </c>
      <c r="B126" t="s">
        <v>22</v>
      </c>
      <c r="C126" t="s">
        <v>14</v>
      </c>
      <c r="D126">
        <v>1</v>
      </c>
      <c r="E126" s="2">
        <v>1519</v>
      </c>
      <c r="F126" s="2">
        <v>1519</v>
      </c>
      <c r="G126" s="3">
        <v>0</v>
      </c>
      <c r="H126">
        <v>0</v>
      </c>
      <c r="I126">
        <v>1123.3</v>
      </c>
      <c r="J126">
        <v>23807</v>
      </c>
      <c r="K126">
        <v>17770</v>
      </c>
      <c r="L126" s="2">
        <v>27.176875000000003</v>
      </c>
      <c r="M126" s="5">
        <v>29.895999999999997</v>
      </c>
      <c r="N126" s="1">
        <v>185.05670000000001</v>
      </c>
      <c r="O126" s="2">
        <v>5.4</v>
      </c>
      <c r="P126">
        <v>104</v>
      </c>
    </row>
    <row r="127" spans="1:16" x14ac:dyDescent="0.35">
      <c r="A127" s="4">
        <v>43891</v>
      </c>
      <c r="B127" t="s">
        <v>22</v>
      </c>
      <c r="C127" t="s">
        <v>15</v>
      </c>
      <c r="D127">
        <v>0</v>
      </c>
      <c r="E127" s="2" t="s">
        <v>27</v>
      </c>
      <c r="F127" s="2">
        <v>1519</v>
      </c>
      <c r="G127" s="3">
        <v>0</v>
      </c>
      <c r="H127">
        <v>0</v>
      </c>
      <c r="I127">
        <v>1123.3</v>
      </c>
      <c r="J127">
        <v>23807</v>
      </c>
      <c r="K127">
        <v>17770</v>
      </c>
      <c r="L127" s="2">
        <v>27.176875000000003</v>
      </c>
      <c r="M127" s="5">
        <v>29.895999999999997</v>
      </c>
      <c r="N127" s="1">
        <v>185.05670000000001</v>
      </c>
      <c r="O127" s="2">
        <v>5.4</v>
      </c>
      <c r="P127">
        <v>104</v>
      </c>
    </row>
    <row r="128" spans="1:16" x14ac:dyDescent="0.35">
      <c r="A128" s="4">
        <v>43922</v>
      </c>
      <c r="B128" t="s">
        <v>16</v>
      </c>
      <c r="C128" t="s">
        <v>10</v>
      </c>
      <c r="D128">
        <v>1</v>
      </c>
      <c r="E128" s="2">
        <v>2700</v>
      </c>
      <c r="F128" s="2">
        <f t="shared" ref="F128:F133" si="19">(2827.67+2866.67)/2</f>
        <v>2847.17</v>
      </c>
      <c r="G128" s="3">
        <v>1</v>
      </c>
      <c r="H128">
        <v>1145</v>
      </c>
      <c r="I128">
        <v>748.9</v>
      </c>
      <c r="J128">
        <v>19991</v>
      </c>
      <c r="K128">
        <v>17770</v>
      </c>
      <c r="L128" s="2">
        <v>28.133125000000003</v>
      </c>
      <c r="M128" s="5">
        <v>129.91749999999999</v>
      </c>
      <c r="N128" s="1">
        <v>193.08539999999999</v>
      </c>
      <c r="O128" s="2">
        <v>5.2</v>
      </c>
      <c r="P128">
        <v>104</v>
      </c>
    </row>
    <row r="129" spans="1:16" x14ac:dyDescent="0.35">
      <c r="A129" s="4">
        <v>43922</v>
      </c>
      <c r="B129" t="s">
        <v>16</v>
      </c>
      <c r="C129" t="s">
        <v>11</v>
      </c>
      <c r="D129">
        <v>0</v>
      </c>
      <c r="E129" s="2" t="s">
        <v>27</v>
      </c>
      <c r="F129" s="2">
        <f t="shared" si="19"/>
        <v>2847.17</v>
      </c>
      <c r="G129" s="3">
        <v>1</v>
      </c>
      <c r="H129">
        <v>1145</v>
      </c>
      <c r="I129">
        <v>748.9</v>
      </c>
      <c r="J129">
        <v>19991</v>
      </c>
      <c r="K129">
        <v>17770</v>
      </c>
      <c r="L129" s="2">
        <v>28.133125000000003</v>
      </c>
      <c r="M129" s="5">
        <v>129.91749999999999</v>
      </c>
      <c r="N129" s="1">
        <v>193.08539999999999</v>
      </c>
      <c r="O129" s="2">
        <v>5.2</v>
      </c>
      <c r="P129">
        <v>104</v>
      </c>
    </row>
    <row r="130" spans="1:16" x14ac:dyDescent="0.35">
      <c r="A130" s="4">
        <v>43922</v>
      </c>
      <c r="B130" t="s">
        <v>16</v>
      </c>
      <c r="C130" t="s">
        <v>12</v>
      </c>
      <c r="D130">
        <v>1</v>
      </c>
      <c r="E130" s="2" t="s">
        <v>27</v>
      </c>
      <c r="F130" s="2">
        <f t="shared" si="19"/>
        <v>2847.17</v>
      </c>
      <c r="G130" s="3">
        <v>1</v>
      </c>
      <c r="H130">
        <v>1145</v>
      </c>
      <c r="I130">
        <v>748.9</v>
      </c>
      <c r="J130">
        <v>19991</v>
      </c>
      <c r="K130">
        <v>17770</v>
      </c>
      <c r="L130" s="2">
        <v>28.133125000000003</v>
      </c>
      <c r="M130" s="5">
        <v>129.91749999999999</v>
      </c>
      <c r="N130" s="1">
        <v>193.08539999999999</v>
      </c>
      <c r="O130" s="2">
        <v>5.2</v>
      </c>
      <c r="P130">
        <v>104</v>
      </c>
    </row>
    <row r="131" spans="1:16" x14ac:dyDescent="0.35">
      <c r="A131" s="4">
        <v>43922</v>
      </c>
      <c r="B131" t="s">
        <v>16</v>
      </c>
      <c r="C131" t="s">
        <v>13</v>
      </c>
      <c r="D131">
        <v>1</v>
      </c>
      <c r="E131" s="2">
        <v>3000</v>
      </c>
      <c r="F131" s="2">
        <f t="shared" si="19"/>
        <v>2847.17</v>
      </c>
      <c r="G131" s="3">
        <v>1</v>
      </c>
      <c r="H131">
        <v>1145</v>
      </c>
      <c r="I131">
        <v>748.9</v>
      </c>
      <c r="J131">
        <v>19991</v>
      </c>
      <c r="K131">
        <v>17770</v>
      </c>
      <c r="L131" s="2">
        <v>28.133125000000003</v>
      </c>
      <c r="M131" s="5">
        <v>129.91749999999999</v>
      </c>
      <c r="N131" s="1">
        <v>193.08539999999999</v>
      </c>
      <c r="O131" s="2">
        <v>5.2</v>
      </c>
      <c r="P131">
        <v>104</v>
      </c>
    </row>
    <row r="132" spans="1:16" x14ac:dyDescent="0.35">
      <c r="A132" s="4">
        <v>43922</v>
      </c>
      <c r="B132" t="s">
        <v>16</v>
      </c>
      <c r="C132" t="s">
        <v>14</v>
      </c>
      <c r="D132">
        <v>1</v>
      </c>
      <c r="E132" s="2">
        <f>(2950+2733)/2</f>
        <v>2841.5</v>
      </c>
      <c r="F132" s="2">
        <f t="shared" si="19"/>
        <v>2847.17</v>
      </c>
      <c r="G132" s="3">
        <v>1</v>
      </c>
      <c r="H132">
        <v>1145</v>
      </c>
      <c r="I132">
        <v>748.9</v>
      </c>
      <c r="J132">
        <v>19991</v>
      </c>
      <c r="K132">
        <v>17770</v>
      </c>
      <c r="L132" s="2">
        <v>28.133125000000003</v>
      </c>
      <c r="M132" s="5">
        <v>129.91749999999999</v>
      </c>
      <c r="N132" s="1">
        <v>193.08539999999999</v>
      </c>
      <c r="O132" s="2">
        <v>5.2</v>
      </c>
      <c r="P132">
        <v>104</v>
      </c>
    </row>
    <row r="133" spans="1:16" x14ac:dyDescent="0.35">
      <c r="A133" s="4">
        <v>43922</v>
      </c>
      <c r="B133" t="s">
        <v>16</v>
      </c>
      <c r="C133" t="s">
        <v>15</v>
      </c>
      <c r="D133">
        <v>0</v>
      </c>
      <c r="E133" s="2" t="s">
        <v>27</v>
      </c>
      <c r="F133" s="2">
        <f t="shared" si="19"/>
        <v>2847.17</v>
      </c>
      <c r="G133" s="3">
        <v>1</v>
      </c>
      <c r="H133">
        <v>1145</v>
      </c>
      <c r="I133">
        <v>748.9</v>
      </c>
      <c r="J133">
        <v>19991</v>
      </c>
      <c r="K133">
        <v>17770</v>
      </c>
      <c r="L133" s="2">
        <v>28.133125000000003</v>
      </c>
      <c r="M133" s="5">
        <v>129.91749999999999</v>
      </c>
      <c r="N133" s="1">
        <v>193.08539999999999</v>
      </c>
      <c r="O133" s="2">
        <v>5.2</v>
      </c>
      <c r="P133">
        <v>104</v>
      </c>
    </row>
    <row r="134" spans="1:16" x14ac:dyDescent="0.35">
      <c r="A134" s="4">
        <v>43922</v>
      </c>
      <c r="B134" t="s">
        <v>17</v>
      </c>
      <c r="C134" t="s">
        <v>10</v>
      </c>
      <c r="D134">
        <v>1</v>
      </c>
      <c r="E134" s="2">
        <v>2450</v>
      </c>
      <c r="F134" s="2">
        <f t="shared" ref="F134:F139" si="20">(2377.67+2450)/2</f>
        <v>2413.835</v>
      </c>
      <c r="G134" s="3">
        <v>1</v>
      </c>
      <c r="H134">
        <v>1145</v>
      </c>
      <c r="I134">
        <v>748.9</v>
      </c>
      <c r="J134">
        <v>19991</v>
      </c>
      <c r="K134">
        <v>17770</v>
      </c>
      <c r="L134" s="2">
        <v>28.133125000000003</v>
      </c>
      <c r="M134" s="5">
        <v>129.91749999999999</v>
      </c>
      <c r="N134" s="1">
        <v>193.08539999999999</v>
      </c>
      <c r="O134" s="2">
        <v>5.2</v>
      </c>
      <c r="P134">
        <v>104</v>
      </c>
    </row>
    <row r="135" spans="1:16" x14ac:dyDescent="0.35">
      <c r="A135" s="4">
        <v>43922</v>
      </c>
      <c r="B135" t="s">
        <v>17</v>
      </c>
      <c r="C135" t="s">
        <v>11</v>
      </c>
      <c r="D135">
        <v>1</v>
      </c>
      <c r="E135" s="2" t="s">
        <v>27</v>
      </c>
      <c r="F135" s="2">
        <f t="shared" si="20"/>
        <v>2413.835</v>
      </c>
      <c r="G135" s="3">
        <v>1</v>
      </c>
      <c r="H135">
        <v>1145</v>
      </c>
      <c r="I135">
        <v>748.9</v>
      </c>
      <c r="J135">
        <v>19991</v>
      </c>
      <c r="K135">
        <v>17770</v>
      </c>
      <c r="L135" s="2">
        <v>28.133125000000003</v>
      </c>
      <c r="M135" s="5">
        <v>129.91749999999999</v>
      </c>
      <c r="N135" s="1">
        <v>193.08539999999999</v>
      </c>
      <c r="O135" s="2">
        <v>5.2</v>
      </c>
      <c r="P135">
        <v>104</v>
      </c>
    </row>
    <row r="136" spans="1:16" x14ac:dyDescent="0.35">
      <c r="A136" s="4">
        <v>43922</v>
      </c>
      <c r="B136" t="s">
        <v>17</v>
      </c>
      <c r="C136" t="s">
        <v>12</v>
      </c>
      <c r="D136">
        <v>1</v>
      </c>
      <c r="E136" s="2" t="s">
        <v>27</v>
      </c>
      <c r="F136" s="2">
        <f t="shared" si="20"/>
        <v>2413.835</v>
      </c>
      <c r="G136" s="3">
        <v>1</v>
      </c>
      <c r="H136">
        <v>1145</v>
      </c>
      <c r="I136">
        <v>748.9</v>
      </c>
      <c r="J136">
        <v>19991</v>
      </c>
      <c r="K136">
        <v>17770</v>
      </c>
      <c r="L136" s="2">
        <v>28.133125000000003</v>
      </c>
      <c r="M136" s="5">
        <v>129.91749999999999</v>
      </c>
      <c r="N136" s="1">
        <v>193.08539999999999</v>
      </c>
      <c r="O136" s="2">
        <v>5.2</v>
      </c>
      <c r="P136">
        <v>104</v>
      </c>
    </row>
    <row r="137" spans="1:16" x14ac:dyDescent="0.35">
      <c r="A137" s="4">
        <v>43922</v>
      </c>
      <c r="B137" t="s">
        <v>17</v>
      </c>
      <c r="C137" t="s">
        <v>13</v>
      </c>
      <c r="D137">
        <v>1</v>
      </c>
      <c r="E137" s="2">
        <v>2450</v>
      </c>
      <c r="F137" s="2">
        <f t="shared" si="20"/>
        <v>2413.835</v>
      </c>
      <c r="G137" s="3">
        <v>1</v>
      </c>
      <c r="H137">
        <v>1145</v>
      </c>
      <c r="I137">
        <v>748.9</v>
      </c>
      <c r="J137">
        <v>19991</v>
      </c>
      <c r="K137">
        <v>17770</v>
      </c>
      <c r="L137" s="2">
        <v>28.133125000000003</v>
      </c>
      <c r="M137" s="5">
        <v>129.91749999999999</v>
      </c>
      <c r="N137" s="1">
        <v>193.08539999999999</v>
      </c>
      <c r="O137" s="2">
        <v>5.2</v>
      </c>
      <c r="P137">
        <v>104</v>
      </c>
    </row>
    <row r="138" spans="1:16" x14ac:dyDescent="0.35">
      <c r="A138" s="4">
        <v>43922</v>
      </c>
      <c r="B138" t="s">
        <v>17</v>
      </c>
      <c r="C138" t="s">
        <v>14</v>
      </c>
      <c r="D138">
        <v>1</v>
      </c>
      <c r="E138" s="2">
        <v>2341.5</v>
      </c>
      <c r="F138" s="2">
        <f t="shared" si="20"/>
        <v>2413.835</v>
      </c>
      <c r="G138" s="3">
        <v>1</v>
      </c>
      <c r="H138">
        <v>1145</v>
      </c>
      <c r="I138">
        <v>748.9</v>
      </c>
      <c r="J138">
        <v>19991</v>
      </c>
      <c r="K138">
        <v>17770</v>
      </c>
      <c r="L138" s="2">
        <v>28.133125000000003</v>
      </c>
      <c r="M138" s="5">
        <v>129.91749999999999</v>
      </c>
      <c r="N138" s="1">
        <v>193.08539999999999</v>
      </c>
      <c r="O138" s="2">
        <v>5.2</v>
      </c>
      <c r="P138">
        <v>104</v>
      </c>
    </row>
    <row r="139" spans="1:16" x14ac:dyDescent="0.35">
      <c r="A139" s="4">
        <v>43922</v>
      </c>
      <c r="B139" t="s">
        <v>17</v>
      </c>
      <c r="C139" t="s">
        <v>15</v>
      </c>
      <c r="D139">
        <v>0</v>
      </c>
      <c r="E139" s="2" t="s">
        <v>27</v>
      </c>
      <c r="F139" s="2">
        <f t="shared" si="20"/>
        <v>2413.835</v>
      </c>
      <c r="G139" s="3">
        <v>1</v>
      </c>
      <c r="H139">
        <v>1145</v>
      </c>
      <c r="I139">
        <v>748.9</v>
      </c>
      <c r="J139">
        <v>19991</v>
      </c>
      <c r="K139">
        <v>17770</v>
      </c>
      <c r="L139" s="2">
        <v>28.133125000000003</v>
      </c>
      <c r="M139" s="5">
        <v>129.91749999999999</v>
      </c>
      <c r="N139" s="1">
        <v>193.08539999999999</v>
      </c>
      <c r="O139" s="2">
        <v>5.2</v>
      </c>
      <c r="P139">
        <v>104</v>
      </c>
    </row>
    <row r="140" spans="1:16" x14ac:dyDescent="0.35">
      <c r="A140" s="4">
        <v>43922</v>
      </c>
      <c r="B140" t="s">
        <v>18</v>
      </c>
      <c r="C140" t="s">
        <v>10</v>
      </c>
      <c r="D140">
        <v>1</v>
      </c>
      <c r="E140" s="2">
        <v>2250</v>
      </c>
      <c r="F140" s="2">
        <f t="shared" ref="F140:F145" si="21">(2128.25+2197)/2</f>
        <v>2162.625</v>
      </c>
      <c r="G140" s="3">
        <v>1</v>
      </c>
      <c r="H140">
        <v>1145</v>
      </c>
      <c r="I140">
        <v>748.9</v>
      </c>
      <c r="J140">
        <v>19991</v>
      </c>
      <c r="K140">
        <v>17770</v>
      </c>
      <c r="L140" s="2">
        <v>28.133125000000003</v>
      </c>
      <c r="M140" s="5">
        <v>129.91749999999999</v>
      </c>
      <c r="N140" s="1">
        <v>193.08539999999999</v>
      </c>
      <c r="O140" s="2">
        <v>5.2</v>
      </c>
      <c r="P140">
        <v>104</v>
      </c>
    </row>
    <row r="141" spans="1:16" x14ac:dyDescent="0.35">
      <c r="A141" s="4">
        <v>43922</v>
      </c>
      <c r="B141" t="s">
        <v>18</v>
      </c>
      <c r="C141" t="s">
        <v>11</v>
      </c>
      <c r="D141">
        <v>1</v>
      </c>
      <c r="E141" s="2" t="s">
        <v>27</v>
      </c>
      <c r="F141" s="2">
        <f t="shared" si="21"/>
        <v>2162.625</v>
      </c>
      <c r="G141" s="3">
        <v>1</v>
      </c>
      <c r="H141">
        <v>1145</v>
      </c>
      <c r="I141">
        <v>748.9</v>
      </c>
      <c r="J141">
        <v>19991</v>
      </c>
      <c r="K141">
        <v>17770</v>
      </c>
      <c r="L141" s="2">
        <v>28.133125000000003</v>
      </c>
      <c r="M141" s="5">
        <v>129.91749999999999</v>
      </c>
      <c r="N141" s="1">
        <v>193.08539999999999</v>
      </c>
      <c r="O141" s="2">
        <v>5.2</v>
      </c>
      <c r="P141">
        <v>104</v>
      </c>
    </row>
    <row r="142" spans="1:16" x14ac:dyDescent="0.35">
      <c r="A142" s="4">
        <v>43922</v>
      </c>
      <c r="B142" t="s">
        <v>18</v>
      </c>
      <c r="C142" t="s">
        <v>12</v>
      </c>
      <c r="D142">
        <v>1</v>
      </c>
      <c r="E142" s="2" t="s">
        <v>27</v>
      </c>
      <c r="F142" s="2">
        <f t="shared" si="21"/>
        <v>2162.625</v>
      </c>
      <c r="G142" s="3">
        <v>1</v>
      </c>
      <c r="H142">
        <v>1145</v>
      </c>
      <c r="I142">
        <v>748.9</v>
      </c>
      <c r="J142">
        <v>19991</v>
      </c>
      <c r="K142">
        <v>17770</v>
      </c>
      <c r="L142" s="2">
        <v>28.133125000000003</v>
      </c>
      <c r="M142" s="5">
        <v>129.91749999999999</v>
      </c>
      <c r="N142" s="1">
        <v>193.08539999999999</v>
      </c>
      <c r="O142" s="2">
        <v>5.2</v>
      </c>
      <c r="P142">
        <v>104</v>
      </c>
    </row>
    <row r="143" spans="1:16" x14ac:dyDescent="0.35">
      <c r="A143" s="4">
        <v>43922</v>
      </c>
      <c r="B143" t="s">
        <v>18</v>
      </c>
      <c r="C143" t="s">
        <v>13</v>
      </c>
      <c r="D143">
        <v>1</v>
      </c>
      <c r="E143" s="2">
        <v>2150</v>
      </c>
      <c r="F143" s="2">
        <f t="shared" si="21"/>
        <v>2162.625</v>
      </c>
      <c r="G143" s="3">
        <v>1</v>
      </c>
      <c r="H143">
        <v>1145</v>
      </c>
      <c r="I143">
        <v>748.9</v>
      </c>
      <c r="J143">
        <v>19991</v>
      </c>
      <c r="K143">
        <v>17770</v>
      </c>
      <c r="L143" s="2">
        <v>28.133125000000003</v>
      </c>
      <c r="M143" s="5">
        <v>129.91749999999999</v>
      </c>
      <c r="N143" s="1">
        <v>193.08539999999999</v>
      </c>
      <c r="O143" s="2">
        <v>5.2</v>
      </c>
      <c r="P143">
        <v>104</v>
      </c>
    </row>
    <row r="144" spans="1:16" x14ac:dyDescent="0.35">
      <c r="A144" s="4">
        <v>43922</v>
      </c>
      <c r="B144" t="s">
        <v>18</v>
      </c>
      <c r="C144" t="s">
        <v>14</v>
      </c>
      <c r="D144">
        <v>1</v>
      </c>
      <c r="E144" s="2">
        <f>(2113+2138)/2</f>
        <v>2125.5</v>
      </c>
      <c r="F144" s="2">
        <f t="shared" si="21"/>
        <v>2162.625</v>
      </c>
      <c r="G144" s="3">
        <v>1</v>
      </c>
      <c r="H144">
        <v>1145</v>
      </c>
      <c r="I144">
        <v>748.9</v>
      </c>
      <c r="J144">
        <v>19991</v>
      </c>
      <c r="K144">
        <v>17770</v>
      </c>
      <c r="L144" s="2">
        <v>28.133125000000003</v>
      </c>
      <c r="M144" s="5">
        <v>129.91749999999999</v>
      </c>
      <c r="N144" s="1">
        <v>193.08539999999999</v>
      </c>
      <c r="O144" s="2">
        <v>5.2</v>
      </c>
      <c r="P144">
        <v>104</v>
      </c>
    </row>
    <row r="145" spans="1:16" x14ac:dyDescent="0.35">
      <c r="A145" s="4">
        <v>43922</v>
      </c>
      <c r="B145" t="s">
        <v>18</v>
      </c>
      <c r="C145" t="s">
        <v>15</v>
      </c>
      <c r="D145">
        <v>1</v>
      </c>
      <c r="E145" s="2">
        <v>2125</v>
      </c>
      <c r="F145" s="2">
        <f t="shared" si="21"/>
        <v>2162.625</v>
      </c>
      <c r="G145" s="3">
        <v>1</v>
      </c>
      <c r="H145">
        <v>1145</v>
      </c>
      <c r="I145">
        <v>748.9</v>
      </c>
      <c r="J145">
        <v>19991</v>
      </c>
      <c r="K145">
        <v>17770</v>
      </c>
      <c r="L145" s="2">
        <v>28.133125000000003</v>
      </c>
      <c r="M145" s="5">
        <v>129.91749999999999</v>
      </c>
      <c r="N145" s="1">
        <v>193.08539999999999</v>
      </c>
      <c r="O145" s="2">
        <v>5.2</v>
      </c>
      <c r="P145">
        <v>104</v>
      </c>
    </row>
    <row r="146" spans="1:16" x14ac:dyDescent="0.35">
      <c r="A146" s="4">
        <v>43922</v>
      </c>
      <c r="B146" t="s">
        <v>19</v>
      </c>
      <c r="C146" t="s">
        <v>10</v>
      </c>
      <c r="D146">
        <v>1</v>
      </c>
      <c r="E146" s="2">
        <v>1850</v>
      </c>
      <c r="F146" s="2">
        <f t="shared" ref="F146:F151" si="22">(2020.75+1938.75)/2</f>
        <v>1979.75</v>
      </c>
      <c r="G146" s="3">
        <v>1</v>
      </c>
      <c r="H146">
        <v>1145</v>
      </c>
      <c r="I146">
        <v>748.9</v>
      </c>
      <c r="J146">
        <v>19991</v>
      </c>
      <c r="K146">
        <v>17770</v>
      </c>
      <c r="L146" s="2">
        <v>28.133125000000003</v>
      </c>
      <c r="M146" s="5">
        <v>129.91749999999999</v>
      </c>
      <c r="N146" s="1">
        <v>193.08539999999999</v>
      </c>
      <c r="O146" s="2">
        <v>5.2</v>
      </c>
      <c r="P146">
        <v>104</v>
      </c>
    </row>
    <row r="147" spans="1:16" x14ac:dyDescent="0.35">
      <c r="A147" s="4">
        <v>43922</v>
      </c>
      <c r="B147" t="s">
        <v>19</v>
      </c>
      <c r="C147" t="s">
        <v>11</v>
      </c>
      <c r="D147">
        <v>1</v>
      </c>
      <c r="E147" s="2" t="s">
        <v>27</v>
      </c>
      <c r="F147" s="2">
        <f t="shared" si="22"/>
        <v>1979.75</v>
      </c>
      <c r="G147" s="3">
        <v>1</v>
      </c>
      <c r="H147">
        <v>1145</v>
      </c>
      <c r="I147">
        <v>748.9</v>
      </c>
      <c r="J147">
        <v>19991</v>
      </c>
      <c r="K147">
        <v>17770</v>
      </c>
      <c r="L147" s="2">
        <v>28.133125000000003</v>
      </c>
      <c r="M147" s="5">
        <v>129.91749999999999</v>
      </c>
      <c r="N147" s="1">
        <v>193.08539999999999</v>
      </c>
      <c r="O147" s="2">
        <v>5.2</v>
      </c>
      <c r="P147">
        <v>104</v>
      </c>
    </row>
    <row r="148" spans="1:16" x14ac:dyDescent="0.35">
      <c r="A148" s="4">
        <v>43922</v>
      </c>
      <c r="B148" t="s">
        <v>19</v>
      </c>
      <c r="C148" t="s">
        <v>12</v>
      </c>
      <c r="D148">
        <v>1</v>
      </c>
      <c r="E148" s="2" t="s">
        <v>27</v>
      </c>
      <c r="F148" s="2">
        <f t="shared" si="22"/>
        <v>1979.75</v>
      </c>
      <c r="G148" s="3">
        <v>1</v>
      </c>
      <c r="H148">
        <v>1145</v>
      </c>
      <c r="I148">
        <v>748.9</v>
      </c>
      <c r="J148">
        <v>19991</v>
      </c>
      <c r="K148">
        <v>17770</v>
      </c>
      <c r="L148" s="2">
        <v>28.133125000000003</v>
      </c>
      <c r="M148" s="5">
        <v>129.91749999999999</v>
      </c>
      <c r="N148" s="1">
        <v>193.08539999999999</v>
      </c>
      <c r="O148" s="2">
        <v>5.2</v>
      </c>
      <c r="P148">
        <v>104</v>
      </c>
    </row>
    <row r="149" spans="1:16" x14ac:dyDescent="0.35">
      <c r="A149" s="4">
        <v>43922</v>
      </c>
      <c r="B149" t="s">
        <v>19</v>
      </c>
      <c r="C149" t="s">
        <v>13</v>
      </c>
      <c r="D149">
        <v>1</v>
      </c>
      <c r="E149" s="2">
        <v>2065</v>
      </c>
      <c r="F149" s="2">
        <f t="shared" si="22"/>
        <v>1979.75</v>
      </c>
      <c r="G149" s="3">
        <v>1</v>
      </c>
      <c r="H149">
        <v>1145</v>
      </c>
      <c r="I149">
        <v>748.9</v>
      </c>
      <c r="J149">
        <v>19991</v>
      </c>
      <c r="K149">
        <v>17770</v>
      </c>
      <c r="L149" s="2">
        <v>28.133125000000003</v>
      </c>
      <c r="M149" s="5">
        <v>129.91749999999999</v>
      </c>
      <c r="N149" s="1">
        <v>193.08539999999999</v>
      </c>
      <c r="O149" s="2">
        <v>5.2</v>
      </c>
      <c r="P149">
        <v>104</v>
      </c>
    </row>
    <row r="150" spans="1:16" x14ac:dyDescent="0.35">
      <c r="A150" s="4">
        <v>43922</v>
      </c>
      <c r="B150" t="s">
        <v>19</v>
      </c>
      <c r="C150" t="s">
        <v>14</v>
      </c>
      <c r="D150">
        <v>1</v>
      </c>
      <c r="E150" s="2">
        <v>2004</v>
      </c>
      <c r="F150" s="2">
        <f t="shared" si="22"/>
        <v>1979.75</v>
      </c>
      <c r="G150" s="3">
        <v>1</v>
      </c>
      <c r="H150">
        <v>1145</v>
      </c>
      <c r="I150">
        <v>748.9</v>
      </c>
      <c r="J150">
        <v>19991</v>
      </c>
      <c r="K150">
        <v>17770</v>
      </c>
      <c r="L150" s="2">
        <v>28.133125000000003</v>
      </c>
      <c r="M150" s="5">
        <v>129.91749999999999</v>
      </c>
      <c r="N150" s="1">
        <v>193.08539999999999</v>
      </c>
      <c r="O150" s="2">
        <v>5.2</v>
      </c>
      <c r="P150">
        <v>104</v>
      </c>
    </row>
    <row r="151" spans="1:16" x14ac:dyDescent="0.35">
      <c r="A151" s="4">
        <v>43922</v>
      </c>
      <c r="B151" t="s">
        <v>19</v>
      </c>
      <c r="C151" t="s">
        <v>15</v>
      </c>
      <c r="D151">
        <v>1</v>
      </c>
      <c r="E151" s="2">
        <v>2000</v>
      </c>
      <c r="F151" s="2">
        <f t="shared" si="22"/>
        <v>1979.75</v>
      </c>
      <c r="G151" s="3">
        <v>1</v>
      </c>
      <c r="H151">
        <v>1145</v>
      </c>
      <c r="I151">
        <v>748.9</v>
      </c>
      <c r="J151">
        <v>19991</v>
      </c>
      <c r="K151">
        <v>17770</v>
      </c>
      <c r="L151" s="2">
        <v>28.133125000000003</v>
      </c>
      <c r="M151" s="5">
        <v>129.91749999999999</v>
      </c>
      <c r="N151" s="1">
        <v>193.08539999999999</v>
      </c>
      <c r="O151" s="2">
        <v>5.2</v>
      </c>
      <c r="P151">
        <v>104</v>
      </c>
    </row>
    <row r="152" spans="1:16" x14ac:dyDescent="0.35">
      <c r="A152" s="4">
        <v>43922</v>
      </c>
      <c r="B152" t="s">
        <v>20</v>
      </c>
      <c r="C152" t="s">
        <v>10</v>
      </c>
      <c r="D152">
        <v>1</v>
      </c>
      <c r="E152" s="2">
        <v>1475</v>
      </c>
      <c r="F152" s="2">
        <f t="shared" ref="F152:F157" si="23">(1700+1743.75)/2</f>
        <v>1721.875</v>
      </c>
      <c r="G152" s="3">
        <v>1</v>
      </c>
      <c r="H152">
        <v>1145</v>
      </c>
      <c r="I152">
        <v>748.9</v>
      </c>
      <c r="J152">
        <v>19991</v>
      </c>
      <c r="K152">
        <v>17770</v>
      </c>
      <c r="L152" s="2">
        <v>28.133125000000003</v>
      </c>
      <c r="M152" s="5">
        <v>129.91749999999999</v>
      </c>
      <c r="N152" s="1">
        <v>193.08539999999999</v>
      </c>
      <c r="O152" s="2">
        <v>5.2</v>
      </c>
      <c r="P152">
        <v>104</v>
      </c>
    </row>
    <row r="153" spans="1:16" x14ac:dyDescent="0.35">
      <c r="A153" s="4">
        <v>43922</v>
      </c>
      <c r="B153" t="s">
        <v>20</v>
      </c>
      <c r="C153" t="s">
        <v>11</v>
      </c>
      <c r="D153">
        <v>1</v>
      </c>
      <c r="E153" s="2" t="s">
        <v>27</v>
      </c>
      <c r="F153" s="2">
        <f t="shared" si="23"/>
        <v>1721.875</v>
      </c>
      <c r="G153" s="3">
        <v>1</v>
      </c>
      <c r="H153">
        <v>1145</v>
      </c>
      <c r="I153">
        <v>748.9</v>
      </c>
      <c r="J153">
        <v>19991</v>
      </c>
      <c r="K153">
        <v>17770</v>
      </c>
      <c r="L153" s="2">
        <v>28.133125000000003</v>
      </c>
      <c r="M153" s="5">
        <v>129.91749999999999</v>
      </c>
      <c r="N153" s="1">
        <v>193.08539999999999</v>
      </c>
      <c r="O153" s="2">
        <v>5.2</v>
      </c>
      <c r="P153">
        <v>104</v>
      </c>
    </row>
    <row r="154" spans="1:16" x14ac:dyDescent="0.35">
      <c r="A154" s="4">
        <v>43922</v>
      </c>
      <c r="B154" t="s">
        <v>20</v>
      </c>
      <c r="C154" t="s">
        <v>12</v>
      </c>
      <c r="D154">
        <v>1</v>
      </c>
      <c r="E154" s="2" t="s">
        <v>27</v>
      </c>
      <c r="F154" s="2">
        <f t="shared" si="23"/>
        <v>1721.875</v>
      </c>
      <c r="G154" s="3">
        <v>1</v>
      </c>
      <c r="H154">
        <v>1145</v>
      </c>
      <c r="I154">
        <v>748.9</v>
      </c>
      <c r="J154">
        <v>19991</v>
      </c>
      <c r="K154">
        <v>17770</v>
      </c>
      <c r="L154" s="2">
        <v>28.133125000000003</v>
      </c>
      <c r="M154" s="5">
        <v>129.91749999999999</v>
      </c>
      <c r="N154" s="1">
        <v>193.08539999999999</v>
      </c>
      <c r="O154" s="2">
        <v>5.2</v>
      </c>
      <c r="P154">
        <v>104</v>
      </c>
    </row>
    <row r="155" spans="1:16" x14ac:dyDescent="0.35">
      <c r="A155" s="4">
        <v>43922</v>
      </c>
      <c r="B155" t="s">
        <v>20</v>
      </c>
      <c r="C155" t="s">
        <v>13</v>
      </c>
      <c r="D155">
        <v>1</v>
      </c>
      <c r="E155" s="2">
        <v>1812.5</v>
      </c>
      <c r="F155" s="2">
        <f t="shared" si="23"/>
        <v>1721.875</v>
      </c>
      <c r="G155" s="3">
        <v>1</v>
      </c>
      <c r="H155">
        <v>1145</v>
      </c>
      <c r="I155">
        <v>748.9</v>
      </c>
      <c r="J155">
        <v>19991</v>
      </c>
      <c r="K155">
        <v>17770</v>
      </c>
      <c r="L155" s="2">
        <v>28.133125000000003</v>
      </c>
      <c r="M155" s="5">
        <v>129.91749999999999</v>
      </c>
      <c r="N155" s="1">
        <v>193.08539999999999</v>
      </c>
      <c r="O155" s="2">
        <v>5.2</v>
      </c>
      <c r="P155">
        <v>104</v>
      </c>
    </row>
    <row r="156" spans="1:16" x14ac:dyDescent="0.35">
      <c r="A156" s="4">
        <v>43922</v>
      </c>
      <c r="B156" t="s">
        <v>20</v>
      </c>
      <c r="C156" t="s">
        <v>14</v>
      </c>
      <c r="D156">
        <v>1</v>
      </c>
      <c r="E156" s="2">
        <v>1775</v>
      </c>
      <c r="F156" s="2">
        <f t="shared" si="23"/>
        <v>1721.875</v>
      </c>
      <c r="G156" s="3">
        <v>1</v>
      </c>
      <c r="H156">
        <v>1145</v>
      </c>
      <c r="I156">
        <v>748.9</v>
      </c>
      <c r="J156">
        <v>19991</v>
      </c>
      <c r="K156">
        <v>17770</v>
      </c>
      <c r="L156" s="2">
        <v>28.133125000000003</v>
      </c>
      <c r="M156" s="5">
        <v>129.91749999999999</v>
      </c>
      <c r="N156" s="1">
        <v>193.08539999999999</v>
      </c>
      <c r="O156" s="2">
        <v>5.2</v>
      </c>
      <c r="P156">
        <v>104</v>
      </c>
    </row>
    <row r="157" spans="1:16" x14ac:dyDescent="0.35">
      <c r="A157" s="4">
        <v>43922</v>
      </c>
      <c r="B157" t="s">
        <v>20</v>
      </c>
      <c r="C157" t="s">
        <v>15</v>
      </c>
      <c r="D157">
        <v>1</v>
      </c>
      <c r="E157" s="2">
        <v>1825</v>
      </c>
      <c r="F157" s="2">
        <f t="shared" si="23"/>
        <v>1721.875</v>
      </c>
      <c r="G157" s="3">
        <v>1</v>
      </c>
      <c r="H157">
        <v>1145</v>
      </c>
      <c r="I157">
        <v>748.9</v>
      </c>
      <c r="J157">
        <v>19991</v>
      </c>
      <c r="K157">
        <v>17770</v>
      </c>
      <c r="L157" s="2">
        <v>28.133125000000003</v>
      </c>
      <c r="M157" s="5">
        <v>129.91749999999999</v>
      </c>
      <c r="N157" s="1">
        <v>193.08539999999999</v>
      </c>
      <c r="O157" s="2">
        <v>5.2</v>
      </c>
      <c r="P157">
        <v>104</v>
      </c>
    </row>
    <row r="158" spans="1:16" x14ac:dyDescent="0.35">
      <c r="A158" s="4">
        <v>43922</v>
      </c>
      <c r="B158" t="s">
        <v>21</v>
      </c>
      <c r="C158" t="s">
        <v>10</v>
      </c>
      <c r="D158">
        <v>1</v>
      </c>
      <c r="E158" s="2">
        <v>1200</v>
      </c>
      <c r="F158" s="2">
        <f t="shared" ref="F158:F163" si="24">(1612.5+1561.75)/2</f>
        <v>1587.125</v>
      </c>
      <c r="G158" s="3">
        <v>1</v>
      </c>
      <c r="H158">
        <v>1145</v>
      </c>
      <c r="I158">
        <v>748.9</v>
      </c>
      <c r="J158">
        <v>19991</v>
      </c>
      <c r="K158">
        <v>17770</v>
      </c>
      <c r="L158" s="2">
        <v>28.133125000000003</v>
      </c>
      <c r="M158" s="5">
        <v>129.91749999999999</v>
      </c>
      <c r="N158" s="1">
        <v>193.08539999999999</v>
      </c>
      <c r="O158" s="2">
        <v>5.2</v>
      </c>
      <c r="P158">
        <v>104</v>
      </c>
    </row>
    <row r="159" spans="1:16" x14ac:dyDescent="0.35">
      <c r="A159" s="4">
        <v>43922</v>
      </c>
      <c r="B159" t="s">
        <v>21</v>
      </c>
      <c r="C159" t="s">
        <v>11</v>
      </c>
      <c r="D159">
        <v>1</v>
      </c>
      <c r="E159" s="2" t="s">
        <v>27</v>
      </c>
      <c r="F159" s="2">
        <f t="shared" si="24"/>
        <v>1587.125</v>
      </c>
      <c r="G159" s="3">
        <v>1</v>
      </c>
      <c r="H159">
        <v>1145</v>
      </c>
      <c r="I159">
        <v>748.9</v>
      </c>
      <c r="J159">
        <v>19991</v>
      </c>
      <c r="K159">
        <v>17770</v>
      </c>
      <c r="L159" s="2">
        <v>28.133125000000003</v>
      </c>
      <c r="M159" s="5">
        <v>129.91749999999999</v>
      </c>
      <c r="N159" s="1">
        <v>193.08539999999999</v>
      </c>
      <c r="O159" s="2">
        <v>5.2</v>
      </c>
      <c r="P159">
        <v>104</v>
      </c>
    </row>
    <row r="160" spans="1:16" x14ac:dyDescent="0.35">
      <c r="A160" s="4">
        <v>43922</v>
      </c>
      <c r="B160" t="s">
        <v>21</v>
      </c>
      <c r="C160" t="s">
        <v>12</v>
      </c>
      <c r="D160">
        <v>1</v>
      </c>
      <c r="E160" s="2" t="s">
        <v>27</v>
      </c>
      <c r="F160" s="2">
        <f t="shared" si="24"/>
        <v>1587.125</v>
      </c>
      <c r="G160" s="3">
        <v>1</v>
      </c>
      <c r="H160">
        <v>1145</v>
      </c>
      <c r="I160">
        <v>748.9</v>
      </c>
      <c r="J160">
        <v>19991</v>
      </c>
      <c r="K160">
        <v>17770</v>
      </c>
      <c r="L160" s="2">
        <v>28.133125000000003</v>
      </c>
      <c r="M160" s="5">
        <v>129.91749999999999</v>
      </c>
      <c r="N160" s="1">
        <v>193.08539999999999</v>
      </c>
      <c r="O160" s="2">
        <v>5.2</v>
      </c>
      <c r="P160">
        <v>104</v>
      </c>
    </row>
    <row r="161" spans="1:16" x14ac:dyDescent="0.35">
      <c r="A161" s="4">
        <v>43922</v>
      </c>
      <c r="B161" t="s">
        <v>21</v>
      </c>
      <c r="C161" t="s">
        <v>13</v>
      </c>
      <c r="D161">
        <v>1</v>
      </c>
      <c r="E161" s="2">
        <v>1715</v>
      </c>
      <c r="F161" s="2">
        <f t="shared" si="24"/>
        <v>1587.125</v>
      </c>
      <c r="G161" s="3">
        <v>1</v>
      </c>
      <c r="H161">
        <v>1145</v>
      </c>
      <c r="I161">
        <v>748.9</v>
      </c>
      <c r="J161">
        <v>19991</v>
      </c>
      <c r="K161">
        <v>17770</v>
      </c>
      <c r="L161" s="2">
        <v>28.133125000000003</v>
      </c>
      <c r="M161" s="5">
        <v>129.91749999999999</v>
      </c>
      <c r="N161" s="1">
        <v>193.08539999999999</v>
      </c>
      <c r="O161" s="2">
        <v>5.2</v>
      </c>
      <c r="P161">
        <v>104</v>
      </c>
    </row>
    <row r="162" spans="1:16" x14ac:dyDescent="0.35">
      <c r="A162" s="4">
        <v>43922</v>
      </c>
      <c r="B162" t="s">
        <v>21</v>
      </c>
      <c r="C162" t="s">
        <v>14</v>
      </c>
      <c r="D162">
        <v>1</v>
      </c>
      <c r="E162" s="2">
        <f>(1700+1667)/2</f>
        <v>1683.5</v>
      </c>
      <c r="F162" s="2">
        <f t="shared" si="24"/>
        <v>1587.125</v>
      </c>
      <c r="G162" s="3">
        <v>1</v>
      </c>
      <c r="H162">
        <v>1145</v>
      </c>
      <c r="I162">
        <v>748.9</v>
      </c>
      <c r="J162">
        <v>19991</v>
      </c>
      <c r="K162">
        <v>17770</v>
      </c>
      <c r="L162" s="2">
        <v>28.133125000000003</v>
      </c>
      <c r="M162" s="5">
        <v>129.91749999999999</v>
      </c>
      <c r="N162" s="1">
        <v>193.08539999999999</v>
      </c>
      <c r="O162" s="2">
        <v>5.2</v>
      </c>
      <c r="P162">
        <v>104</v>
      </c>
    </row>
    <row r="163" spans="1:16" x14ac:dyDescent="0.35">
      <c r="A163" s="4">
        <v>43922</v>
      </c>
      <c r="B163" t="s">
        <v>21</v>
      </c>
      <c r="C163" t="s">
        <v>15</v>
      </c>
      <c r="D163">
        <v>1</v>
      </c>
      <c r="E163" s="2">
        <v>1750</v>
      </c>
      <c r="F163" s="2">
        <f t="shared" si="24"/>
        <v>1587.125</v>
      </c>
      <c r="G163" s="3">
        <v>1</v>
      </c>
      <c r="H163">
        <v>1145</v>
      </c>
      <c r="I163">
        <v>748.9</v>
      </c>
      <c r="J163">
        <v>19991</v>
      </c>
      <c r="K163">
        <v>17770</v>
      </c>
      <c r="L163" s="2">
        <v>28.133125000000003</v>
      </c>
      <c r="M163" s="5">
        <v>129.91749999999999</v>
      </c>
      <c r="N163" s="1">
        <v>193.08539999999999</v>
      </c>
      <c r="O163" s="2">
        <v>5.2</v>
      </c>
      <c r="P163">
        <v>104</v>
      </c>
    </row>
    <row r="164" spans="1:16" x14ac:dyDescent="0.35">
      <c r="A164" s="4">
        <v>43922</v>
      </c>
      <c r="B164" t="s">
        <v>22</v>
      </c>
      <c r="C164" t="s">
        <v>10</v>
      </c>
      <c r="D164">
        <v>0</v>
      </c>
      <c r="E164" s="2" t="s">
        <v>27</v>
      </c>
      <c r="F164" s="2">
        <v>1516.5</v>
      </c>
      <c r="G164" s="3">
        <v>1</v>
      </c>
      <c r="H164">
        <v>1145</v>
      </c>
      <c r="I164">
        <v>748.9</v>
      </c>
      <c r="J164">
        <v>19991</v>
      </c>
      <c r="K164">
        <v>17770</v>
      </c>
      <c r="L164" s="2">
        <v>28.133125000000003</v>
      </c>
      <c r="M164" s="5">
        <v>129.91749999999999</v>
      </c>
      <c r="N164" s="1">
        <v>193.08539999999999</v>
      </c>
      <c r="O164" s="2">
        <v>5.2</v>
      </c>
      <c r="P164">
        <v>104</v>
      </c>
    </row>
    <row r="165" spans="1:16" x14ac:dyDescent="0.35">
      <c r="A165" s="4">
        <v>43922</v>
      </c>
      <c r="B165" t="s">
        <v>22</v>
      </c>
      <c r="C165" t="s">
        <v>11</v>
      </c>
      <c r="D165">
        <v>0</v>
      </c>
      <c r="E165" s="2" t="s">
        <v>27</v>
      </c>
      <c r="F165" s="2">
        <v>1516.5</v>
      </c>
      <c r="G165" s="3">
        <v>1</v>
      </c>
      <c r="H165">
        <v>1145</v>
      </c>
      <c r="I165">
        <v>748.9</v>
      </c>
      <c r="J165">
        <v>19991</v>
      </c>
      <c r="K165">
        <v>17770</v>
      </c>
      <c r="L165" s="2">
        <v>28.133125000000003</v>
      </c>
      <c r="M165" s="5">
        <v>129.91749999999999</v>
      </c>
      <c r="N165" s="1">
        <v>193.08539999999999</v>
      </c>
      <c r="O165" s="2">
        <v>5.2</v>
      </c>
      <c r="P165">
        <v>104</v>
      </c>
    </row>
    <row r="166" spans="1:16" x14ac:dyDescent="0.35">
      <c r="A166" s="4">
        <v>43922</v>
      </c>
      <c r="B166" t="s">
        <v>22</v>
      </c>
      <c r="C166" t="s">
        <v>12</v>
      </c>
      <c r="D166">
        <v>0</v>
      </c>
      <c r="E166" s="2" t="s">
        <v>27</v>
      </c>
      <c r="F166" s="2">
        <v>1516.5</v>
      </c>
      <c r="G166" s="3">
        <v>1</v>
      </c>
      <c r="H166">
        <v>1145</v>
      </c>
      <c r="I166">
        <v>748.9</v>
      </c>
      <c r="J166">
        <v>19991</v>
      </c>
      <c r="K166">
        <v>17770</v>
      </c>
      <c r="L166" s="2">
        <v>28.133125000000003</v>
      </c>
      <c r="M166" s="5">
        <v>129.91749999999999</v>
      </c>
      <c r="N166" s="1">
        <v>193.08539999999999</v>
      </c>
      <c r="O166" s="2">
        <v>5.2</v>
      </c>
      <c r="P166">
        <v>104</v>
      </c>
    </row>
    <row r="167" spans="1:16" x14ac:dyDescent="0.35">
      <c r="A167" s="4">
        <v>43922</v>
      </c>
      <c r="B167" t="s">
        <v>22</v>
      </c>
      <c r="C167" t="s">
        <v>13</v>
      </c>
      <c r="D167">
        <v>0</v>
      </c>
      <c r="E167" s="2" t="s">
        <v>27</v>
      </c>
      <c r="F167" s="2">
        <v>1516.5</v>
      </c>
      <c r="G167" s="3">
        <v>1</v>
      </c>
      <c r="H167">
        <v>1145</v>
      </c>
      <c r="I167">
        <v>748.9</v>
      </c>
      <c r="J167">
        <v>19991</v>
      </c>
      <c r="K167">
        <v>17770</v>
      </c>
      <c r="L167" s="2">
        <v>28.133125000000003</v>
      </c>
      <c r="M167" s="5">
        <v>129.91749999999999</v>
      </c>
      <c r="N167" s="1">
        <v>193.08539999999999</v>
      </c>
      <c r="O167" s="2">
        <v>5.2</v>
      </c>
      <c r="P167">
        <v>104</v>
      </c>
    </row>
    <row r="168" spans="1:16" x14ac:dyDescent="0.35">
      <c r="A168" s="4">
        <v>43922</v>
      </c>
      <c r="B168" t="s">
        <v>22</v>
      </c>
      <c r="C168" t="s">
        <v>14</v>
      </c>
      <c r="D168">
        <v>1</v>
      </c>
      <c r="E168" s="2">
        <v>1516.5</v>
      </c>
      <c r="F168" s="2">
        <v>1516.5</v>
      </c>
      <c r="G168" s="3">
        <v>1</v>
      </c>
      <c r="H168">
        <v>1145</v>
      </c>
      <c r="I168">
        <v>748.9</v>
      </c>
      <c r="J168">
        <v>19991</v>
      </c>
      <c r="K168">
        <v>17770</v>
      </c>
      <c r="L168" s="2">
        <v>28.133125000000003</v>
      </c>
      <c r="M168" s="5">
        <v>129.91749999999999</v>
      </c>
      <c r="N168" s="1">
        <v>193.08539999999999</v>
      </c>
      <c r="O168" s="2">
        <v>5.2</v>
      </c>
      <c r="P168">
        <v>104</v>
      </c>
    </row>
    <row r="169" spans="1:16" x14ac:dyDescent="0.35">
      <c r="A169" s="4">
        <v>43922</v>
      </c>
      <c r="B169" t="s">
        <v>22</v>
      </c>
      <c r="C169" t="s">
        <v>15</v>
      </c>
      <c r="D169">
        <v>0</v>
      </c>
      <c r="E169" s="2" t="s">
        <v>27</v>
      </c>
      <c r="F169" s="2">
        <v>1516.5</v>
      </c>
      <c r="G169" s="3">
        <v>1</v>
      </c>
      <c r="H169">
        <v>1145</v>
      </c>
      <c r="I169">
        <v>748.9</v>
      </c>
      <c r="J169">
        <v>19991</v>
      </c>
      <c r="K169">
        <v>17770</v>
      </c>
      <c r="L169" s="2">
        <v>28.133125000000003</v>
      </c>
      <c r="M169" s="5">
        <v>129.91749999999999</v>
      </c>
      <c r="N169" s="1">
        <v>193.08539999999999</v>
      </c>
      <c r="O169" s="2">
        <v>5.2</v>
      </c>
      <c r="P169">
        <v>104</v>
      </c>
    </row>
    <row r="170" spans="1:16" x14ac:dyDescent="0.35">
      <c r="A170" s="4">
        <v>43952</v>
      </c>
      <c r="B170" t="s">
        <v>16</v>
      </c>
      <c r="C170" t="s">
        <v>10</v>
      </c>
      <c r="D170">
        <v>1</v>
      </c>
      <c r="E170" s="2">
        <f>(2700+2750+2783+2816)/4</f>
        <v>2762.25</v>
      </c>
      <c r="F170" s="2">
        <f t="shared" ref="F170:F175" si="25">(2877.67+2910.5+2925+2901.5)/4</f>
        <v>2903.6675</v>
      </c>
      <c r="G170" s="3">
        <v>1</v>
      </c>
      <c r="H170">
        <v>2290</v>
      </c>
      <c r="I170">
        <v>936.1</v>
      </c>
      <c r="J170">
        <v>18605</v>
      </c>
      <c r="K170">
        <v>17770</v>
      </c>
      <c r="L170" s="2">
        <v>27.856250000000003</v>
      </c>
      <c r="M170" s="5">
        <v>239.15999999999994</v>
      </c>
      <c r="N170" s="1">
        <v>187.86500000000001</v>
      </c>
      <c r="O170" s="2">
        <v>4</v>
      </c>
      <c r="P170">
        <v>104</v>
      </c>
    </row>
    <row r="171" spans="1:16" x14ac:dyDescent="0.35">
      <c r="A171" s="4">
        <v>43952</v>
      </c>
      <c r="B171" t="s">
        <v>16</v>
      </c>
      <c r="C171" t="s">
        <v>11</v>
      </c>
      <c r="D171">
        <v>0</v>
      </c>
      <c r="E171" s="2" t="s">
        <v>27</v>
      </c>
      <c r="F171" s="2">
        <f t="shared" si="25"/>
        <v>2903.6675</v>
      </c>
      <c r="G171" s="3">
        <v>1</v>
      </c>
      <c r="H171">
        <v>2290</v>
      </c>
      <c r="I171">
        <v>936.1</v>
      </c>
      <c r="J171">
        <v>18605</v>
      </c>
      <c r="K171">
        <v>17770</v>
      </c>
      <c r="L171" s="2">
        <v>27.856250000000003</v>
      </c>
      <c r="M171" s="5">
        <v>239.15999999999994</v>
      </c>
      <c r="N171" s="1">
        <v>187.86500000000001</v>
      </c>
      <c r="O171" s="2">
        <v>4</v>
      </c>
      <c r="P171">
        <v>104</v>
      </c>
    </row>
    <row r="172" spans="1:16" x14ac:dyDescent="0.35">
      <c r="A172" s="4">
        <v>43952</v>
      </c>
      <c r="B172" t="s">
        <v>16</v>
      </c>
      <c r="C172" t="s">
        <v>12</v>
      </c>
      <c r="D172">
        <v>1</v>
      </c>
      <c r="E172" s="2">
        <f>(2965+2967+2967)/3</f>
        <v>2966.3333333333335</v>
      </c>
      <c r="F172" s="2">
        <f t="shared" si="25"/>
        <v>2903.6675</v>
      </c>
      <c r="G172" s="3">
        <v>1</v>
      </c>
      <c r="H172">
        <v>2290</v>
      </c>
      <c r="I172">
        <v>936.1</v>
      </c>
      <c r="J172">
        <v>18605</v>
      </c>
      <c r="K172">
        <v>17770</v>
      </c>
      <c r="L172" s="2">
        <v>27.856250000000003</v>
      </c>
      <c r="M172" s="5">
        <v>239.15999999999994</v>
      </c>
      <c r="N172" s="1">
        <v>187.86500000000001</v>
      </c>
      <c r="O172" s="2">
        <v>4</v>
      </c>
      <c r="P172">
        <v>104</v>
      </c>
    </row>
    <row r="173" spans="1:16" x14ac:dyDescent="0.35">
      <c r="A173" s="4">
        <v>43952</v>
      </c>
      <c r="B173" t="s">
        <v>16</v>
      </c>
      <c r="C173" t="s">
        <v>13</v>
      </c>
      <c r="D173">
        <v>1</v>
      </c>
      <c r="E173" s="2">
        <v>3000</v>
      </c>
      <c r="F173" s="2">
        <f t="shared" si="25"/>
        <v>2903.6675</v>
      </c>
      <c r="G173" s="3">
        <v>1</v>
      </c>
      <c r="H173">
        <v>2290</v>
      </c>
      <c r="I173">
        <v>936.1</v>
      </c>
      <c r="J173">
        <v>18605</v>
      </c>
      <c r="K173">
        <v>17770</v>
      </c>
      <c r="L173" s="2">
        <v>27.856250000000003</v>
      </c>
      <c r="M173" s="5">
        <v>239.15999999999994</v>
      </c>
      <c r="N173" s="1">
        <v>187.86500000000001</v>
      </c>
      <c r="O173" s="2">
        <v>4</v>
      </c>
      <c r="P173">
        <v>104</v>
      </c>
    </row>
    <row r="174" spans="1:16" x14ac:dyDescent="0.35">
      <c r="A174" s="4">
        <v>43952</v>
      </c>
      <c r="B174" t="s">
        <v>16</v>
      </c>
      <c r="C174" t="s">
        <v>14</v>
      </c>
      <c r="D174">
        <v>1</v>
      </c>
      <c r="E174" s="2">
        <f>(2825+2950+2925+2933)/4</f>
        <v>2908.25</v>
      </c>
      <c r="F174" s="2">
        <f t="shared" si="25"/>
        <v>2903.6675</v>
      </c>
      <c r="G174" s="3">
        <v>1</v>
      </c>
      <c r="H174">
        <v>2290</v>
      </c>
      <c r="I174">
        <v>936.1</v>
      </c>
      <c r="J174">
        <v>18605</v>
      </c>
      <c r="K174">
        <v>17770</v>
      </c>
      <c r="L174" s="2">
        <v>27.856250000000003</v>
      </c>
      <c r="M174" s="5">
        <v>239.15999999999994</v>
      </c>
      <c r="N174" s="1">
        <v>187.86500000000001</v>
      </c>
      <c r="O174" s="2">
        <v>4</v>
      </c>
      <c r="P174">
        <v>104</v>
      </c>
    </row>
    <row r="175" spans="1:16" x14ac:dyDescent="0.35">
      <c r="A175" s="4">
        <v>43952</v>
      </c>
      <c r="B175" t="s">
        <v>16</v>
      </c>
      <c r="C175" t="s">
        <v>15</v>
      </c>
      <c r="D175">
        <v>0</v>
      </c>
      <c r="E175" s="2" t="s">
        <v>27</v>
      </c>
      <c r="F175" s="2">
        <f t="shared" si="25"/>
        <v>2903.6675</v>
      </c>
      <c r="G175" s="3">
        <v>1</v>
      </c>
      <c r="H175">
        <v>2290</v>
      </c>
      <c r="I175">
        <v>936.1</v>
      </c>
      <c r="J175">
        <v>18605</v>
      </c>
      <c r="K175">
        <v>17770</v>
      </c>
      <c r="L175" s="2">
        <v>27.856250000000003</v>
      </c>
      <c r="M175" s="5">
        <v>239.15999999999994</v>
      </c>
      <c r="N175" s="1">
        <v>187.86500000000001</v>
      </c>
      <c r="O175" s="2">
        <v>4</v>
      </c>
      <c r="P175">
        <v>104</v>
      </c>
    </row>
    <row r="176" spans="1:16" x14ac:dyDescent="0.35">
      <c r="A176" s="4">
        <v>43952</v>
      </c>
      <c r="B176" t="s">
        <v>17</v>
      </c>
      <c r="C176" t="s">
        <v>10</v>
      </c>
      <c r="D176">
        <v>1</v>
      </c>
      <c r="E176" s="2">
        <f>(2583+2483+2416+2500)/4</f>
        <v>2495.5</v>
      </c>
      <c r="F176" s="2">
        <f t="shared" ref="F176:F181" si="26">(2477.5+2436.5+2444.75+2400)/4</f>
        <v>2439.6875</v>
      </c>
      <c r="G176" s="3">
        <v>1</v>
      </c>
      <c r="H176">
        <v>2290</v>
      </c>
      <c r="I176">
        <v>936.1</v>
      </c>
      <c r="J176">
        <v>18605</v>
      </c>
      <c r="K176">
        <v>17770</v>
      </c>
      <c r="L176" s="2">
        <v>27.856250000000003</v>
      </c>
      <c r="M176" s="5">
        <v>239.15999999999994</v>
      </c>
      <c r="N176" s="1">
        <v>187.86500000000001</v>
      </c>
      <c r="O176" s="2">
        <v>4</v>
      </c>
      <c r="P176">
        <v>104</v>
      </c>
    </row>
    <row r="177" spans="1:16" x14ac:dyDescent="0.35">
      <c r="A177" s="4">
        <v>43952</v>
      </c>
      <c r="B177" t="s">
        <v>17</v>
      </c>
      <c r="C177" t="s">
        <v>11</v>
      </c>
      <c r="D177">
        <v>1</v>
      </c>
      <c r="E177" s="2" t="s">
        <v>27</v>
      </c>
      <c r="F177" s="2">
        <f t="shared" si="26"/>
        <v>2439.6875</v>
      </c>
      <c r="G177" s="3">
        <v>1</v>
      </c>
      <c r="H177">
        <v>2290</v>
      </c>
      <c r="I177">
        <v>936.1</v>
      </c>
      <c r="J177">
        <v>18605</v>
      </c>
      <c r="K177">
        <v>17770</v>
      </c>
      <c r="L177" s="2">
        <v>27.856250000000003</v>
      </c>
      <c r="M177" s="5">
        <v>239.15999999999994</v>
      </c>
      <c r="N177" s="1">
        <v>187.86500000000001</v>
      </c>
      <c r="O177" s="2">
        <v>4</v>
      </c>
      <c r="P177">
        <v>104</v>
      </c>
    </row>
    <row r="178" spans="1:16" x14ac:dyDescent="0.35">
      <c r="A178" s="4">
        <v>43952</v>
      </c>
      <c r="B178" t="s">
        <v>17</v>
      </c>
      <c r="C178" t="s">
        <v>12</v>
      </c>
      <c r="D178">
        <v>1</v>
      </c>
      <c r="E178" s="2">
        <v>2480</v>
      </c>
      <c r="F178" s="2">
        <f t="shared" si="26"/>
        <v>2439.6875</v>
      </c>
      <c r="G178" s="3">
        <v>1</v>
      </c>
      <c r="H178">
        <v>2290</v>
      </c>
      <c r="I178">
        <v>936.1</v>
      </c>
      <c r="J178">
        <v>18605</v>
      </c>
      <c r="K178">
        <v>17770</v>
      </c>
      <c r="L178" s="2">
        <v>27.856250000000003</v>
      </c>
      <c r="M178" s="5">
        <v>239.15999999999994</v>
      </c>
      <c r="N178" s="1">
        <v>187.86500000000001</v>
      </c>
      <c r="O178" s="2">
        <v>4</v>
      </c>
      <c r="P178">
        <v>104</v>
      </c>
    </row>
    <row r="179" spans="1:16" x14ac:dyDescent="0.35">
      <c r="A179" s="4">
        <v>43952</v>
      </c>
      <c r="B179" t="s">
        <v>17</v>
      </c>
      <c r="C179" t="s">
        <v>13</v>
      </c>
      <c r="D179">
        <v>1</v>
      </c>
      <c r="E179" s="2">
        <f>(2380+2450*3)/4</f>
        <v>2432.5</v>
      </c>
      <c r="F179" s="2">
        <f t="shared" si="26"/>
        <v>2439.6875</v>
      </c>
      <c r="G179" s="3">
        <v>1</v>
      </c>
      <c r="H179">
        <v>2290</v>
      </c>
      <c r="I179">
        <v>936.1</v>
      </c>
      <c r="J179">
        <v>18605</v>
      </c>
      <c r="K179">
        <v>17770</v>
      </c>
      <c r="L179" s="2">
        <v>27.856250000000003</v>
      </c>
      <c r="M179" s="5">
        <v>239.15999999999994</v>
      </c>
      <c r="N179" s="1">
        <v>187.86500000000001</v>
      </c>
      <c r="O179" s="2">
        <v>4</v>
      </c>
      <c r="P179">
        <v>104</v>
      </c>
    </row>
    <row r="180" spans="1:16" x14ac:dyDescent="0.35">
      <c r="A180" s="4">
        <v>43952</v>
      </c>
      <c r="B180" t="s">
        <v>17</v>
      </c>
      <c r="C180" t="s">
        <v>14</v>
      </c>
      <c r="D180">
        <v>1</v>
      </c>
      <c r="E180" s="2">
        <f>(2250+2433+2333+2467)/4</f>
        <v>2370.75</v>
      </c>
      <c r="F180" s="2">
        <f t="shared" si="26"/>
        <v>2439.6875</v>
      </c>
      <c r="G180" s="3">
        <v>1</v>
      </c>
      <c r="H180">
        <v>2290</v>
      </c>
      <c r="I180">
        <v>936.1</v>
      </c>
      <c r="J180">
        <v>18605</v>
      </c>
      <c r="K180">
        <v>17770</v>
      </c>
      <c r="L180" s="2">
        <v>27.856250000000003</v>
      </c>
      <c r="M180" s="5">
        <v>239.15999999999994</v>
      </c>
      <c r="N180" s="1">
        <v>187.86500000000001</v>
      </c>
      <c r="O180" s="2">
        <v>4</v>
      </c>
      <c r="P180">
        <v>104</v>
      </c>
    </row>
    <row r="181" spans="1:16" x14ac:dyDescent="0.35">
      <c r="A181" s="4">
        <v>43952</v>
      </c>
      <c r="B181" t="s">
        <v>17</v>
      </c>
      <c r="C181" t="s">
        <v>15</v>
      </c>
      <c r="D181">
        <v>0</v>
      </c>
      <c r="E181" s="2" t="s">
        <v>27</v>
      </c>
      <c r="F181" s="2">
        <f t="shared" si="26"/>
        <v>2439.6875</v>
      </c>
      <c r="G181" s="3">
        <v>1</v>
      </c>
      <c r="H181">
        <v>2290</v>
      </c>
      <c r="I181">
        <v>936.1</v>
      </c>
      <c r="J181">
        <v>18605</v>
      </c>
      <c r="K181">
        <v>17770</v>
      </c>
      <c r="L181" s="2">
        <v>27.856250000000003</v>
      </c>
      <c r="M181" s="5">
        <v>239.15999999999994</v>
      </c>
      <c r="N181" s="1">
        <v>187.86500000000001</v>
      </c>
      <c r="O181" s="2">
        <v>4</v>
      </c>
      <c r="P181">
        <v>104</v>
      </c>
    </row>
    <row r="182" spans="1:16" x14ac:dyDescent="0.35">
      <c r="A182" s="4">
        <v>43952</v>
      </c>
      <c r="B182" t="s">
        <v>18</v>
      </c>
      <c r="C182" t="s">
        <v>10</v>
      </c>
      <c r="D182">
        <v>1</v>
      </c>
      <c r="E182" s="2">
        <f>(2250+2166+2300+2383)/4</f>
        <v>2274.75</v>
      </c>
      <c r="F182" s="2">
        <f t="shared" ref="F182:F187" si="27">(2268.4+2225.8+2169.8+2173.75)/4</f>
        <v>2209.4375</v>
      </c>
      <c r="G182" s="3">
        <v>1</v>
      </c>
      <c r="H182">
        <v>2290</v>
      </c>
      <c r="I182">
        <v>936.1</v>
      </c>
      <c r="J182">
        <v>18605</v>
      </c>
      <c r="K182">
        <v>17770</v>
      </c>
      <c r="L182" s="2">
        <v>27.856250000000003</v>
      </c>
      <c r="M182" s="5">
        <v>239.15999999999994</v>
      </c>
      <c r="N182" s="1">
        <v>187.86500000000001</v>
      </c>
      <c r="O182" s="2">
        <v>4</v>
      </c>
      <c r="P182">
        <v>104</v>
      </c>
    </row>
    <row r="183" spans="1:16" x14ac:dyDescent="0.35">
      <c r="A183" s="4">
        <v>43952</v>
      </c>
      <c r="B183" t="s">
        <v>18</v>
      </c>
      <c r="C183" t="s">
        <v>11</v>
      </c>
      <c r="D183">
        <v>1</v>
      </c>
      <c r="E183" s="2" t="s">
        <v>27</v>
      </c>
      <c r="F183" s="2">
        <f t="shared" si="27"/>
        <v>2209.4375</v>
      </c>
      <c r="G183" s="3">
        <v>1</v>
      </c>
      <c r="H183">
        <v>2290</v>
      </c>
      <c r="I183">
        <v>936.1</v>
      </c>
      <c r="J183">
        <v>18605</v>
      </c>
      <c r="K183">
        <v>17770</v>
      </c>
      <c r="L183" s="2">
        <v>27.856250000000003</v>
      </c>
      <c r="M183" s="5">
        <v>239.15999999999994</v>
      </c>
      <c r="N183" s="1">
        <v>187.86500000000001</v>
      </c>
      <c r="O183" s="2">
        <v>4</v>
      </c>
      <c r="P183">
        <v>104</v>
      </c>
    </row>
    <row r="184" spans="1:16" x14ac:dyDescent="0.35">
      <c r="A184" s="4">
        <v>43952</v>
      </c>
      <c r="B184" t="s">
        <v>18</v>
      </c>
      <c r="C184" t="s">
        <v>12</v>
      </c>
      <c r="D184">
        <v>1</v>
      </c>
      <c r="E184" s="2">
        <v>2166.33</v>
      </c>
      <c r="F184" s="2">
        <f t="shared" si="27"/>
        <v>2209.4375</v>
      </c>
      <c r="G184" s="3">
        <v>1</v>
      </c>
      <c r="H184">
        <v>2290</v>
      </c>
      <c r="I184">
        <v>936.1</v>
      </c>
      <c r="J184">
        <v>18605</v>
      </c>
      <c r="K184">
        <v>17770</v>
      </c>
      <c r="L184" s="2">
        <v>27.856250000000003</v>
      </c>
      <c r="M184" s="5">
        <v>239.15999999999994</v>
      </c>
      <c r="N184" s="1">
        <v>187.86500000000001</v>
      </c>
      <c r="O184" s="2">
        <v>4</v>
      </c>
      <c r="P184">
        <v>104</v>
      </c>
    </row>
    <row r="185" spans="1:16" x14ac:dyDescent="0.35">
      <c r="A185" s="4">
        <v>43952</v>
      </c>
      <c r="B185" t="s">
        <v>18</v>
      </c>
      <c r="C185" t="s">
        <v>13</v>
      </c>
      <c r="D185">
        <v>1</v>
      </c>
      <c r="E185" s="2">
        <f>(2250+2275+2150+2220)/4</f>
        <v>2223.75</v>
      </c>
      <c r="F185" s="2">
        <f t="shared" si="27"/>
        <v>2209.4375</v>
      </c>
      <c r="G185" s="3">
        <v>1</v>
      </c>
      <c r="H185">
        <v>2290</v>
      </c>
      <c r="I185">
        <v>936.1</v>
      </c>
      <c r="J185">
        <v>18605</v>
      </c>
      <c r="K185">
        <v>17770</v>
      </c>
      <c r="L185" s="2">
        <v>27.856250000000003</v>
      </c>
      <c r="M185" s="5">
        <v>239.15999999999994</v>
      </c>
      <c r="N185" s="1">
        <v>187.86500000000001</v>
      </c>
      <c r="O185" s="2">
        <v>4</v>
      </c>
      <c r="P185">
        <v>104</v>
      </c>
    </row>
    <row r="186" spans="1:16" x14ac:dyDescent="0.35">
      <c r="A186" s="4">
        <v>43952</v>
      </c>
      <c r="B186" t="s">
        <v>18</v>
      </c>
      <c r="C186" t="s">
        <v>14</v>
      </c>
      <c r="D186">
        <v>1</v>
      </c>
      <c r="E186" s="2">
        <f>(2167+2075+2188+2267)/4</f>
        <v>2174.25</v>
      </c>
      <c r="F186" s="2">
        <f t="shared" si="27"/>
        <v>2209.4375</v>
      </c>
      <c r="G186" s="3">
        <v>1</v>
      </c>
      <c r="H186">
        <v>2290</v>
      </c>
      <c r="I186">
        <v>936.1</v>
      </c>
      <c r="J186">
        <v>18605</v>
      </c>
      <c r="K186">
        <v>17770</v>
      </c>
      <c r="L186" s="2">
        <v>27.856250000000003</v>
      </c>
      <c r="M186" s="5">
        <v>239.15999999999994</v>
      </c>
      <c r="N186" s="1">
        <v>187.86500000000001</v>
      </c>
      <c r="O186" s="2">
        <v>4</v>
      </c>
      <c r="P186">
        <v>104</v>
      </c>
    </row>
    <row r="187" spans="1:16" x14ac:dyDescent="0.35">
      <c r="A187" s="4">
        <v>43952</v>
      </c>
      <c r="B187" t="s">
        <v>18</v>
      </c>
      <c r="C187" t="s">
        <v>15</v>
      </c>
      <c r="D187">
        <v>1</v>
      </c>
      <c r="E187" s="2">
        <f>(2150+2200*2+2275)/4</f>
        <v>2206.25</v>
      </c>
      <c r="F187" s="2">
        <f t="shared" si="27"/>
        <v>2209.4375</v>
      </c>
      <c r="G187" s="3">
        <v>1</v>
      </c>
      <c r="H187">
        <v>2290</v>
      </c>
      <c r="I187">
        <v>936.1</v>
      </c>
      <c r="J187">
        <v>18605</v>
      </c>
      <c r="K187">
        <v>17770</v>
      </c>
      <c r="L187" s="2">
        <v>27.856250000000003</v>
      </c>
      <c r="M187" s="5">
        <v>239.15999999999994</v>
      </c>
      <c r="N187" s="1">
        <v>187.86500000000001</v>
      </c>
      <c r="O187" s="2">
        <v>4</v>
      </c>
      <c r="P187">
        <v>104</v>
      </c>
    </row>
    <row r="188" spans="1:16" x14ac:dyDescent="0.35">
      <c r="A188" s="4">
        <v>43952</v>
      </c>
      <c r="B188" t="s">
        <v>19</v>
      </c>
      <c r="C188" t="s">
        <v>10</v>
      </c>
      <c r="D188">
        <v>1</v>
      </c>
      <c r="E188" s="2">
        <f>(2000+1883+2200*2)/4</f>
        <v>2070.75</v>
      </c>
      <c r="F188" s="2">
        <f t="shared" ref="F188:F193" si="28">(2147.2+2105.4+2024.4+2007.5)/4</f>
        <v>2071.125</v>
      </c>
      <c r="G188" s="3">
        <v>1</v>
      </c>
      <c r="H188">
        <v>2290</v>
      </c>
      <c r="I188">
        <v>936.1</v>
      </c>
      <c r="J188">
        <v>18605</v>
      </c>
      <c r="K188">
        <v>17770</v>
      </c>
      <c r="L188" s="2">
        <v>27.856250000000003</v>
      </c>
      <c r="M188" s="5">
        <v>239.15999999999994</v>
      </c>
      <c r="N188" s="1">
        <v>187.86500000000001</v>
      </c>
      <c r="O188" s="2">
        <v>4</v>
      </c>
      <c r="P188">
        <v>104</v>
      </c>
    </row>
    <row r="189" spans="1:16" x14ac:dyDescent="0.35">
      <c r="A189" s="4">
        <v>43952</v>
      </c>
      <c r="B189" t="s">
        <v>19</v>
      </c>
      <c r="C189" t="s">
        <v>11</v>
      </c>
      <c r="D189">
        <v>1</v>
      </c>
      <c r="E189" s="2" t="s">
        <v>27</v>
      </c>
      <c r="F189" s="2">
        <f t="shared" si="28"/>
        <v>2071.125</v>
      </c>
      <c r="G189" s="3">
        <v>1</v>
      </c>
      <c r="H189">
        <v>2290</v>
      </c>
      <c r="I189">
        <v>936.1</v>
      </c>
      <c r="J189">
        <v>18605</v>
      </c>
      <c r="K189">
        <v>17770</v>
      </c>
      <c r="L189" s="2">
        <v>27.856250000000003</v>
      </c>
      <c r="M189" s="5">
        <v>239.15999999999994</v>
      </c>
      <c r="N189" s="1">
        <v>187.86500000000001</v>
      </c>
      <c r="O189" s="2">
        <v>4</v>
      </c>
      <c r="P189">
        <v>104</v>
      </c>
    </row>
    <row r="190" spans="1:16" x14ac:dyDescent="0.35">
      <c r="A190" s="4">
        <v>43952</v>
      </c>
      <c r="B190" t="s">
        <v>19</v>
      </c>
      <c r="C190" t="s">
        <v>12</v>
      </c>
      <c r="D190">
        <v>1</v>
      </c>
      <c r="E190" s="2">
        <v>1966.33</v>
      </c>
      <c r="F190" s="2">
        <f t="shared" si="28"/>
        <v>2071.125</v>
      </c>
      <c r="G190" s="3">
        <v>1</v>
      </c>
      <c r="H190">
        <v>2290</v>
      </c>
      <c r="I190">
        <v>936.1</v>
      </c>
      <c r="J190">
        <v>18605</v>
      </c>
      <c r="K190">
        <v>17770</v>
      </c>
      <c r="L190" s="2">
        <v>27.856250000000003</v>
      </c>
      <c r="M190" s="5">
        <v>239.15999999999994</v>
      </c>
      <c r="N190" s="1">
        <v>187.86500000000001</v>
      </c>
      <c r="O190" s="2">
        <v>4</v>
      </c>
      <c r="P190">
        <v>104</v>
      </c>
    </row>
    <row r="191" spans="1:16" x14ac:dyDescent="0.35">
      <c r="A191" s="4">
        <v>43952</v>
      </c>
      <c r="B191" t="s">
        <v>19</v>
      </c>
      <c r="C191" t="s">
        <v>13</v>
      </c>
      <c r="D191">
        <v>1</v>
      </c>
      <c r="E191" s="2">
        <f>(2080*2+2125+2200)/4</f>
        <v>2121.25</v>
      </c>
      <c r="F191" s="2">
        <f t="shared" si="28"/>
        <v>2071.125</v>
      </c>
      <c r="G191" s="3">
        <v>1</v>
      </c>
      <c r="H191">
        <v>2290</v>
      </c>
      <c r="I191">
        <v>936.1</v>
      </c>
      <c r="J191">
        <v>18605</v>
      </c>
      <c r="K191">
        <v>17770</v>
      </c>
      <c r="L191" s="2">
        <v>27.856250000000003</v>
      </c>
      <c r="M191" s="5">
        <v>239.15999999999994</v>
      </c>
      <c r="N191" s="1">
        <v>187.86500000000001</v>
      </c>
      <c r="O191" s="2">
        <v>4</v>
      </c>
      <c r="P191">
        <v>104</v>
      </c>
    </row>
    <row r="192" spans="1:16" x14ac:dyDescent="0.35">
      <c r="A192" s="4">
        <v>43952</v>
      </c>
      <c r="B192" t="s">
        <v>19</v>
      </c>
      <c r="C192" t="s">
        <v>14</v>
      </c>
      <c r="D192">
        <v>1</v>
      </c>
      <c r="E192" s="2">
        <f>(2171+2110+2067+1900)/4</f>
        <v>2062</v>
      </c>
      <c r="F192" s="2">
        <f t="shared" si="28"/>
        <v>2071.125</v>
      </c>
      <c r="G192" s="3">
        <v>1</v>
      </c>
      <c r="H192">
        <v>2290</v>
      </c>
      <c r="I192">
        <v>936.1</v>
      </c>
      <c r="J192">
        <v>18605</v>
      </c>
      <c r="K192">
        <v>17770</v>
      </c>
      <c r="L192" s="2">
        <v>27.856250000000003</v>
      </c>
      <c r="M192" s="5">
        <v>239.15999999999994</v>
      </c>
      <c r="N192" s="1">
        <v>187.86500000000001</v>
      </c>
      <c r="O192" s="2">
        <v>4</v>
      </c>
      <c r="P192">
        <v>104</v>
      </c>
    </row>
    <row r="193" spans="1:16" x14ac:dyDescent="0.35">
      <c r="A193" s="4">
        <v>43952</v>
      </c>
      <c r="B193" t="s">
        <v>19</v>
      </c>
      <c r="C193" t="s">
        <v>15</v>
      </c>
      <c r="D193">
        <v>1</v>
      </c>
      <c r="E193" s="2">
        <f>(2050+2125*2+2200)/4</f>
        <v>2125</v>
      </c>
      <c r="F193" s="2">
        <f t="shared" si="28"/>
        <v>2071.125</v>
      </c>
      <c r="G193" s="3">
        <v>1</v>
      </c>
      <c r="H193">
        <v>2290</v>
      </c>
      <c r="I193">
        <v>936.1</v>
      </c>
      <c r="J193">
        <v>18605</v>
      </c>
      <c r="K193">
        <v>17770</v>
      </c>
      <c r="L193" s="2">
        <v>27.856250000000003</v>
      </c>
      <c r="M193" s="5">
        <v>239.15999999999994</v>
      </c>
      <c r="N193" s="1">
        <v>187.86500000000001</v>
      </c>
      <c r="O193" s="2">
        <v>4</v>
      </c>
      <c r="P193">
        <v>104</v>
      </c>
    </row>
    <row r="194" spans="1:16" x14ac:dyDescent="0.35">
      <c r="A194" s="4">
        <v>43952</v>
      </c>
      <c r="B194" t="s">
        <v>20</v>
      </c>
      <c r="C194" t="s">
        <v>10</v>
      </c>
      <c r="D194">
        <v>1</v>
      </c>
      <c r="E194" s="2">
        <f>(1650+1616+1760+1666)/4</f>
        <v>1673</v>
      </c>
      <c r="F194" s="2">
        <f t="shared" ref="F194:F199" si="29">(1793.4+1795+1746.4+1781.25)/4</f>
        <v>1779.0125</v>
      </c>
      <c r="G194" s="3">
        <v>1</v>
      </c>
      <c r="H194">
        <v>2290</v>
      </c>
      <c r="I194">
        <v>936.1</v>
      </c>
      <c r="J194">
        <v>18605</v>
      </c>
      <c r="K194">
        <v>17770</v>
      </c>
      <c r="L194" s="2">
        <v>27.856250000000003</v>
      </c>
      <c r="M194" s="5">
        <v>239.15999999999994</v>
      </c>
      <c r="N194" s="1">
        <v>187.86500000000001</v>
      </c>
      <c r="O194" s="2">
        <v>4</v>
      </c>
      <c r="P194">
        <v>104</v>
      </c>
    </row>
    <row r="195" spans="1:16" x14ac:dyDescent="0.35">
      <c r="A195" s="4">
        <v>43952</v>
      </c>
      <c r="B195" t="s">
        <v>20</v>
      </c>
      <c r="C195" t="s">
        <v>11</v>
      </c>
      <c r="D195">
        <v>1</v>
      </c>
      <c r="E195" s="2" t="s">
        <v>27</v>
      </c>
      <c r="F195" s="2">
        <f t="shared" si="29"/>
        <v>1779.0125</v>
      </c>
      <c r="G195" s="3">
        <v>1</v>
      </c>
      <c r="H195">
        <v>2290</v>
      </c>
      <c r="I195">
        <v>936.1</v>
      </c>
      <c r="J195">
        <v>18605</v>
      </c>
      <c r="K195">
        <v>17770</v>
      </c>
      <c r="L195" s="2">
        <v>27.856250000000003</v>
      </c>
      <c r="M195" s="5">
        <v>239.15999999999994</v>
      </c>
      <c r="N195" s="1">
        <v>187.86500000000001</v>
      </c>
      <c r="O195" s="2">
        <v>4</v>
      </c>
      <c r="P195">
        <v>104</v>
      </c>
    </row>
    <row r="196" spans="1:16" x14ac:dyDescent="0.35">
      <c r="A196" s="4">
        <v>43952</v>
      </c>
      <c r="B196" t="s">
        <v>20</v>
      </c>
      <c r="C196" t="s">
        <v>12</v>
      </c>
      <c r="D196">
        <v>1</v>
      </c>
      <c r="E196" s="2">
        <f>(1463+1460+1483)/3</f>
        <v>1468.6666666666667</v>
      </c>
      <c r="F196" s="2">
        <f t="shared" si="29"/>
        <v>1779.0125</v>
      </c>
      <c r="G196" s="3">
        <v>1</v>
      </c>
      <c r="H196">
        <v>2290</v>
      </c>
      <c r="I196">
        <v>936.1</v>
      </c>
      <c r="J196">
        <v>18605</v>
      </c>
      <c r="K196">
        <v>17770</v>
      </c>
      <c r="L196" s="2">
        <v>27.856250000000003</v>
      </c>
      <c r="M196" s="5">
        <v>239.15999999999994</v>
      </c>
      <c r="N196" s="1">
        <v>187.86500000000001</v>
      </c>
      <c r="O196" s="2">
        <v>4</v>
      </c>
      <c r="P196">
        <v>104</v>
      </c>
    </row>
    <row r="197" spans="1:16" x14ac:dyDescent="0.35">
      <c r="A197" s="4">
        <v>43952</v>
      </c>
      <c r="B197" t="s">
        <v>20</v>
      </c>
      <c r="C197" t="s">
        <v>13</v>
      </c>
      <c r="D197">
        <v>1</v>
      </c>
      <c r="E197" s="2">
        <f>(1825*2+1880+1925)/4</f>
        <v>1863.75</v>
      </c>
      <c r="F197" s="2">
        <f t="shared" si="29"/>
        <v>1779.0125</v>
      </c>
      <c r="G197" s="3">
        <v>1</v>
      </c>
      <c r="H197">
        <v>2290</v>
      </c>
      <c r="I197">
        <v>936.1</v>
      </c>
      <c r="J197">
        <v>18605</v>
      </c>
      <c r="K197">
        <v>17770</v>
      </c>
      <c r="L197" s="2">
        <v>27.856250000000003</v>
      </c>
      <c r="M197" s="5">
        <v>239.15999999999994</v>
      </c>
      <c r="N197" s="1">
        <v>187.86500000000001</v>
      </c>
      <c r="O197" s="2">
        <v>4</v>
      </c>
      <c r="P197">
        <v>104</v>
      </c>
    </row>
    <row r="198" spans="1:16" x14ac:dyDescent="0.35">
      <c r="A198" s="4">
        <v>43952</v>
      </c>
      <c r="B198" t="s">
        <v>20</v>
      </c>
      <c r="C198" t="s">
        <v>14</v>
      </c>
      <c r="D198">
        <v>1</v>
      </c>
      <c r="E198" s="2">
        <f>(1938+1975+1933+1800)/4</f>
        <v>1911.5</v>
      </c>
      <c r="F198" s="2">
        <f t="shared" si="29"/>
        <v>1779.0125</v>
      </c>
      <c r="G198" s="3">
        <v>1</v>
      </c>
      <c r="H198">
        <v>2290</v>
      </c>
      <c r="I198">
        <v>936.1</v>
      </c>
      <c r="J198">
        <v>18605</v>
      </c>
      <c r="K198">
        <v>17770</v>
      </c>
      <c r="L198" s="2">
        <v>27.856250000000003</v>
      </c>
      <c r="M198" s="5">
        <v>239.15999999999994</v>
      </c>
      <c r="N198" s="1">
        <v>187.86500000000001</v>
      </c>
      <c r="O198" s="2">
        <v>4</v>
      </c>
      <c r="P198">
        <v>104</v>
      </c>
    </row>
    <row r="199" spans="1:16" x14ac:dyDescent="0.35">
      <c r="A199" s="4">
        <v>43952</v>
      </c>
      <c r="B199" t="s">
        <v>20</v>
      </c>
      <c r="C199" t="s">
        <v>15</v>
      </c>
      <c r="D199">
        <v>1</v>
      </c>
      <c r="E199" s="2">
        <f>(1850+1875+1900+1975)/4</f>
        <v>1900</v>
      </c>
      <c r="F199" s="2">
        <f t="shared" si="29"/>
        <v>1779.0125</v>
      </c>
      <c r="G199" s="3">
        <v>1</v>
      </c>
      <c r="H199">
        <v>2290</v>
      </c>
      <c r="I199">
        <v>936.1</v>
      </c>
      <c r="J199">
        <v>18605</v>
      </c>
      <c r="K199">
        <v>17770</v>
      </c>
      <c r="L199" s="2">
        <v>27.856250000000003</v>
      </c>
      <c r="M199" s="5">
        <v>239.15999999999994</v>
      </c>
      <c r="N199" s="1">
        <v>187.86500000000001</v>
      </c>
      <c r="O199" s="2">
        <v>4</v>
      </c>
      <c r="P199">
        <v>104</v>
      </c>
    </row>
    <row r="200" spans="1:16" x14ac:dyDescent="0.35">
      <c r="A200" s="4">
        <v>43952</v>
      </c>
      <c r="B200" t="s">
        <v>21</v>
      </c>
      <c r="C200" t="s">
        <v>10</v>
      </c>
      <c r="D200">
        <v>1</v>
      </c>
      <c r="E200" s="2">
        <f>(1450+1400+1400+1450)/4</f>
        <v>1425</v>
      </c>
      <c r="F200" s="2">
        <f t="shared" ref="F200:F205" si="30">(1677.2+1626.8+1610.8+1669)/4</f>
        <v>1645.95</v>
      </c>
      <c r="G200" s="3">
        <v>1</v>
      </c>
      <c r="H200">
        <v>2290</v>
      </c>
      <c r="I200">
        <v>936.1</v>
      </c>
      <c r="J200">
        <v>18605</v>
      </c>
      <c r="K200">
        <v>17770</v>
      </c>
      <c r="L200" s="2">
        <v>27.856250000000003</v>
      </c>
      <c r="M200" s="5">
        <v>239.15999999999994</v>
      </c>
      <c r="N200" s="1">
        <v>187.86500000000001</v>
      </c>
      <c r="O200" s="2">
        <v>4</v>
      </c>
      <c r="P200">
        <v>104</v>
      </c>
    </row>
    <row r="201" spans="1:16" x14ac:dyDescent="0.35">
      <c r="A201" s="4">
        <v>43952</v>
      </c>
      <c r="B201" t="s">
        <v>21</v>
      </c>
      <c r="C201" t="s">
        <v>11</v>
      </c>
      <c r="D201">
        <v>1</v>
      </c>
      <c r="E201" s="2" t="s">
        <v>27</v>
      </c>
      <c r="F201" s="2">
        <f t="shared" si="30"/>
        <v>1645.95</v>
      </c>
      <c r="G201" s="3">
        <v>1</v>
      </c>
      <c r="H201">
        <v>2290</v>
      </c>
      <c r="I201">
        <v>936.1</v>
      </c>
      <c r="J201">
        <v>18605</v>
      </c>
      <c r="K201">
        <v>17770</v>
      </c>
      <c r="L201" s="2">
        <v>27.856250000000003</v>
      </c>
      <c r="M201" s="5">
        <v>239.15999999999994</v>
      </c>
      <c r="N201" s="1">
        <v>187.86500000000001</v>
      </c>
      <c r="O201" s="2">
        <v>4</v>
      </c>
      <c r="P201">
        <v>104</v>
      </c>
    </row>
    <row r="202" spans="1:16" x14ac:dyDescent="0.35">
      <c r="A202" s="4">
        <v>43952</v>
      </c>
      <c r="B202" t="s">
        <v>21</v>
      </c>
      <c r="C202" t="s">
        <v>12</v>
      </c>
      <c r="D202">
        <v>1</v>
      </c>
      <c r="E202" s="2">
        <f>(1370+1365*2)/3</f>
        <v>1366.6666666666667</v>
      </c>
      <c r="F202" s="2">
        <f t="shared" si="30"/>
        <v>1645.95</v>
      </c>
      <c r="G202" s="3">
        <v>1</v>
      </c>
      <c r="H202">
        <v>2290</v>
      </c>
      <c r="I202">
        <v>936.1</v>
      </c>
      <c r="J202">
        <v>18605</v>
      </c>
      <c r="K202">
        <v>17770</v>
      </c>
      <c r="L202" s="2">
        <v>27.856250000000003</v>
      </c>
      <c r="M202" s="5">
        <v>239.15999999999994</v>
      </c>
      <c r="N202" s="1">
        <v>187.86500000000001</v>
      </c>
      <c r="O202" s="2">
        <v>4</v>
      </c>
      <c r="P202">
        <v>104</v>
      </c>
    </row>
    <row r="203" spans="1:16" x14ac:dyDescent="0.35">
      <c r="A203" s="4">
        <v>43952</v>
      </c>
      <c r="B203" t="s">
        <v>21</v>
      </c>
      <c r="C203" t="s">
        <v>13</v>
      </c>
      <c r="D203">
        <v>1</v>
      </c>
      <c r="E203" s="2">
        <f>(1715+1700+1825+1810)/4</f>
        <v>1762.5</v>
      </c>
      <c r="F203" s="2">
        <f t="shared" si="30"/>
        <v>1645.95</v>
      </c>
      <c r="G203" s="3">
        <v>1</v>
      </c>
      <c r="H203">
        <v>2290</v>
      </c>
      <c r="I203">
        <v>936.1</v>
      </c>
      <c r="J203">
        <v>18605</v>
      </c>
      <c r="K203">
        <v>17770</v>
      </c>
      <c r="L203" s="2">
        <v>27.856250000000003</v>
      </c>
      <c r="M203" s="5">
        <v>239.15999999999994</v>
      </c>
      <c r="N203" s="1">
        <v>187.86500000000001</v>
      </c>
      <c r="O203" s="2">
        <v>4</v>
      </c>
      <c r="P203">
        <v>104</v>
      </c>
    </row>
    <row r="204" spans="1:16" x14ac:dyDescent="0.35">
      <c r="A204" s="4">
        <v>43952</v>
      </c>
      <c r="B204" t="s">
        <v>21</v>
      </c>
      <c r="C204" t="s">
        <v>14</v>
      </c>
      <c r="D204">
        <v>1</v>
      </c>
      <c r="E204" s="2">
        <f>(1856+1794+1764+1736)/4</f>
        <v>1787.5</v>
      </c>
      <c r="F204" s="2">
        <f t="shared" si="30"/>
        <v>1645.95</v>
      </c>
      <c r="G204" s="3">
        <v>1</v>
      </c>
      <c r="H204">
        <v>2290</v>
      </c>
      <c r="I204">
        <v>936.1</v>
      </c>
      <c r="J204">
        <v>18605</v>
      </c>
      <c r="K204">
        <v>17770</v>
      </c>
      <c r="L204" s="2">
        <v>27.856250000000003</v>
      </c>
      <c r="M204" s="5">
        <v>239.15999999999994</v>
      </c>
      <c r="N204" s="1">
        <v>187.86500000000001</v>
      </c>
      <c r="O204" s="2">
        <v>4</v>
      </c>
      <c r="P204">
        <v>104</v>
      </c>
    </row>
    <row r="205" spans="1:16" x14ac:dyDescent="0.35">
      <c r="A205" s="4">
        <v>43952</v>
      </c>
      <c r="B205" t="s">
        <v>21</v>
      </c>
      <c r="C205" t="s">
        <v>15</v>
      </c>
      <c r="D205">
        <v>1</v>
      </c>
      <c r="E205" s="2">
        <f>(1775+1825+1850+1900)/4</f>
        <v>1837.5</v>
      </c>
      <c r="F205" s="2">
        <f t="shared" si="30"/>
        <v>1645.95</v>
      </c>
      <c r="G205" s="3">
        <v>1</v>
      </c>
      <c r="H205">
        <v>2290</v>
      </c>
      <c r="I205">
        <v>936.1</v>
      </c>
      <c r="J205">
        <v>18605</v>
      </c>
      <c r="K205">
        <v>17770</v>
      </c>
      <c r="L205" s="2">
        <v>27.856250000000003</v>
      </c>
      <c r="M205" s="5">
        <v>239.15999999999994</v>
      </c>
      <c r="N205" s="1">
        <v>187.86500000000001</v>
      </c>
      <c r="O205" s="2">
        <v>4</v>
      </c>
      <c r="P205">
        <v>104</v>
      </c>
    </row>
    <row r="206" spans="1:16" x14ac:dyDescent="0.35">
      <c r="A206" s="4">
        <v>43952</v>
      </c>
      <c r="B206" t="s">
        <v>22</v>
      </c>
      <c r="C206" t="s">
        <v>10</v>
      </c>
      <c r="D206">
        <v>0</v>
      </c>
      <c r="E206" s="2" t="s">
        <v>27</v>
      </c>
      <c r="F206" s="2">
        <f t="shared" ref="F206:F211" si="31">(1550+1563+1513+1688)/4</f>
        <v>1578.5</v>
      </c>
      <c r="G206" s="3">
        <v>1</v>
      </c>
      <c r="H206">
        <v>2290</v>
      </c>
      <c r="I206">
        <v>936.1</v>
      </c>
      <c r="J206">
        <v>18605</v>
      </c>
      <c r="K206">
        <v>17770</v>
      </c>
      <c r="L206" s="2">
        <v>27.856250000000003</v>
      </c>
      <c r="M206" s="5">
        <v>239.15999999999994</v>
      </c>
      <c r="N206" s="1">
        <v>187.86500000000001</v>
      </c>
      <c r="O206" s="2">
        <v>4</v>
      </c>
      <c r="P206">
        <v>104</v>
      </c>
    </row>
    <row r="207" spans="1:16" x14ac:dyDescent="0.35">
      <c r="A207" s="4">
        <v>43952</v>
      </c>
      <c r="B207" t="s">
        <v>22</v>
      </c>
      <c r="C207" t="s">
        <v>11</v>
      </c>
      <c r="D207">
        <v>0</v>
      </c>
      <c r="E207" s="2" t="s">
        <v>27</v>
      </c>
      <c r="F207" s="2">
        <f t="shared" si="31"/>
        <v>1578.5</v>
      </c>
      <c r="G207" s="3">
        <v>1</v>
      </c>
      <c r="H207">
        <v>2290</v>
      </c>
      <c r="I207">
        <v>936.1</v>
      </c>
      <c r="J207">
        <v>18605</v>
      </c>
      <c r="K207">
        <v>17770</v>
      </c>
      <c r="L207" s="2">
        <v>27.856250000000003</v>
      </c>
      <c r="M207" s="5">
        <v>239.15999999999994</v>
      </c>
      <c r="N207" s="1">
        <v>187.86500000000001</v>
      </c>
      <c r="O207" s="2">
        <v>4</v>
      </c>
      <c r="P207">
        <v>104</v>
      </c>
    </row>
    <row r="208" spans="1:16" x14ac:dyDescent="0.35">
      <c r="A208" s="4">
        <v>43952</v>
      </c>
      <c r="B208" t="s">
        <v>22</v>
      </c>
      <c r="C208" t="s">
        <v>12</v>
      </c>
      <c r="D208">
        <v>0</v>
      </c>
      <c r="E208" s="2" t="s">
        <v>27</v>
      </c>
      <c r="F208" s="2">
        <f t="shared" si="31"/>
        <v>1578.5</v>
      </c>
      <c r="G208" s="3">
        <v>1</v>
      </c>
      <c r="H208">
        <v>2290</v>
      </c>
      <c r="I208">
        <v>936.1</v>
      </c>
      <c r="J208">
        <v>18605</v>
      </c>
      <c r="K208">
        <v>17770</v>
      </c>
      <c r="L208" s="2">
        <v>27.856250000000003</v>
      </c>
      <c r="M208" s="5">
        <v>239.15999999999994</v>
      </c>
      <c r="N208" s="1">
        <v>187.86500000000001</v>
      </c>
      <c r="O208" s="2">
        <v>4</v>
      </c>
      <c r="P208">
        <v>104</v>
      </c>
    </row>
    <row r="209" spans="1:16" x14ac:dyDescent="0.35">
      <c r="A209" s="4">
        <v>43952</v>
      </c>
      <c r="B209" t="s">
        <v>22</v>
      </c>
      <c r="C209" t="s">
        <v>13</v>
      </c>
      <c r="D209">
        <v>0</v>
      </c>
      <c r="E209" s="2" t="s">
        <v>27</v>
      </c>
      <c r="F209" s="2">
        <f t="shared" si="31"/>
        <v>1578.5</v>
      </c>
      <c r="G209" s="3">
        <v>1</v>
      </c>
      <c r="H209">
        <v>2290</v>
      </c>
      <c r="I209">
        <v>936.1</v>
      </c>
      <c r="J209">
        <v>18605</v>
      </c>
      <c r="K209">
        <v>17770</v>
      </c>
      <c r="L209" s="2">
        <v>27.856250000000003</v>
      </c>
      <c r="M209" s="5">
        <v>239.15999999999994</v>
      </c>
      <c r="N209" s="1">
        <v>187.86500000000001</v>
      </c>
      <c r="O209" s="2">
        <v>4</v>
      </c>
      <c r="P209">
        <v>104</v>
      </c>
    </row>
    <row r="210" spans="1:16" x14ac:dyDescent="0.35">
      <c r="A210" s="4">
        <v>43952</v>
      </c>
      <c r="B210" t="s">
        <v>22</v>
      </c>
      <c r="C210" t="s">
        <v>14</v>
      </c>
      <c r="D210">
        <v>1</v>
      </c>
      <c r="E210" s="2">
        <f>(1550+1563+1513+1688)/4</f>
        <v>1578.5</v>
      </c>
      <c r="F210" s="2">
        <f t="shared" si="31"/>
        <v>1578.5</v>
      </c>
      <c r="G210" s="3">
        <v>1</v>
      </c>
      <c r="H210">
        <v>2290</v>
      </c>
      <c r="I210">
        <v>936.1</v>
      </c>
      <c r="J210">
        <v>18605</v>
      </c>
      <c r="K210">
        <v>17770</v>
      </c>
      <c r="L210" s="2">
        <v>27.856250000000003</v>
      </c>
      <c r="M210" s="5">
        <v>239.15999999999994</v>
      </c>
      <c r="N210" s="1">
        <v>187.86500000000001</v>
      </c>
      <c r="O210" s="2">
        <v>4</v>
      </c>
      <c r="P210">
        <v>104</v>
      </c>
    </row>
    <row r="211" spans="1:16" x14ac:dyDescent="0.35">
      <c r="A211" s="4">
        <v>43952</v>
      </c>
      <c r="B211" t="s">
        <v>22</v>
      </c>
      <c r="C211" t="s">
        <v>15</v>
      </c>
      <c r="D211">
        <v>0</v>
      </c>
      <c r="E211" s="2" t="s">
        <v>27</v>
      </c>
      <c r="F211" s="2">
        <f t="shared" si="31"/>
        <v>1578.5</v>
      </c>
      <c r="G211" s="3">
        <v>1</v>
      </c>
      <c r="H211">
        <v>2290</v>
      </c>
      <c r="I211">
        <v>936.1</v>
      </c>
      <c r="J211">
        <v>18605</v>
      </c>
      <c r="K211">
        <v>17770</v>
      </c>
      <c r="L211" s="2">
        <v>27.856250000000003</v>
      </c>
      <c r="M211" s="5">
        <v>239.15999999999994</v>
      </c>
      <c r="N211" s="1">
        <v>187.86500000000001</v>
      </c>
      <c r="O211" s="2">
        <v>4</v>
      </c>
      <c r="P211">
        <v>104</v>
      </c>
    </row>
    <row r="212" spans="1:16" x14ac:dyDescent="0.35">
      <c r="A212" s="4">
        <v>43983</v>
      </c>
      <c r="B212" t="s">
        <v>16</v>
      </c>
      <c r="C212" t="s">
        <v>10</v>
      </c>
      <c r="D212">
        <v>1</v>
      </c>
      <c r="E212" s="2">
        <f>(2900+2850+2816+2866+2950)/5</f>
        <v>2876.4</v>
      </c>
      <c r="F212" s="2">
        <f t="shared" ref="F212:F217" si="32">(2908+2911.25+2889.5+2910.75+2934.25)/5</f>
        <v>2910.75</v>
      </c>
      <c r="G212" s="3">
        <v>1</v>
      </c>
      <c r="H212">
        <v>3435</v>
      </c>
      <c r="I212">
        <v>936.1</v>
      </c>
      <c r="J212">
        <v>12568</v>
      </c>
      <c r="K212">
        <v>13327</v>
      </c>
      <c r="L212" s="2">
        <v>27.2925</v>
      </c>
      <c r="M212" s="5">
        <v>107.60849999999998</v>
      </c>
      <c r="N212" s="1">
        <v>185.9545</v>
      </c>
      <c r="O212" s="2">
        <v>3.9</v>
      </c>
      <c r="P212">
        <v>104</v>
      </c>
    </row>
    <row r="213" spans="1:16" x14ac:dyDescent="0.35">
      <c r="A213" s="4">
        <v>43983</v>
      </c>
      <c r="B213" t="s">
        <v>16</v>
      </c>
      <c r="C213" t="s">
        <v>11</v>
      </c>
      <c r="D213">
        <v>0</v>
      </c>
      <c r="E213" s="2" t="s">
        <v>27</v>
      </c>
      <c r="F213" s="2">
        <f t="shared" si="32"/>
        <v>2910.75</v>
      </c>
      <c r="G213" s="3">
        <v>1</v>
      </c>
      <c r="H213">
        <v>3435</v>
      </c>
      <c r="I213">
        <v>936.1</v>
      </c>
      <c r="J213">
        <v>12568</v>
      </c>
      <c r="K213">
        <v>13327</v>
      </c>
      <c r="L213" s="2">
        <v>27.2925</v>
      </c>
      <c r="M213" s="5">
        <v>107.60849999999998</v>
      </c>
      <c r="N213" s="1">
        <v>185.9545</v>
      </c>
      <c r="O213" s="2">
        <v>3.9</v>
      </c>
      <c r="P213">
        <v>104</v>
      </c>
    </row>
    <row r="214" spans="1:16" x14ac:dyDescent="0.35">
      <c r="A214" s="4">
        <v>43983</v>
      </c>
      <c r="B214" t="s">
        <v>16</v>
      </c>
      <c r="C214" t="s">
        <v>12</v>
      </c>
      <c r="D214">
        <v>1</v>
      </c>
      <c r="E214" s="2">
        <f>(2875+2765+2867+2965+2970)/5</f>
        <v>2888.4</v>
      </c>
      <c r="F214" s="2">
        <f t="shared" si="32"/>
        <v>2910.75</v>
      </c>
      <c r="G214" s="3">
        <v>1</v>
      </c>
      <c r="H214">
        <v>3435</v>
      </c>
      <c r="I214">
        <v>936.1</v>
      </c>
      <c r="J214">
        <v>12568</v>
      </c>
      <c r="K214">
        <v>13327</v>
      </c>
      <c r="L214" s="2">
        <v>27.2925</v>
      </c>
      <c r="M214" s="5">
        <v>107.60849999999998</v>
      </c>
      <c r="N214" s="1">
        <v>185.9545</v>
      </c>
      <c r="O214" s="2">
        <v>3.9</v>
      </c>
      <c r="P214">
        <v>104</v>
      </c>
    </row>
    <row r="215" spans="1:16" x14ac:dyDescent="0.35">
      <c r="A215" s="4">
        <v>43983</v>
      </c>
      <c r="B215" t="s">
        <v>16</v>
      </c>
      <c r="C215" t="s">
        <v>13</v>
      </c>
      <c r="D215">
        <v>1</v>
      </c>
      <c r="E215" s="2">
        <f>(2900+2980+3000*3)/5</f>
        <v>2976</v>
      </c>
      <c r="F215" s="2">
        <f t="shared" si="32"/>
        <v>2910.75</v>
      </c>
      <c r="G215" s="3">
        <v>1</v>
      </c>
      <c r="H215">
        <v>3435</v>
      </c>
      <c r="I215">
        <v>936.1</v>
      </c>
      <c r="J215">
        <v>12568</v>
      </c>
      <c r="K215">
        <v>13327</v>
      </c>
      <c r="L215" s="2">
        <v>27.2925</v>
      </c>
      <c r="M215" s="5">
        <v>107.60849999999998</v>
      </c>
      <c r="N215" s="1">
        <v>185.9545</v>
      </c>
      <c r="O215" s="2">
        <v>3.9</v>
      </c>
      <c r="P215">
        <v>104</v>
      </c>
    </row>
    <row r="216" spans="1:16" x14ac:dyDescent="0.35">
      <c r="A216" s="4">
        <v>43983</v>
      </c>
      <c r="B216" t="s">
        <v>16</v>
      </c>
      <c r="C216" t="s">
        <v>14</v>
      </c>
      <c r="D216">
        <v>1</v>
      </c>
      <c r="E216" s="2">
        <f>(2912+3012+2875+2850+2862)/5</f>
        <v>2902.2</v>
      </c>
      <c r="F216" s="2">
        <f t="shared" si="32"/>
        <v>2910.75</v>
      </c>
      <c r="G216" s="3">
        <v>1</v>
      </c>
      <c r="H216">
        <v>3435</v>
      </c>
      <c r="I216">
        <v>936.1</v>
      </c>
      <c r="J216">
        <v>12568</v>
      </c>
      <c r="K216">
        <v>13327</v>
      </c>
      <c r="L216" s="2">
        <v>27.2925</v>
      </c>
      <c r="M216" s="5">
        <v>107.60849999999998</v>
      </c>
      <c r="N216" s="1">
        <v>185.9545</v>
      </c>
      <c r="O216" s="2">
        <v>3.9</v>
      </c>
      <c r="P216">
        <v>104</v>
      </c>
    </row>
    <row r="217" spans="1:16" x14ac:dyDescent="0.35">
      <c r="A217" s="4">
        <v>43983</v>
      </c>
      <c r="B217" t="s">
        <v>16</v>
      </c>
      <c r="C217" t="s">
        <v>15</v>
      </c>
      <c r="D217">
        <v>0</v>
      </c>
      <c r="E217" s="2" t="s">
        <v>27</v>
      </c>
      <c r="F217" s="2">
        <f t="shared" si="32"/>
        <v>2910.75</v>
      </c>
      <c r="G217" s="3">
        <v>1</v>
      </c>
      <c r="H217">
        <v>3435</v>
      </c>
      <c r="I217">
        <v>936.1</v>
      </c>
      <c r="J217">
        <v>12568</v>
      </c>
      <c r="K217">
        <v>13327</v>
      </c>
      <c r="L217" s="2">
        <v>27.2925</v>
      </c>
      <c r="M217" s="5">
        <v>107.60849999999998</v>
      </c>
      <c r="N217" s="1">
        <v>185.9545</v>
      </c>
      <c r="O217" s="2">
        <v>3.9</v>
      </c>
      <c r="P217">
        <v>104</v>
      </c>
    </row>
    <row r="218" spans="1:16" x14ac:dyDescent="0.35">
      <c r="A218" s="4">
        <v>43983</v>
      </c>
      <c r="B218" t="s">
        <v>17</v>
      </c>
      <c r="C218" t="s">
        <v>10</v>
      </c>
      <c r="D218">
        <v>1</v>
      </c>
      <c r="E218" s="2">
        <f>(2500+2533+2466+2516+2400)/5</f>
        <v>2483</v>
      </c>
      <c r="F218" s="2">
        <f t="shared" ref="F218:F223" si="33">(2467.6+2504.2+2536.4+2532.6+2547)/5</f>
        <v>2517.56</v>
      </c>
      <c r="G218" s="3">
        <v>1</v>
      </c>
      <c r="H218">
        <v>3435</v>
      </c>
      <c r="I218">
        <v>936.1</v>
      </c>
      <c r="J218">
        <v>12568</v>
      </c>
      <c r="K218">
        <v>13327</v>
      </c>
      <c r="L218" s="2">
        <v>27.2925</v>
      </c>
      <c r="M218" s="5">
        <v>107.60849999999998</v>
      </c>
      <c r="N218" s="1">
        <v>185.9545</v>
      </c>
      <c r="O218" s="2">
        <v>3.9</v>
      </c>
      <c r="P218">
        <v>104</v>
      </c>
    </row>
    <row r="219" spans="1:16" x14ac:dyDescent="0.35">
      <c r="A219" s="4">
        <v>43983</v>
      </c>
      <c r="B219" t="s">
        <v>17</v>
      </c>
      <c r="C219" t="s">
        <v>11</v>
      </c>
      <c r="D219">
        <v>1</v>
      </c>
      <c r="E219" s="2">
        <f>(2500*2+2800*3)/5</f>
        <v>2680</v>
      </c>
      <c r="F219" s="2">
        <f t="shared" si="33"/>
        <v>2517.56</v>
      </c>
      <c r="G219" s="3">
        <v>1</v>
      </c>
      <c r="H219">
        <v>3435</v>
      </c>
      <c r="I219">
        <v>936.1</v>
      </c>
      <c r="J219">
        <v>12568</v>
      </c>
      <c r="K219">
        <v>13327</v>
      </c>
      <c r="L219" s="2">
        <v>27.2925</v>
      </c>
      <c r="M219" s="5">
        <v>107.60849999999998</v>
      </c>
      <c r="N219" s="1">
        <v>185.9545</v>
      </c>
      <c r="O219" s="2">
        <v>3.9</v>
      </c>
      <c r="P219">
        <v>104</v>
      </c>
    </row>
    <row r="220" spans="1:16" x14ac:dyDescent="0.35">
      <c r="A220" s="4">
        <v>43983</v>
      </c>
      <c r="B220" t="s">
        <v>17</v>
      </c>
      <c r="C220" t="s">
        <v>12</v>
      </c>
      <c r="D220">
        <v>1</v>
      </c>
      <c r="E220" s="2">
        <f>(2435+2430+2433+2480*2)/5</f>
        <v>2451.6</v>
      </c>
      <c r="F220" s="2">
        <f t="shared" si="33"/>
        <v>2517.56</v>
      </c>
      <c r="G220" s="3">
        <v>1</v>
      </c>
      <c r="H220">
        <v>3435</v>
      </c>
      <c r="I220">
        <v>936.1</v>
      </c>
      <c r="J220">
        <v>12568</v>
      </c>
      <c r="K220">
        <v>13327</v>
      </c>
      <c r="L220" s="2">
        <v>27.2925</v>
      </c>
      <c r="M220" s="5">
        <v>107.60849999999998</v>
      </c>
      <c r="N220" s="1">
        <v>185.9545</v>
      </c>
      <c r="O220" s="2">
        <v>3.9</v>
      </c>
      <c r="P220">
        <v>104</v>
      </c>
    </row>
    <row r="221" spans="1:16" x14ac:dyDescent="0.35">
      <c r="A221" s="4">
        <v>43983</v>
      </c>
      <c r="B221" t="s">
        <v>17</v>
      </c>
      <c r="C221" t="s">
        <v>13</v>
      </c>
      <c r="D221">
        <v>1</v>
      </c>
      <c r="E221" s="2">
        <f>(2475*2+2500+2400+2450)/5</f>
        <v>2460</v>
      </c>
      <c r="F221" s="2">
        <f t="shared" si="33"/>
        <v>2517.56</v>
      </c>
      <c r="G221" s="3">
        <v>1</v>
      </c>
      <c r="H221">
        <v>3435</v>
      </c>
      <c r="I221">
        <v>936.1</v>
      </c>
      <c r="J221">
        <v>12568</v>
      </c>
      <c r="K221">
        <v>13327</v>
      </c>
      <c r="L221" s="2">
        <v>27.2925</v>
      </c>
      <c r="M221" s="5">
        <v>107.60849999999998</v>
      </c>
      <c r="N221" s="1">
        <v>185.9545</v>
      </c>
      <c r="O221" s="2">
        <v>3.9</v>
      </c>
      <c r="P221">
        <v>104</v>
      </c>
    </row>
    <row r="222" spans="1:16" x14ac:dyDescent="0.35">
      <c r="A222" s="4">
        <v>43983</v>
      </c>
      <c r="B222" t="s">
        <v>17</v>
      </c>
      <c r="C222" t="s">
        <v>14</v>
      </c>
      <c r="D222">
        <v>1</v>
      </c>
      <c r="E222" s="2">
        <f>(2550+2500*2+2483*2)/5</f>
        <v>2503.1999999999998</v>
      </c>
      <c r="F222" s="2">
        <f t="shared" si="33"/>
        <v>2517.56</v>
      </c>
      <c r="G222" s="3">
        <v>1</v>
      </c>
      <c r="H222">
        <v>3435</v>
      </c>
      <c r="I222">
        <v>936.1</v>
      </c>
      <c r="J222">
        <v>12568</v>
      </c>
      <c r="K222">
        <v>13327</v>
      </c>
      <c r="L222" s="2">
        <v>27.2925</v>
      </c>
      <c r="M222" s="5">
        <v>107.60849999999998</v>
      </c>
      <c r="N222" s="1">
        <v>185.9545</v>
      </c>
      <c r="O222" s="2">
        <v>3.9</v>
      </c>
      <c r="P222">
        <v>104</v>
      </c>
    </row>
    <row r="223" spans="1:16" x14ac:dyDescent="0.35">
      <c r="A223" s="4">
        <v>43983</v>
      </c>
      <c r="B223" t="s">
        <v>17</v>
      </c>
      <c r="C223" t="s">
        <v>15</v>
      </c>
      <c r="D223">
        <v>0</v>
      </c>
      <c r="E223" s="2" t="s">
        <v>27</v>
      </c>
      <c r="F223" s="2">
        <f t="shared" si="33"/>
        <v>2517.56</v>
      </c>
      <c r="G223" s="3">
        <v>1</v>
      </c>
      <c r="H223">
        <v>3435</v>
      </c>
      <c r="I223">
        <v>936.1</v>
      </c>
      <c r="J223">
        <v>12568</v>
      </c>
      <c r="K223">
        <v>13327</v>
      </c>
      <c r="L223" s="2">
        <v>27.2925</v>
      </c>
      <c r="M223" s="5">
        <v>107.60849999999998</v>
      </c>
      <c r="N223" s="1">
        <v>185.9545</v>
      </c>
      <c r="O223" s="2">
        <v>3.9</v>
      </c>
      <c r="P223">
        <v>104</v>
      </c>
    </row>
    <row r="224" spans="1:16" x14ac:dyDescent="0.35">
      <c r="A224" s="4">
        <v>43983</v>
      </c>
      <c r="B224" t="s">
        <v>18</v>
      </c>
      <c r="C224" t="s">
        <v>10</v>
      </c>
      <c r="D224">
        <v>1</v>
      </c>
      <c r="E224" s="2">
        <f>(2350*2+2316*2+2333)/5</f>
        <v>2333</v>
      </c>
      <c r="F224" s="2">
        <f t="shared" ref="F224:F229" si="34">(2315+2287.14+2330.14+2277.43+2278.57)/5</f>
        <v>2297.6559999999999</v>
      </c>
      <c r="G224" s="3">
        <v>1</v>
      </c>
      <c r="H224">
        <v>3435</v>
      </c>
      <c r="I224">
        <v>936.1</v>
      </c>
      <c r="J224">
        <v>12568</v>
      </c>
      <c r="K224">
        <v>13327</v>
      </c>
      <c r="L224" s="2">
        <v>27.2925</v>
      </c>
      <c r="M224" s="5">
        <v>107.60849999999998</v>
      </c>
      <c r="N224" s="1">
        <v>185.9545</v>
      </c>
      <c r="O224" s="2">
        <v>3.9</v>
      </c>
      <c r="P224">
        <v>104</v>
      </c>
    </row>
    <row r="225" spans="1:16" x14ac:dyDescent="0.35">
      <c r="A225" s="4">
        <v>43983</v>
      </c>
      <c r="B225" t="s">
        <v>18</v>
      </c>
      <c r="C225" t="s">
        <v>11</v>
      </c>
      <c r="D225">
        <v>1</v>
      </c>
      <c r="E225" s="2">
        <f>(2400*2+2600*3)/5</f>
        <v>2520</v>
      </c>
      <c r="F225" s="2">
        <f t="shared" si="34"/>
        <v>2297.6559999999999</v>
      </c>
      <c r="G225" s="3">
        <v>1</v>
      </c>
      <c r="H225">
        <v>3435</v>
      </c>
      <c r="I225">
        <v>936.1</v>
      </c>
      <c r="J225">
        <v>12568</v>
      </c>
      <c r="K225">
        <v>13327</v>
      </c>
      <c r="L225" s="2">
        <v>27.2925</v>
      </c>
      <c r="M225" s="5">
        <v>107.60849999999998</v>
      </c>
      <c r="N225" s="1">
        <v>185.9545</v>
      </c>
      <c r="O225" s="2">
        <v>3.9</v>
      </c>
      <c r="P225">
        <v>104</v>
      </c>
    </row>
    <row r="226" spans="1:16" x14ac:dyDescent="0.35">
      <c r="A226" s="4">
        <v>43983</v>
      </c>
      <c r="B226" t="s">
        <v>18</v>
      </c>
      <c r="C226" t="s">
        <v>12</v>
      </c>
      <c r="D226">
        <v>1</v>
      </c>
      <c r="E226" s="2">
        <f>(2160+2164+2165+2167*2)/5</f>
        <v>2164.6</v>
      </c>
      <c r="F226" s="2">
        <f t="shared" si="34"/>
        <v>2297.6559999999999</v>
      </c>
      <c r="G226" s="3">
        <v>1</v>
      </c>
      <c r="H226">
        <v>3435</v>
      </c>
      <c r="I226">
        <v>936.1</v>
      </c>
      <c r="J226">
        <v>12568</v>
      </c>
      <c r="K226">
        <v>13327</v>
      </c>
      <c r="L226" s="2">
        <v>27.2925</v>
      </c>
      <c r="M226" s="5">
        <v>107.60849999999998</v>
      </c>
      <c r="N226" s="1">
        <v>185.9545</v>
      </c>
      <c r="O226" s="2">
        <v>3.9</v>
      </c>
      <c r="P226">
        <v>104</v>
      </c>
    </row>
    <row r="227" spans="1:16" x14ac:dyDescent="0.35">
      <c r="A227" s="4">
        <v>43983</v>
      </c>
      <c r="B227" t="s">
        <v>18</v>
      </c>
      <c r="C227" t="s">
        <v>13</v>
      </c>
      <c r="D227">
        <v>1</v>
      </c>
      <c r="E227" s="2">
        <f>(2225*2+2480+2350+2300)/5</f>
        <v>2316</v>
      </c>
      <c r="F227" s="2">
        <f t="shared" si="34"/>
        <v>2297.6559999999999</v>
      </c>
      <c r="G227" s="3">
        <v>1</v>
      </c>
      <c r="H227">
        <v>3435</v>
      </c>
      <c r="I227">
        <v>936.1</v>
      </c>
      <c r="J227">
        <v>12568</v>
      </c>
      <c r="K227">
        <v>13327</v>
      </c>
      <c r="L227" s="2">
        <v>27.2925</v>
      </c>
      <c r="M227" s="5">
        <v>107.60849999999998</v>
      </c>
      <c r="N227" s="1">
        <v>185.9545</v>
      </c>
      <c r="O227" s="2">
        <v>3.9</v>
      </c>
      <c r="P227">
        <v>104</v>
      </c>
    </row>
    <row r="228" spans="1:16" x14ac:dyDescent="0.35">
      <c r="A228" s="4">
        <v>43983</v>
      </c>
      <c r="B228" t="s">
        <v>18</v>
      </c>
      <c r="C228" t="s">
        <v>14</v>
      </c>
      <c r="D228">
        <v>1</v>
      </c>
      <c r="E228" s="2">
        <f>(2300*2+2275+2417+2325)/5</f>
        <v>2323.4</v>
      </c>
      <c r="F228" s="2">
        <f t="shared" si="34"/>
        <v>2297.6559999999999</v>
      </c>
      <c r="G228" s="3">
        <v>1</v>
      </c>
      <c r="H228">
        <v>3435</v>
      </c>
      <c r="I228">
        <v>936.1</v>
      </c>
      <c r="J228">
        <v>12568</v>
      </c>
      <c r="K228">
        <v>13327</v>
      </c>
      <c r="L228" s="2">
        <v>27.2925</v>
      </c>
      <c r="M228" s="5">
        <v>107.60849999999998</v>
      </c>
      <c r="N228" s="1">
        <v>185.9545</v>
      </c>
      <c r="O228" s="2">
        <v>3.9</v>
      </c>
      <c r="P228">
        <v>104</v>
      </c>
    </row>
    <row r="229" spans="1:16" x14ac:dyDescent="0.35">
      <c r="A229" s="4">
        <v>43983</v>
      </c>
      <c r="B229" t="s">
        <v>18</v>
      </c>
      <c r="C229" t="s">
        <v>15</v>
      </c>
      <c r="D229">
        <v>1</v>
      </c>
      <c r="E229" s="2">
        <f>(2300*3+2375*2)/5</f>
        <v>2330</v>
      </c>
      <c r="F229" s="2">
        <f t="shared" si="34"/>
        <v>2297.6559999999999</v>
      </c>
      <c r="G229" s="3">
        <v>1</v>
      </c>
      <c r="H229">
        <v>3435</v>
      </c>
      <c r="I229">
        <v>936.1</v>
      </c>
      <c r="J229">
        <v>12568</v>
      </c>
      <c r="K229">
        <v>13327</v>
      </c>
      <c r="L229" s="2">
        <v>27.2925</v>
      </c>
      <c r="M229" s="5">
        <v>107.60849999999998</v>
      </c>
      <c r="N229" s="1">
        <v>185.9545</v>
      </c>
      <c r="O229" s="2">
        <v>3.9</v>
      </c>
      <c r="P229">
        <v>104</v>
      </c>
    </row>
    <row r="230" spans="1:16" x14ac:dyDescent="0.35">
      <c r="A230" s="4">
        <v>43983</v>
      </c>
      <c r="B230" t="s">
        <v>19</v>
      </c>
      <c r="C230" t="s">
        <v>10</v>
      </c>
      <c r="D230">
        <v>1</v>
      </c>
      <c r="E230" s="2">
        <f>(2033+2000+2183+2033+2016)/5</f>
        <v>2053</v>
      </c>
      <c r="F230" s="2">
        <f t="shared" ref="F230:F235" si="35">(2068+2079.71+2114.14+2054.57+2048)/5</f>
        <v>2072.884</v>
      </c>
      <c r="G230" s="3">
        <v>1</v>
      </c>
      <c r="H230">
        <v>3435</v>
      </c>
      <c r="I230">
        <v>936.1</v>
      </c>
      <c r="J230">
        <v>12568</v>
      </c>
      <c r="K230">
        <v>13327</v>
      </c>
      <c r="L230" s="2">
        <v>27.2925</v>
      </c>
      <c r="M230" s="5">
        <v>107.60849999999998</v>
      </c>
      <c r="N230" s="1">
        <v>185.9545</v>
      </c>
      <c r="O230" s="2">
        <v>3.9</v>
      </c>
      <c r="P230">
        <v>104</v>
      </c>
    </row>
    <row r="231" spans="1:16" x14ac:dyDescent="0.35">
      <c r="A231" s="4">
        <v>43983</v>
      </c>
      <c r="B231" t="s">
        <v>19</v>
      </c>
      <c r="C231" t="s">
        <v>11</v>
      </c>
      <c r="D231">
        <v>1</v>
      </c>
      <c r="E231" s="2">
        <f>(2200+2150+2300*2+2350)/5</f>
        <v>2260</v>
      </c>
      <c r="F231" s="2">
        <f t="shared" si="35"/>
        <v>2072.884</v>
      </c>
      <c r="G231" s="3">
        <v>1</v>
      </c>
      <c r="H231">
        <v>3435</v>
      </c>
      <c r="I231">
        <v>936.1</v>
      </c>
      <c r="J231">
        <v>12568</v>
      </c>
      <c r="K231">
        <v>13327</v>
      </c>
      <c r="L231" s="2">
        <v>27.2925</v>
      </c>
      <c r="M231" s="5">
        <v>107.60849999999998</v>
      </c>
      <c r="N231" s="1">
        <v>185.9545</v>
      </c>
      <c r="O231" s="2">
        <v>3.9</v>
      </c>
      <c r="P231">
        <v>104</v>
      </c>
    </row>
    <row r="232" spans="1:16" x14ac:dyDescent="0.35">
      <c r="A232" s="4">
        <v>43983</v>
      </c>
      <c r="B232" t="s">
        <v>19</v>
      </c>
      <c r="C232" t="s">
        <v>12</v>
      </c>
      <c r="D232">
        <v>1</v>
      </c>
      <c r="E232" s="2">
        <v>1961</v>
      </c>
      <c r="F232" s="2">
        <f t="shared" si="35"/>
        <v>2072.884</v>
      </c>
      <c r="G232" s="3">
        <v>1</v>
      </c>
      <c r="H232">
        <v>3435</v>
      </c>
      <c r="I232">
        <v>936.1</v>
      </c>
      <c r="J232">
        <v>12568</v>
      </c>
      <c r="K232">
        <v>13327</v>
      </c>
      <c r="L232" s="2">
        <v>27.2925</v>
      </c>
      <c r="M232" s="5">
        <v>107.60849999999998</v>
      </c>
      <c r="N232" s="1">
        <v>185.9545</v>
      </c>
      <c r="O232" s="2">
        <v>3.9</v>
      </c>
      <c r="P232">
        <v>104</v>
      </c>
    </row>
    <row r="233" spans="1:16" x14ac:dyDescent="0.35">
      <c r="A233" s="4">
        <v>43983</v>
      </c>
      <c r="B233" t="s">
        <v>19</v>
      </c>
      <c r="C233" t="s">
        <v>13</v>
      </c>
      <c r="D233">
        <v>1</v>
      </c>
      <c r="E233" s="2">
        <f>(2150*2+2210+2200+2230)/5</f>
        <v>2188</v>
      </c>
      <c r="F233" s="2">
        <f t="shared" si="35"/>
        <v>2072.884</v>
      </c>
      <c r="G233" s="3">
        <v>1</v>
      </c>
      <c r="H233">
        <v>3435</v>
      </c>
      <c r="I233">
        <v>936.1</v>
      </c>
      <c r="J233">
        <v>12568</v>
      </c>
      <c r="K233">
        <v>13327</v>
      </c>
      <c r="L233" s="2">
        <v>27.2925</v>
      </c>
      <c r="M233" s="5">
        <v>107.60849999999998</v>
      </c>
      <c r="N233" s="1">
        <v>185.9545</v>
      </c>
      <c r="O233" s="2">
        <v>3.9</v>
      </c>
      <c r="P233">
        <v>104</v>
      </c>
    </row>
    <row r="234" spans="1:16" x14ac:dyDescent="0.35">
      <c r="A234" s="4">
        <v>43983</v>
      </c>
      <c r="B234" t="s">
        <v>19</v>
      </c>
      <c r="C234" t="s">
        <v>14</v>
      </c>
      <c r="D234">
        <v>1</v>
      </c>
      <c r="E234" s="2">
        <f>(2200+2210+2221+2207+2183)/5</f>
        <v>2204.1999999999998</v>
      </c>
      <c r="F234" s="2">
        <f t="shared" si="35"/>
        <v>2072.884</v>
      </c>
      <c r="G234" s="3">
        <v>1</v>
      </c>
      <c r="H234">
        <v>3435</v>
      </c>
      <c r="I234">
        <v>936.1</v>
      </c>
      <c r="J234">
        <v>12568</v>
      </c>
      <c r="K234">
        <v>13327</v>
      </c>
      <c r="L234" s="2">
        <v>27.2925</v>
      </c>
      <c r="M234" s="5">
        <v>107.60849999999998</v>
      </c>
      <c r="N234" s="1">
        <v>185.9545</v>
      </c>
      <c r="O234" s="2">
        <v>3.9</v>
      </c>
      <c r="P234">
        <v>104</v>
      </c>
    </row>
    <row r="235" spans="1:16" x14ac:dyDescent="0.35">
      <c r="A235" s="4">
        <v>43983</v>
      </c>
      <c r="B235" t="s">
        <v>19</v>
      </c>
      <c r="C235" t="s">
        <v>15</v>
      </c>
      <c r="D235">
        <v>1</v>
      </c>
      <c r="E235" s="2">
        <f>(2210*2+2200*3)/5</f>
        <v>2204</v>
      </c>
      <c r="F235" s="2">
        <f t="shared" si="35"/>
        <v>2072.884</v>
      </c>
      <c r="G235" s="3">
        <v>1</v>
      </c>
      <c r="H235">
        <v>3435</v>
      </c>
      <c r="I235">
        <v>936.1</v>
      </c>
      <c r="J235">
        <v>12568</v>
      </c>
      <c r="K235">
        <v>13327</v>
      </c>
      <c r="L235" s="2">
        <v>27.2925</v>
      </c>
      <c r="M235" s="5">
        <v>107.60849999999998</v>
      </c>
      <c r="N235" s="1">
        <v>185.9545</v>
      </c>
      <c r="O235" s="2">
        <v>3.9</v>
      </c>
      <c r="P235">
        <v>104</v>
      </c>
    </row>
    <row r="236" spans="1:16" x14ac:dyDescent="0.35">
      <c r="A236" s="4">
        <v>43983</v>
      </c>
      <c r="B236" t="s">
        <v>20</v>
      </c>
      <c r="C236" t="s">
        <v>10</v>
      </c>
      <c r="D236">
        <v>1</v>
      </c>
      <c r="E236" s="2">
        <f>(1600+1633+1500+1950+1866)/5</f>
        <v>1709.8</v>
      </c>
      <c r="F236" s="2">
        <f t="shared" ref="F236:F241" si="36">(1874.5+1854.5+1861.83+1984.33+1946)/5</f>
        <v>1904.232</v>
      </c>
      <c r="G236" s="3">
        <v>1</v>
      </c>
      <c r="H236">
        <v>3435</v>
      </c>
      <c r="I236">
        <v>936.1</v>
      </c>
      <c r="J236">
        <v>12568</v>
      </c>
      <c r="K236">
        <v>13327</v>
      </c>
      <c r="L236" s="2">
        <v>27.2925</v>
      </c>
      <c r="M236" s="5">
        <v>107.60849999999998</v>
      </c>
      <c r="N236" s="1">
        <v>185.9545</v>
      </c>
      <c r="O236" s="2">
        <v>3.9</v>
      </c>
      <c r="P236">
        <v>104</v>
      </c>
    </row>
    <row r="237" spans="1:16" x14ac:dyDescent="0.35">
      <c r="A237" s="4">
        <v>43983</v>
      </c>
      <c r="B237" t="s">
        <v>20</v>
      </c>
      <c r="C237" t="s">
        <v>11</v>
      </c>
      <c r="D237">
        <v>1</v>
      </c>
      <c r="E237" s="2">
        <f>(2000*3+1950+2100)/5</f>
        <v>2010</v>
      </c>
      <c r="F237" s="2">
        <f t="shared" si="36"/>
        <v>1904.232</v>
      </c>
      <c r="G237" s="3">
        <v>1</v>
      </c>
      <c r="H237">
        <v>3435</v>
      </c>
      <c r="I237">
        <v>936.1</v>
      </c>
      <c r="J237">
        <v>12568</v>
      </c>
      <c r="K237">
        <v>13327</v>
      </c>
      <c r="L237" s="2">
        <v>27.2925</v>
      </c>
      <c r="M237" s="5">
        <v>107.60849999999998</v>
      </c>
      <c r="N237" s="1">
        <v>185.9545</v>
      </c>
      <c r="O237" s="2">
        <v>3.9</v>
      </c>
      <c r="P237">
        <v>104</v>
      </c>
    </row>
    <row r="238" spans="1:16" x14ac:dyDescent="0.35">
      <c r="A238" s="4">
        <v>43983</v>
      </c>
      <c r="B238" t="s">
        <v>20</v>
      </c>
      <c r="C238" t="s">
        <v>12</v>
      </c>
      <c r="D238">
        <v>1</v>
      </c>
      <c r="E238" s="2">
        <f>(1535+1533+1483+1463+1465)/5</f>
        <v>1495.8</v>
      </c>
      <c r="F238" s="2">
        <f t="shared" si="36"/>
        <v>1904.232</v>
      </c>
      <c r="G238" s="3">
        <v>1</v>
      </c>
      <c r="H238">
        <v>3435</v>
      </c>
      <c r="I238">
        <v>936.1</v>
      </c>
      <c r="J238">
        <v>12568</v>
      </c>
      <c r="K238">
        <v>13327</v>
      </c>
      <c r="L238" s="2">
        <v>27.2925</v>
      </c>
      <c r="M238" s="5">
        <v>107.60849999999998</v>
      </c>
      <c r="N238" s="1">
        <v>185.9545</v>
      </c>
      <c r="O238" s="2">
        <v>3.9</v>
      </c>
      <c r="P238">
        <v>104</v>
      </c>
    </row>
    <row r="239" spans="1:16" x14ac:dyDescent="0.35">
      <c r="A239" s="4">
        <v>43983</v>
      </c>
      <c r="B239" t="s">
        <v>20</v>
      </c>
      <c r="C239" t="s">
        <v>13</v>
      </c>
      <c r="D239">
        <v>1</v>
      </c>
      <c r="E239" s="2">
        <f>(2100+2175+2070+2050*2)/5</f>
        <v>2089</v>
      </c>
      <c r="F239" s="2">
        <f t="shared" si="36"/>
        <v>1904.232</v>
      </c>
      <c r="G239" s="3">
        <v>1</v>
      </c>
      <c r="H239">
        <v>3435</v>
      </c>
      <c r="I239">
        <v>936.1</v>
      </c>
      <c r="J239">
        <v>12568</v>
      </c>
      <c r="K239">
        <v>13327</v>
      </c>
      <c r="L239" s="2">
        <v>27.2925</v>
      </c>
      <c r="M239" s="5">
        <v>107.60849999999998</v>
      </c>
      <c r="N239" s="1">
        <v>185.9545</v>
      </c>
      <c r="O239" s="2">
        <v>3.9</v>
      </c>
      <c r="P239">
        <v>104</v>
      </c>
    </row>
    <row r="240" spans="1:16" x14ac:dyDescent="0.35">
      <c r="A240" s="4">
        <v>43983</v>
      </c>
      <c r="B240" t="s">
        <v>20</v>
      </c>
      <c r="C240" t="s">
        <v>14</v>
      </c>
      <c r="D240">
        <v>1</v>
      </c>
      <c r="E240" s="2">
        <f>(2000+2075+2084+2075+2000)/5</f>
        <v>2046.8</v>
      </c>
      <c r="F240" s="2">
        <f t="shared" si="36"/>
        <v>1904.232</v>
      </c>
      <c r="G240" s="3">
        <v>1</v>
      </c>
      <c r="H240">
        <v>3435</v>
      </c>
      <c r="I240">
        <v>936.1</v>
      </c>
      <c r="J240">
        <v>12568</v>
      </c>
      <c r="K240">
        <v>13327</v>
      </c>
      <c r="L240" s="2">
        <v>27.2925</v>
      </c>
      <c r="M240" s="5">
        <v>107.60849999999998</v>
      </c>
      <c r="N240" s="1">
        <v>185.9545</v>
      </c>
      <c r="O240" s="2">
        <v>3.9</v>
      </c>
      <c r="P240">
        <v>104</v>
      </c>
    </row>
    <row r="241" spans="1:16" x14ac:dyDescent="0.35">
      <c r="A241" s="4">
        <v>43983</v>
      </c>
      <c r="B241" t="s">
        <v>20</v>
      </c>
      <c r="C241" t="s">
        <v>15</v>
      </c>
      <c r="D241">
        <v>1</v>
      </c>
      <c r="E241" s="2">
        <f>(2000*2+2110*2+2025)/5</f>
        <v>2049</v>
      </c>
      <c r="F241" s="2">
        <f t="shared" si="36"/>
        <v>1904.232</v>
      </c>
      <c r="G241" s="3">
        <v>1</v>
      </c>
      <c r="H241">
        <v>3435</v>
      </c>
      <c r="I241">
        <v>936.1</v>
      </c>
      <c r="J241">
        <v>12568</v>
      </c>
      <c r="K241">
        <v>13327</v>
      </c>
      <c r="L241" s="2">
        <v>27.2925</v>
      </c>
      <c r="M241" s="5">
        <v>107.60849999999998</v>
      </c>
      <c r="N241" s="1">
        <v>185.9545</v>
      </c>
      <c r="O241" s="2">
        <v>3.9</v>
      </c>
      <c r="P241">
        <v>104</v>
      </c>
    </row>
    <row r="242" spans="1:16" x14ac:dyDescent="0.35">
      <c r="A242" s="4">
        <v>43983</v>
      </c>
      <c r="B242" t="s">
        <v>21</v>
      </c>
      <c r="C242" t="s">
        <v>10</v>
      </c>
      <c r="D242">
        <v>1</v>
      </c>
      <c r="E242" s="2">
        <f>(1560+1316+1316+1400+1450)/5</f>
        <v>1408.4</v>
      </c>
      <c r="F242" s="2">
        <f t="shared" ref="F242:F247" si="37">(1835.83+1834.5+1793.33+1758.33+1742.5)/5</f>
        <v>1792.8979999999999</v>
      </c>
      <c r="G242" s="3">
        <v>1</v>
      </c>
      <c r="H242">
        <v>3435</v>
      </c>
      <c r="I242">
        <v>936.1</v>
      </c>
      <c r="J242">
        <v>12568</v>
      </c>
      <c r="K242">
        <v>13327</v>
      </c>
      <c r="L242" s="2">
        <v>27.2925</v>
      </c>
      <c r="M242" s="5">
        <v>107.60849999999998</v>
      </c>
      <c r="N242" s="1">
        <v>185.9545</v>
      </c>
      <c r="O242" s="2">
        <v>3.9</v>
      </c>
      <c r="P242">
        <v>104</v>
      </c>
    </row>
    <row r="243" spans="1:16" x14ac:dyDescent="0.35">
      <c r="A243" s="4">
        <v>43983</v>
      </c>
      <c r="B243" t="s">
        <v>21</v>
      </c>
      <c r="C243" t="s">
        <v>11</v>
      </c>
      <c r="D243">
        <v>1</v>
      </c>
      <c r="E243" s="2">
        <f>(1900+1850+1950+1950+2000)/5</f>
        <v>1930</v>
      </c>
      <c r="F243" s="2">
        <f t="shared" si="37"/>
        <v>1792.8979999999999</v>
      </c>
      <c r="G243" s="3">
        <v>1</v>
      </c>
      <c r="H243">
        <v>3435</v>
      </c>
      <c r="I243">
        <v>936.1</v>
      </c>
      <c r="J243">
        <v>12568</v>
      </c>
      <c r="K243">
        <v>13327</v>
      </c>
      <c r="L243" s="2">
        <v>27.2925</v>
      </c>
      <c r="M243" s="5">
        <v>107.60849999999998</v>
      </c>
      <c r="N243" s="1">
        <v>185.9545</v>
      </c>
      <c r="O243" s="2">
        <v>3.9</v>
      </c>
      <c r="P243">
        <v>104</v>
      </c>
    </row>
    <row r="244" spans="1:16" x14ac:dyDescent="0.35">
      <c r="A244" s="4">
        <v>43983</v>
      </c>
      <c r="B244" t="s">
        <v>21</v>
      </c>
      <c r="C244" t="s">
        <v>12</v>
      </c>
      <c r="D244">
        <v>1</v>
      </c>
      <c r="E244" s="2">
        <f>(1430+1435+1367+1370*2)/5</f>
        <v>1394.4</v>
      </c>
      <c r="F244" s="2">
        <f t="shared" si="37"/>
        <v>1792.8979999999999</v>
      </c>
      <c r="G244" s="3">
        <v>1</v>
      </c>
      <c r="H244">
        <v>3435</v>
      </c>
      <c r="I244">
        <v>936.1</v>
      </c>
      <c r="J244">
        <v>12568</v>
      </c>
      <c r="K244">
        <v>13327</v>
      </c>
      <c r="L244" s="2">
        <v>27.2925</v>
      </c>
      <c r="M244" s="5">
        <v>107.60849999999998</v>
      </c>
      <c r="N244" s="1">
        <v>185.9545</v>
      </c>
      <c r="O244" s="2">
        <v>3.9</v>
      </c>
      <c r="P244">
        <v>104</v>
      </c>
    </row>
    <row r="245" spans="1:16" x14ac:dyDescent="0.35">
      <c r="A245" s="4">
        <v>43983</v>
      </c>
      <c r="B245" t="s">
        <v>21</v>
      </c>
      <c r="C245" t="s">
        <v>13</v>
      </c>
      <c r="D245">
        <v>1</v>
      </c>
      <c r="E245" s="2">
        <f>(1985+1980*2+2100+2000)/5</f>
        <v>2009</v>
      </c>
      <c r="F245" s="2">
        <f t="shared" si="37"/>
        <v>1792.8979999999999</v>
      </c>
      <c r="G245" s="3">
        <v>1</v>
      </c>
      <c r="H245">
        <v>3435</v>
      </c>
      <c r="I245">
        <v>936.1</v>
      </c>
      <c r="J245">
        <v>12568</v>
      </c>
      <c r="K245">
        <v>13327</v>
      </c>
      <c r="L245" s="2">
        <v>27.2925</v>
      </c>
      <c r="M245" s="5">
        <v>107.60849999999998</v>
      </c>
      <c r="N245" s="1">
        <v>185.9545</v>
      </c>
      <c r="O245" s="2">
        <v>3.9</v>
      </c>
      <c r="P245">
        <v>104</v>
      </c>
    </row>
    <row r="246" spans="1:16" x14ac:dyDescent="0.35">
      <c r="A246" s="4">
        <v>43983</v>
      </c>
      <c r="B246" t="s">
        <v>21</v>
      </c>
      <c r="C246" t="s">
        <v>14</v>
      </c>
      <c r="D246">
        <v>1</v>
      </c>
      <c r="E246" s="2">
        <f>(2025+2106+2047+2000+1800)/5</f>
        <v>1995.6</v>
      </c>
      <c r="F246" s="2">
        <f t="shared" si="37"/>
        <v>1792.8979999999999</v>
      </c>
      <c r="G246" s="3">
        <v>1</v>
      </c>
      <c r="H246">
        <v>3435</v>
      </c>
      <c r="I246">
        <v>936.1</v>
      </c>
      <c r="J246">
        <v>12568</v>
      </c>
      <c r="K246">
        <v>13327</v>
      </c>
      <c r="L246" s="2">
        <v>27.2925</v>
      </c>
      <c r="M246" s="5">
        <v>107.60849999999998</v>
      </c>
      <c r="N246" s="1">
        <v>185.9545</v>
      </c>
      <c r="O246" s="2">
        <v>3.9</v>
      </c>
      <c r="P246">
        <v>104</v>
      </c>
    </row>
    <row r="247" spans="1:16" x14ac:dyDescent="0.35">
      <c r="A247" s="4">
        <v>43983</v>
      </c>
      <c r="B247" t="s">
        <v>21</v>
      </c>
      <c r="C247" t="s">
        <v>15</v>
      </c>
      <c r="D247">
        <v>1</v>
      </c>
      <c r="E247" s="2">
        <f>(1950*2+2100*2+2000)/5</f>
        <v>2020</v>
      </c>
      <c r="F247" s="2">
        <f t="shared" si="37"/>
        <v>1792.8979999999999</v>
      </c>
      <c r="G247" s="3">
        <v>1</v>
      </c>
      <c r="H247">
        <v>3435</v>
      </c>
      <c r="I247">
        <v>936.1</v>
      </c>
      <c r="J247">
        <v>12568</v>
      </c>
      <c r="K247">
        <v>13327</v>
      </c>
      <c r="L247" s="2">
        <v>27.2925</v>
      </c>
      <c r="M247" s="5">
        <v>107.60849999999998</v>
      </c>
      <c r="N247" s="1">
        <v>185.9545</v>
      </c>
      <c r="O247" s="2">
        <v>3.9</v>
      </c>
      <c r="P247">
        <v>104</v>
      </c>
    </row>
    <row r="248" spans="1:16" x14ac:dyDescent="0.35">
      <c r="A248" s="4">
        <v>43983</v>
      </c>
      <c r="B248" t="s">
        <v>22</v>
      </c>
      <c r="C248" t="s">
        <v>10</v>
      </c>
      <c r="D248">
        <v>0</v>
      </c>
      <c r="E248" s="2" t="s">
        <v>27</v>
      </c>
      <c r="F248" s="2">
        <f t="shared" ref="F248:F253" si="38">(1630+1660+1660+1680+1610)/5</f>
        <v>1648</v>
      </c>
      <c r="G248" s="3">
        <v>1</v>
      </c>
      <c r="H248">
        <v>3435</v>
      </c>
      <c r="I248">
        <v>936.1</v>
      </c>
      <c r="J248">
        <v>12568</v>
      </c>
      <c r="K248">
        <v>13327</v>
      </c>
      <c r="L248" s="2">
        <v>27.2925</v>
      </c>
      <c r="M248" s="5">
        <v>107.60849999999998</v>
      </c>
      <c r="N248" s="1">
        <v>185.9545</v>
      </c>
      <c r="O248" s="2">
        <v>3.9</v>
      </c>
      <c r="P248">
        <v>104</v>
      </c>
    </row>
    <row r="249" spans="1:16" x14ac:dyDescent="0.35">
      <c r="A249" s="4">
        <v>43983</v>
      </c>
      <c r="B249" t="s">
        <v>22</v>
      </c>
      <c r="C249" t="s">
        <v>11</v>
      </c>
      <c r="D249">
        <v>0</v>
      </c>
      <c r="E249" s="2" t="s">
        <v>27</v>
      </c>
      <c r="F249" s="2">
        <f t="shared" si="38"/>
        <v>1648</v>
      </c>
      <c r="G249" s="3">
        <v>1</v>
      </c>
      <c r="H249">
        <v>3435</v>
      </c>
      <c r="I249">
        <v>936.1</v>
      </c>
      <c r="J249">
        <v>12568</v>
      </c>
      <c r="K249">
        <v>13327</v>
      </c>
      <c r="L249" s="2">
        <v>27.2925</v>
      </c>
      <c r="M249" s="5">
        <v>107.60849999999998</v>
      </c>
      <c r="N249" s="1">
        <v>185.9545</v>
      </c>
      <c r="O249" s="2">
        <v>3.9</v>
      </c>
      <c r="P249">
        <v>104</v>
      </c>
    </row>
    <row r="250" spans="1:16" x14ac:dyDescent="0.35">
      <c r="A250" s="4">
        <v>43983</v>
      </c>
      <c r="B250" t="s">
        <v>22</v>
      </c>
      <c r="C250" t="s">
        <v>12</v>
      </c>
      <c r="D250">
        <v>0</v>
      </c>
      <c r="E250" s="2" t="s">
        <v>27</v>
      </c>
      <c r="F250" s="2">
        <f t="shared" si="38"/>
        <v>1648</v>
      </c>
      <c r="G250" s="3">
        <v>1</v>
      </c>
      <c r="H250">
        <v>3435</v>
      </c>
      <c r="I250">
        <v>936.1</v>
      </c>
      <c r="J250">
        <v>12568</v>
      </c>
      <c r="K250">
        <v>13327</v>
      </c>
      <c r="L250" s="2">
        <v>27.2925</v>
      </c>
      <c r="M250" s="5">
        <v>107.60849999999998</v>
      </c>
      <c r="N250" s="1">
        <v>185.9545</v>
      </c>
      <c r="O250" s="2">
        <v>3.9</v>
      </c>
      <c r="P250">
        <v>104</v>
      </c>
    </row>
    <row r="251" spans="1:16" x14ac:dyDescent="0.35">
      <c r="A251" s="4">
        <v>43983</v>
      </c>
      <c r="B251" t="s">
        <v>22</v>
      </c>
      <c r="C251" t="s">
        <v>13</v>
      </c>
      <c r="D251">
        <v>0</v>
      </c>
      <c r="E251" s="2" t="s">
        <v>27</v>
      </c>
      <c r="F251" s="2">
        <f t="shared" si="38"/>
        <v>1648</v>
      </c>
      <c r="G251" s="3">
        <v>1</v>
      </c>
      <c r="H251">
        <v>3435</v>
      </c>
      <c r="I251">
        <v>936.1</v>
      </c>
      <c r="J251">
        <v>12568</v>
      </c>
      <c r="K251">
        <v>13327</v>
      </c>
      <c r="L251" s="2">
        <v>27.2925</v>
      </c>
      <c r="M251" s="5">
        <v>107.60849999999998</v>
      </c>
      <c r="N251" s="1">
        <v>185.9545</v>
      </c>
      <c r="O251" s="2">
        <v>3.9</v>
      </c>
      <c r="P251">
        <v>104</v>
      </c>
    </row>
    <row r="252" spans="1:16" x14ac:dyDescent="0.35">
      <c r="A252" s="4">
        <v>43983</v>
      </c>
      <c r="B252" t="s">
        <v>22</v>
      </c>
      <c r="C252" t="s">
        <v>14</v>
      </c>
      <c r="D252">
        <v>1</v>
      </c>
      <c r="E252" s="2">
        <f>(1630+1660+1660+1680+1610)/5</f>
        <v>1648</v>
      </c>
      <c r="F252" s="2">
        <f t="shared" si="38"/>
        <v>1648</v>
      </c>
      <c r="G252" s="3">
        <v>1</v>
      </c>
      <c r="H252">
        <v>3435</v>
      </c>
      <c r="I252">
        <v>936.1</v>
      </c>
      <c r="J252">
        <v>12568</v>
      </c>
      <c r="K252">
        <v>13327</v>
      </c>
      <c r="L252" s="2">
        <v>27.2925</v>
      </c>
      <c r="M252" s="5">
        <v>107.60849999999998</v>
      </c>
      <c r="N252" s="1">
        <v>185.9545</v>
      </c>
      <c r="O252" s="2">
        <v>3.9</v>
      </c>
      <c r="P252">
        <v>104</v>
      </c>
    </row>
    <row r="253" spans="1:16" x14ac:dyDescent="0.35">
      <c r="A253" s="4">
        <v>43983</v>
      </c>
      <c r="B253" t="s">
        <v>22</v>
      </c>
      <c r="C253" t="s">
        <v>15</v>
      </c>
      <c r="D253">
        <v>0</v>
      </c>
      <c r="E253" s="2" t="s">
        <v>27</v>
      </c>
      <c r="F253" s="2">
        <f t="shared" si="38"/>
        <v>1648</v>
      </c>
      <c r="G253" s="3">
        <v>1</v>
      </c>
      <c r="H253">
        <v>3435</v>
      </c>
      <c r="I253">
        <v>936.1</v>
      </c>
      <c r="J253">
        <v>12568</v>
      </c>
      <c r="K253">
        <v>13327</v>
      </c>
      <c r="L253" s="2">
        <v>27.2925</v>
      </c>
      <c r="M253" s="5">
        <v>107.60849999999998</v>
      </c>
      <c r="N253" s="1">
        <v>185.9545</v>
      </c>
      <c r="O253" s="2">
        <v>3.9</v>
      </c>
      <c r="P253">
        <v>104</v>
      </c>
    </row>
    <row r="254" spans="1:16" x14ac:dyDescent="0.35">
      <c r="A254" s="4">
        <v>44013</v>
      </c>
      <c r="B254" t="s">
        <v>16</v>
      </c>
      <c r="C254" t="s">
        <v>10</v>
      </c>
      <c r="D254">
        <v>1</v>
      </c>
      <c r="E254" s="2">
        <f>(2800+2800+2816+2866)/4</f>
        <v>2820.5</v>
      </c>
      <c r="F254" s="2">
        <f t="shared" ref="F254:F259" si="39">(2923+2895.75+2907.75+2922.5)/4</f>
        <v>2912.25</v>
      </c>
      <c r="G254" s="3">
        <v>1</v>
      </c>
      <c r="H254">
        <v>3435</v>
      </c>
      <c r="I254">
        <v>748.9</v>
      </c>
      <c r="J254">
        <v>11732</v>
      </c>
      <c r="K254">
        <v>13327</v>
      </c>
      <c r="L254" s="2">
        <v>26.540625000000002</v>
      </c>
      <c r="M254" s="5">
        <v>118.602</v>
      </c>
      <c r="N254" s="1">
        <v>185.84870000000001</v>
      </c>
      <c r="O254" s="2">
        <v>4.2</v>
      </c>
      <c r="P254">
        <v>104</v>
      </c>
    </row>
    <row r="255" spans="1:16" x14ac:dyDescent="0.35">
      <c r="A255" s="4">
        <v>44013</v>
      </c>
      <c r="B255" t="s">
        <v>16</v>
      </c>
      <c r="C255" t="s">
        <v>11</v>
      </c>
      <c r="D255">
        <v>0</v>
      </c>
      <c r="E255" s="2" t="s">
        <v>27</v>
      </c>
      <c r="F255" s="2">
        <f t="shared" si="39"/>
        <v>2912.25</v>
      </c>
      <c r="G255" s="3">
        <v>1</v>
      </c>
      <c r="H255">
        <v>3435</v>
      </c>
      <c r="I255">
        <v>748.9</v>
      </c>
      <c r="J255">
        <v>11732</v>
      </c>
      <c r="K255">
        <v>13327</v>
      </c>
      <c r="L255" s="2">
        <v>26.540625000000002</v>
      </c>
      <c r="M255" s="5">
        <v>118.602</v>
      </c>
      <c r="N255" s="1">
        <v>185.84870000000001</v>
      </c>
      <c r="O255" s="2">
        <v>4.2</v>
      </c>
      <c r="P255">
        <v>104</v>
      </c>
    </row>
    <row r="256" spans="1:16" x14ac:dyDescent="0.35">
      <c r="A256" s="4">
        <v>44013</v>
      </c>
      <c r="B256" t="s">
        <v>16</v>
      </c>
      <c r="C256" t="s">
        <v>12</v>
      </c>
      <c r="D256">
        <v>1</v>
      </c>
      <c r="E256" s="2">
        <v>2866</v>
      </c>
      <c r="F256" s="2">
        <f t="shared" si="39"/>
        <v>2912.25</v>
      </c>
      <c r="G256" s="3">
        <v>1</v>
      </c>
      <c r="H256">
        <v>3435</v>
      </c>
      <c r="I256">
        <v>748.9</v>
      </c>
      <c r="J256">
        <v>11732</v>
      </c>
      <c r="K256">
        <v>13327</v>
      </c>
      <c r="L256" s="2">
        <v>26.540625000000002</v>
      </c>
      <c r="M256" s="5">
        <v>118.602</v>
      </c>
      <c r="N256" s="1">
        <v>185.84870000000001</v>
      </c>
      <c r="O256" s="2">
        <v>4.2</v>
      </c>
      <c r="P256">
        <v>104</v>
      </c>
    </row>
    <row r="257" spans="1:16" x14ac:dyDescent="0.35">
      <c r="A257" s="4">
        <v>44013</v>
      </c>
      <c r="B257" t="s">
        <v>16</v>
      </c>
      <c r="C257" t="s">
        <v>13</v>
      </c>
      <c r="D257">
        <v>1</v>
      </c>
      <c r="E257" s="2">
        <v>3050</v>
      </c>
      <c r="F257" s="2">
        <f t="shared" si="39"/>
        <v>2912.25</v>
      </c>
      <c r="G257" s="3">
        <v>1</v>
      </c>
      <c r="H257">
        <v>3435</v>
      </c>
      <c r="I257">
        <v>748.9</v>
      </c>
      <c r="J257">
        <v>11732</v>
      </c>
      <c r="K257">
        <v>13327</v>
      </c>
      <c r="L257" s="2">
        <v>26.540625000000002</v>
      </c>
      <c r="M257" s="5">
        <v>118.602</v>
      </c>
      <c r="N257" s="1">
        <v>185.84870000000001</v>
      </c>
      <c r="O257" s="2">
        <v>4.2</v>
      </c>
      <c r="P257">
        <v>104</v>
      </c>
    </row>
    <row r="258" spans="1:16" x14ac:dyDescent="0.35">
      <c r="A258" s="4">
        <v>44013</v>
      </c>
      <c r="B258" t="s">
        <v>16</v>
      </c>
      <c r="C258" t="s">
        <v>14</v>
      </c>
      <c r="D258">
        <v>1</v>
      </c>
      <c r="E258" s="2">
        <f>(2850*2+2875+2975)/4</f>
        <v>2887.5</v>
      </c>
      <c r="F258" s="2">
        <f t="shared" si="39"/>
        <v>2912.25</v>
      </c>
      <c r="G258" s="3">
        <v>1</v>
      </c>
      <c r="H258">
        <v>3435</v>
      </c>
      <c r="I258">
        <v>748.9</v>
      </c>
      <c r="J258">
        <v>11732</v>
      </c>
      <c r="K258">
        <v>13327</v>
      </c>
      <c r="L258" s="2">
        <v>26.540625000000002</v>
      </c>
      <c r="M258" s="5">
        <v>118.602</v>
      </c>
      <c r="N258" s="1">
        <v>185.84870000000001</v>
      </c>
      <c r="O258" s="2">
        <v>4.2</v>
      </c>
      <c r="P258">
        <v>104</v>
      </c>
    </row>
    <row r="259" spans="1:16" x14ac:dyDescent="0.35">
      <c r="A259" s="4">
        <v>44013</v>
      </c>
      <c r="B259" t="s">
        <v>16</v>
      </c>
      <c r="C259" t="s">
        <v>15</v>
      </c>
      <c r="D259">
        <v>0</v>
      </c>
      <c r="E259" s="2" t="s">
        <v>27</v>
      </c>
      <c r="F259" s="2">
        <f t="shared" si="39"/>
        <v>2912.25</v>
      </c>
      <c r="G259" s="3">
        <v>1</v>
      </c>
      <c r="H259">
        <v>3435</v>
      </c>
      <c r="I259">
        <v>748.9</v>
      </c>
      <c r="J259">
        <v>11732</v>
      </c>
      <c r="K259">
        <v>13327</v>
      </c>
      <c r="L259" s="2">
        <v>26.540625000000002</v>
      </c>
      <c r="M259" s="5">
        <v>118.602</v>
      </c>
      <c r="N259" s="1">
        <v>185.84870000000001</v>
      </c>
      <c r="O259" s="2">
        <v>4.2</v>
      </c>
      <c r="P259">
        <v>104</v>
      </c>
    </row>
    <row r="260" spans="1:16" x14ac:dyDescent="0.35">
      <c r="A260" s="4">
        <v>44013</v>
      </c>
      <c r="B260" t="s">
        <v>17</v>
      </c>
      <c r="C260" t="s">
        <v>10</v>
      </c>
      <c r="D260">
        <v>1</v>
      </c>
      <c r="E260" s="2">
        <f>(2566+2591+2683+2475)/4</f>
        <v>2578.75</v>
      </c>
      <c r="F260" s="2">
        <f t="shared" ref="F260:F265" si="40">(2525.8+2536.2+2518+2519.6)/4</f>
        <v>2524.9</v>
      </c>
      <c r="G260" s="3">
        <v>1</v>
      </c>
      <c r="H260">
        <v>3435</v>
      </c>
      <c r="I260">
        <v>748.9</v>
      </c>
      <c r="J260">
        <v>11732</v>
      </c>
      <c r="K260">
        <v>13327</v>
      </c>
      <c r="L260" s="2">
        <v>26.540625000000002</v>
      </c>
      <c r="M260" s="5">
        <v>118.602</v>
      </c>
      <c r="N260" s="1">
        <v>185.84870000000001</v>
      </c>
      <c r="O260" s="2">
        <v>4.2</v>
      </c>
      <c r="P260">
        <v>104</v>
      </c>
    </row>
    <row r="261" spans="1:16" x14ac:dyDescent="0.35">
      <c r="A261" s="4">
        <v>44013</v>
      </c>
      <c r="B261" t="s">
        <v>17</v>
      </c>
      <c r="C261" t="s">
        <v>11</v>
      </c>
      <c r="D261">
        <v>1</v>
      </c>
      <c r="E261" s="2">
        <v>2675</v>
      </c>
      <c r="F261" s="2">
        <f t="shared" si="40"/>
        <v>2524.9</v>
      </c>
      <c r="G261" s="3">
        <v>1</v>
      </c>
      <c r="H261">
        <v>3435</v>
      </c>
      <c r="I261">
        <v>748.9</v>
      </c>
      <c r="J261">
        <v>11732</v>
      </c>
      <c r="K261">
        <v>13327</v>
      </c>
      <c r="L261" s="2">
        <v>26.540625000000002</v>
      </c>
      <c r="M261" s="5">
        <v>118.602</v>
      </c>
      <c r="N261" s="1">
        <v>185.84870000000001</v>
      </c>
      <c r="O261" s="2">
        <v>4.2</v>
      </c>
      <c r="P261">
        <v>104</v>
      </c>
    </row>
    <row r="262" spans="1:16" x14ac:dyDescent="0.35">
      <c r="A262" s="4">
        <v>44013</v>
      </c>
      <c r="B262" t="s">
        <v>17</v>
      </c>
      <c r="C262" t="s">
        <v>12</v>
      </c>
      <c r="D262">
        <v>1</v>
      </c>
      <c r="E262" s="2">
        <f>(2463+2440*3)/4</f>
        <v>2445.75</v>
      </c>
      <c r="F262" s="2">
        <f t="shared" si="40"/>
        <v>2524.9</v>
      </c>
      <c r="G262" s="3">
        <v>1</v>
      </c>
      <c r="H262">
        <v>3435</v>
      </c>
      <c r="I262">
        <v>748.9</v>
      </c>
      <c r="J262">
        <v>11732</v>
      </c>
      <c r="K262">
        <v>13327</v>
      </c>
      <c r="L262" s="2">
        <v>26.540625000000002</v>
      </c>
      <c r="M262" s="5">
        <v>118.602</v>
      </c>
      <c r="N262" s="1">
        <v>185.84870000000001</v>
      </c>
      <c r="O262" s="2">
        <v>4.2</v>
      </c>
      <c r="P262">
        <v>104</v>
      </c>
    </row>
    <row r="263" spans="1:16" x14ac:dyDescent="0.35">
      <c r="A263" s="4">
        <v>44013</v>
      </c>
      <c r="B263" t="s">
        <v>17</v>
      </c>
      <c r="C263" t="s">
        <v>13</v>
      </c>
      <c r="D263">
        <v>1</v>
      </c>
      <c r="E263" s="2">
        <f>2450</f>
        <v>2450</v>
      </c>
      <c r="F263" s="2">
        <f t="shared" si="40"/>
        <v>2524.9</v>
      </c>
      <c r="G263" s="3">
        <v>1</v>
      </c>
      <c r="H263">
        <v>3435</v>
      </c>
      <c r="I263">
        <v>748.9</v>
      </c>
      <c r="J263">
        <v>11732</v>
      </c>
      <c r="K263">
        <v>13327</v>
      </c>
      <c r="L263" s="2">
        <v>26.540625000000002</v>
      </c>
      <c r="M263" s="5">
        <v>118.602</v>
      </c>
      <c r="N263" s="1">
        <v>185.84870000000001</v>
      </c>
      <c r="O263" s="2">
        <v>4.2</v>
      </c>
      <c r="P263">
        <v>104</v>
      </c>
    </row>
    <row r="264" spans="1:16" x14ac:dyDescent="0.35">
      <c r="A264" s="4">
        <v>44013</v>
      </c>
      <c r="B264" t="s">
        <v>17</v>
      </c>
      <c r="C264" t="s">
        <v>14</v>
      </c>
      <c r="D264">
        <v>1</v>
      </c>
      <c r="E264" s="2">
        <f>(2433+2417+2500+2550)/4</f>
        <v>2475</v>
      </c>
      <c r="F264" s="2">
        <f t="shared" si="40"/>
        <v>2524.9</v>
      </c>
      <c r="G264" s="3">
        <v>1</v>
      </c>
      <c r="H264">
        <v>3435</v>
      </c>
      <c r="I264">
        <v>748.9</v>
      </c>
      <c r="J264">
        <v>11732</v>
      </c>
      <c r="K264">
        <v>13327</v>
      </c>
      <c r="L264" s="2">
        <v>26.540625000000002</v>
      </c>
      <c r="M264" s="5">
        <v>118.602</v>
      </c>
      <c r="N264" s="1">
        <v>185.84870000000001</v>
      </c>
      <c r="O264" s="2">
        <v>4.2</v>
      </c>
      <c r="P264">
        <v>104</v>
      </c>
    </row>
    <row r="265" spans="1:16" x14ac:dyDescent="0.35">
      <c r="A265" s="4">
        <v>44013</v>
      </c>
      <c r="B265" t="s">
        <v>17</v>
      </c>
      <c r="C265" t="s">
        <v>15</v>
      </c>
      <c r="D265">
        <v>0</v>
      </c>
      <c r="E265" s="2" t="s">
        <v>27</v>
      </c>
      <c r="F265" s="2">
        <f t="shared" si="40"/>
        <v>2524.9</v>
      </c>
      <c r="G265" s="3">
        <v>1</v>
      </c>
      <c r="H265">
        <v>3435</v>
      </c>
      <c r="I265">
        <v>748.9</v>
      </c>
      <c r="J265">
        <v>11732</v>
      </c>
      <c r="K265">
        <v>13327</v>
      </c>
      <c r="L265" s="2">
        <v>26.540625000000002</v>
      </c>
      <c r="M265" s="5">
        <v>118.602</v>
      </c>
      <c r="N265" s="1">
        <v>185.84870000000001</v>
      </c>
      <c r="O265" s="2">
        <v>4.2</v>
      </c>
      <c r="P265">
        <v>104</v>
      </c>
    </row>
    <row r="266" spans="1:16" x14ac:dyDescent="0.35">
      <c r="A266" s="4">
        <v>44013</v>
      </c>
      <c r="B266" t="s">
        <v>18</v>
      </c>
      <c r="C266" t="s">
        <v>10</v>
      </c>
      <c r="D266">
        <v>1</v>
      </c>
      <c r="E266" s="2">
        <f>(2225+2416+2316+2466)/4</f>
        <v>2355.75</v>
      </c>
      <c r="F266" s="2">
        <f t="shared" ref="F266:F271" si="41">(2254.29+2248.71+2273+2297.43)/4</f>
        <v>2268.3575000000001</v>
      </c>
      <c r="G266" s="3">
        <v>1</v>
      </c>
      <c r="H266">
        <v>3435</v>
      </c>
      <c r="I266">
        <v>748.9</v>
      </c>
      <c r="J266">
        <v>11732</v>
      </c>
      <c r="K266">
        <v>13327</v>
      </c>
      <c r="L266" s="2">
        <v>26.540625000000002</v>
      </c>
      <c r="M266" s="5">
        <v>118.602</v>
      </c>
      <c r="N266" s="1">
        <v>185.84870000000001</v>
      </c>
      <c r="O266" s="2">
        <v>4.2</v>
      </c>
      <c r="P266">
        <v>104</v>
      </c>
    </row>
    <row r="267" spans="1:16" x14ac:dyDescent="0.35">
      <c r="A267" s="4">
        <v>44013</v>
      </c>
      <c r="B267" t="s">
        <v>18</v>
      </c>
      <c r="C267" t="s">
        <v>11</v>
      </c>
      <c r="D267">
        <v>1</v>
      </c>
      <c r="E267" s="2">
        <f>(2400+2500+2450+2650)/4</f>
        <v>2500</v>
      </c>
      <c r="F267" s="2">
        <f t="shared" si="41"/>
        <v>2268.3575000000001</v>
      </c>
      <c r="G267" s="3">
        <v>1</v>
      </c>
      <c r="H267">
        <v>3435</v>
      </c>
      <c r="I267">
        <v>748.9</v>
      </c>
      <c r="J267">
        <v>11732</v>
      </c>
      <c r="K267">
        <v>13327</v>
      </c>
      <c r="L267" s="2">
        <v>26.540625000000002</v>
      </c>
      <c r="M267" s="5">
        <v>118.602</v>
      </c>
      <c r="N267" s="1">
        <v>185.84870000000001</v>
      </c>
      <c r="O267" s="2">
        <v>4.2</v>
      </c>
      <c r="P267">
        <v>104</v>
      </c>
    </row>
    <row r="268" spans="1:16" x14ac:dyDescent="0.35">
      <c r="A268" s="4">
        <v>44013</v>
      </c>
      <c r="B268" t="s">
        <v>18</v>
      </c>
      <c r="C268" t="s">
        <v>12</v>
      </c>
      <c r="D268">
        <v>1</v>
      </c>
      <c r="E268" s="2">
        <v>2235</v>
      </c>
      <c r="F268" s="2">
        <f t="shared" si="41"/>
        <v>2268.3575000000001</v>
      </c>
      <c r="G268" s="3">
        <v>1</v>
      </c>
      <c r="H268">
        <v>3435</v>
      </c>
      <c r="I268">
        <v>748.9</v>
      </c>
      <c r="J268">
        <v>11732</v>
      </c>
      <c r="K268">
        <v>13327</v>
      </c>
      <c r="L268" s="2">
        <v>26.540625000000002</v>
      </c>
      <c r="M268" s="5">
        <v>118.602</v>
      </c>
      <c r="N268" s="1">
        <v>185.84870000000001</v>
      </c>
      <c r="O268" s="2">
        <v>4.2</v>
      </c>
      <c r="P268">
        <v>104</v>
      </c>
    </row>
    <row r="269" spans="1:16" x14ac:dyDescent="0.35">
      <c r="A269" s="4">
        <v>44013</v>
      </c>
      <c r="B269" t="s">
        <v>18</v>
      </c>
      <c r="C269" t="s">
        <v>13</v>
      </c>
      <c r="D269">
        <v>1</v>
      </c>
      <c r="E269" s="2">
        <f>(2280+2250*2+2325)/4</f>
        <v>2276.25</v>
      </c>
      <c r="F269" s="2">
        <f t="shared" si="41"/>
        <v>2268.3575000000001</v>
      </c>
      <c r="G269" s="3">
        <v>1</v>
      </c>
      <c r="H269">
        <v>3435</v>
      </c>
      <c r="I269">
        <v>748.9</v>
      </c>
      <c r="J269">
        <v>11732</v>
      </c>
      <c r="K269">
        <v>13327</v>
      </c>
      <c r="L269" s="2">
        <v>26.540625000000002</v>
      </c>
      <c r="M269" s="5">
        <v>118.602</v>
      </c>
      <c r="N269" s="1">
        <v>185.84870000000001</v>
      </c>
      <c r="O269" s="2">
        <v>4.2</v>
      </c>
      <c r="P269">
        <v>104</v>
      </c>
    </row>
    <row r="270" spans="1:16" x14ac:dyDescent="0.35">
      <c r="A270" s="4">
        <v>44013</v>
      </c>
      <c r="B270" t="s">
        <v>18</v>
      </c>
      <c r="C270" t="s">
        <v>14</v>
      </c>
      <c r="D270">
        <v>1</v>
      </c>
      <c r="E270" s="2">
        <f>(2270+2290+2310+2296)/4</f>
        <v>2291.5</v>
      </c>
      <c r="F270" s="2">
        <f t="shared" si="41"/>
        <v>2268.3575000000001</v>
      </c>
      <c r="G270" s="3">
        <v>1</v>
      </c>
      <c r="H270">
        <v>3435</v>
      </c>
      <c r="I270">
        <v>748.9</v>
      </c>
      <c r="J270">
        <v>11732</v>
      </c>
      <c r="K270">
        <v>13327</v>
      </c>
      <c r="L270" s="2">
        <v>26.540625000000002</v>
      </c>
      <c r="M270" s="5">
        <v>118.602</v>
      </c>
      <c r="N270" s="1">
        <v>185.84870000000001</v>
      </c>
      <c r="O270" s="2">
        <v>4.2</v>
      </c>
      <c r="P270">
        <v>104</v>
      </c>
    </row>
    <row r="271" spans="1:16" x14ac:dyDescent="0.35">
      <c r="A271" s="4">
        <v>44013</v>
      </c>
      <c r="B271" t="s">
        <v>18</v>
      </c>
      <c r="C271" t="s">
        <v>15</v>
      </c>
      <c r="D271">
        <v>1</v>
      </c>
      <c r="E271" s="2">
        <v>2300</v>
      </c>
      <c r="F271" s="2">
        <f t="shared" si="41"/>
        <v>2268.3575000000001</v>
      </c>
      <c r="G271" s="3">
        <v>1</v>
      </c>
      <c r="H271">
        <v>3435</v>
      </c>
      <c r="I271">
        <v>748.9</v>
      </c>
      <c r="J271">
        <v>11732</v>
      </c>
      <c r="K271">
        <v>13327</v>
      </c>
      <c r="L271" s="2">
        <v>26.540625000000002</v>
      </c>
      <c r="M271" s="5">
        <v>118.602</v>
      </c>
      <c r="N271" s="1">
        <v>185.84870000000001</v>
      </c>
      <c r="O271" s="2">
        <v>4.2</v>
      </c>
      <c r="P271">
        <v>104</v>
      </c>
    </row>
    <row r="272" spans="1:16" x14ac:dyDescent="0.35">
      <c r="A272" s="4">
        <v>44013</v>
      </c>
      <c r="B272" t="s">
        <v>19</v>
      </c>
      <c r="C272" t="s">
        <v>10</v>
      </c>
      <c r="D272">
        <v>1</v>
      </c>
      <c r="E272" s="2">
        <f>(2233+2216+2216+2150)/4</f>
        <v>2203.75</v>
      </c>
      <c r="F272" s="2">
        <f t="shared" ref="F272:F277" si="42">(2118.43+2115.57+2065.71+2064.29)/4</f>
        <v>2091</v>
      </c>
      <c r="G272" s="3">
        <v>1</v>
      </c>
      <c r="H272">
        <v>3435</v>
      </c>
      <c r="I272">
        <v>748.9</v>
      </c>
      <c r="J272">
        <v>11732</v>
      </c>
      <c r="K272">
        <v>13327</v>
      </c>
      <c r="L272" s="2">
        <v>26.540625000000002</v>
      </c>
      <c r="M272" s="5">
        <v>118.602</v>
      </c>
      <c r="N272" s="1">
        <v>185.84870000000001</v>
      </c>
      <c r="O272" s="2">
        <v>4.2</v>
      </c>
      <c r="P272">
        <v>104</v>
      </c>
    </row>
    <row r="273" spans="1:16" x14ac:dyDescent="0.35">
      <c r="A273" s="4">
        <v>44013</v>
      </c>
      <c r="B273" t="s">
        <v>19</v>
      </c>
      <c r="C273" t="s">
        <v>11</v>
      </c>
      <c r="D273">
        <v>1</v>
      </c>
      <c r="E273" s="2">
        <f>(2250+2300*3)/4</f>
        <v>2287.5</v>
      </c>
      <c r="F273" s="2">
        <f t="shared" si="42"/>
        <v>2091</v>
      </c>
      <c r="G273" s="3">
        <v>1</v>
      </c>
      <c r="H273">
        <v>3435</v>
      </c>
      <c r="I273">
        <v>748.9</v>
      </c>
      <c r="J273">
        <v>11732</v>
      </c>
      <c r="K273">
        <v>13327</v>
      </c>
      <c r="L273" s="2">
        <v>26.540625000000002</v>
      </c>
      <c r="M273" s="5">
        <v>118.602</v>
      </c>
      <c r="N273" s="1">
        <v>185.84870000000001</v>
      </c>
      <c r="O273" s="2">
        <v>4.2</v>
      </c>
      <c r="P273">
        <v>104</v>
      </c>
    </row>
    <row r="274" spans="1:16" x14ac:dyDescent="0.35">
      <c r="A274" s="4">
        <v>44013</v>
      </c>
      <c r="B274" t="s">
        <v>19</v>
      </c>
      <c r="C274" t="s">
        <v>12</v>
      </c>
      <c r="D274">
        <v>1</v>
      </c>
      <c r="E274" s="2">
        <f>(1980*2+1983+1993)/4</f>
        <v>1984</v>
      </c>
      <c r="F274" s="2">
        <f t="shared" si="42"/>
        <v>2091</v>
      </c>
      <c r="G274" s="3">
        <v>1</v>
      </c>
      <c r="H274">
        <v>3435</v>
      </c>
      <c r="I274">
        <v>748.9</v>
      </c>
      <c r="J274">
        <v>11732</v>
      </c>
      <c r="K274">
        <v>13327</v>
      </c>
      <c r="L274" s="2">
        <v>26.540625000000002</v>
      </c>
      <c r="M274" s="5">
        <v>118.602</v>
      </c>
      <c r="N274" s="1">
        <v>185.84870000000001</v>
      </c>
      <c r="O274" s="2">
        <v>4.2</v>
      </c>
      <c r="P274">
        <v>104</v>
      </c>
    </row>
    <row r="275" spans="1:16" x14ac:dyDescent="0.35">
      <c r="A275" s="4">
        <v>44013</v>
      </c>
      <c r="B275" t="s">
        <v>19</v>
      </c>
      <c r="C275" t="s">
        <v>13</v>
      </c>
      <c r="D275">
        <v>1</v>
      </c>
      <c r="E275" s="2">
        <v>2220</v>
      </c>
      <c r="F275" s="2">
        <f t="shared" si="42"/>
        <v>2091</v>
      </c>
      <c r="G275" s="3">
        <v>1</v>
      </c>
      <c r="H275">
        <v>3435</v>
      </c>
      <c r="I275">
        <v>748.9</v>
      </c>
      <c r="J275">
        <v>11732</v>
      </c>
      <c r="K275">
        <v>13327</v>
      </c>
      <c r="L275" s="2">
        <v>26.540625000000002</v>
      </c>
      <c r="M275" s="5">
        <v>118.602</v>
      </c>
      <c r="N275" s="1">
        <v>185.84870000000001</v>
      </c>
      <c r="O275" s="2">
        <v>4.2</v>
      </c>
      <c r="P275">
        <v>104</v>
      </c>
    </row>
    <row r="276" spans="1:16" x14ac:dyDescent="0.35">
      <c r="A276" s="4">
        <v>44013</v>
      </c>
      <c r="B276" t="s">
        <v>19</v>
      </c>
      <c r="C276" t="s">
        <v>14</v>
      </c>
      <c r="D276">
        <v>1</v>
      </c>
      <c r="E276" s="2">
        <f>(2236+2243+2216+2207)/4</f>
        <v>2225.5</v>
      </c>
      <c r="F276" s="2">
        <f t="shared" si="42"/>
        <v>2091</v>
      </c>
      <c r="G276" s="3">
        <v>1</v>
      </c>
      <c r="H276">
        <v>3435</v>
      </c>
      <c r="I276">
        <v>748.9</v>
      </c>
      <c r="J276">
        <v>11732</v>
      </c>
      <c r="K276">
        <v>13327</v>
      </c>
      <c r="L276" s="2">
        <v>26.540625000000002</v>
      </c>
      <c r="M276" s="5">
        <v>118.602</v>
      </c>
      <c r="N276" s="1">
        <v>185.84870000000001</v>
      </c>
      <c r="O276" s="2">
        <v>4.2</v>
      </c>
      <c r="P276">
        <v>104</v>
      </c>
    </row>
    <row r="277" spans="1:16" x14ac:dyDescent="0.35">
      <c r="A277" s="4">
        <v>44013</v>
      </c>
      <c r="B277" t="s">
        <v>19</v>
      </c>
      <c r="C277" t="s">
        <v>15</v>
      </c>
      <c r="D277">
        <v>1</v>
      </c>
      <c r="E277" s="2">
        <v>2225</v>
      </c>
      <c r="F277" s="2">
        <f t="shared" si="42"/>
        <v>2091</v>
      </c>
      <c r="G277" s="3">
        <v>1</v>
      </c>
      <c r="H277">
        <v>3435</v>
      </c>
      <c r="I277">
        <v>748.9</v>
      </c>
      <c r="J277">
        <v>11732</v>
      </c>
      <c r="K277">
        <v>13327</v>
      </c>
      <c r="L277" s="2">
        <v>26.540625000000002</v>
      </c>
      <c r="M277" s="5">
        <v>118.602</v>
      </c>
      <c r="N277" s="1">
        <v>185.84870000000001</v>
      </c>
      <c r="O277" s="2">
        <v>4.2</v>
      </c>
      <c r="P277">
        <v>104</v>
      </c>
    </row>
    <row r="278" spans="1:16" x14ac:dyDescent="0.35">
      <c r="A278" s="4">
        <v>44013</v>
      </c>
      <c r="B278" t="s">
        <v>20</v>
      </c>
      <c r="C278" t="s">
        <v>10</v>
      </c>
      <c r="D278">
        <v>1</v>
      </c>
      <c r="E278" s="2">
        <f>(1950+1916+1816+1866)/4</f>
        <v>1887</v>
      </c>
      <c r="F278" s="2">
        <f t="shared" ref="F278:F283" si="43">(1951.67+1937.83+2003+1997)/4</f>
        <v>1972.375</v>
      </c>
      <c r="G278" s="3">
        <v>1</v>
      </c>
      <c r="H278">
        <v>3435</v>
      </c>
      <c r="I278">
        <v>748.9</v>
      </c>
      <c r="J278">
        <v>11732</v>
      </c>
      <c r="K278">
        <v>13327</v>
      </c>
      <c r="L278" s="2">
        <v>26.540625000000002</v>
      </c>
      <c r="M278" s="5">
        <v>118.602</v>
      </c>
      <c r="N278" s="1">
        <v>185.84870000000001</v>
      </c>
      <c r="O278" s="2">
        <v>4.2</v>
      </c>
      <c r="P278">
        <v>104</v>
      </c>
    </row>
    <row r="279" spans="1:16" x14ac:dyDescent="0.35">
      <c r="A279" s="4">
        <v>44013</v>
      </c>
      <c r="B279" t="s">
        <v>20</v>
      </c>
      <c r="C279" t="s">
        <v>11</v>
      </c>
      <c r="D279">
        <v>1</v>
      </c>
      <c r="E279" s="2">
        <f>(2000*2+2150+2250)/4</f>
        <v>2100</v>
      </c>
      <c r="F279" s="2">
        <f t="shared" si="43"/>
        <v>1972.375</v>
      </c>
      <c r="G279" s="3">
        <v>1</v>
      </c>
      <c r="H279">
        <v>3435</v>
      </c>
      <c r="I279">
        <v>748.9</v>
      </c>
      <c r="J279">
        <v>11732</v>
      </c>
      <c r="K279">
        <v>13327</v>
      </c>
      <c r="L279" s="2">
        <v>26.540625000000002</v>
      </c>
      <c r="M279" s="5">
        <v>118.602</v>
      </c>
      <c r="N279" s="1">
        <v>185.84870000000001</v>
      </c>
      <c r="O279" s="2">
        <v>4.2</v>
      </c>
      <c r="P279">
        <v>104</v>
      </c>
    </row>
    <row r="280" spans="1:16" x14ac:dyDescent="0.35">
      <c r="A280" s="4">
        <v>44013</v>
      </c>
      <c r="B280" t="s">
        <v>20</v>
      </c>
      <c r="C280" t="s">
        <v>12</v>
      </c>
      <c r="D280">
        <v>1</v>
      </c>
      <c r="E280" s="2">
        <f>(1530*2+1545+1543)/4</f>
        <v>1537</v>
      </c>
      <c r="F280" s="2">
        <f t="shared" si="43"/>
        <v>1972.375</v>
      </c>
      <c r="G280" s="3">
        <v>1</v>
      </c>
      <c r="H280">
        <v>3435</v>
      </c>
      <c r="I280">
        <v>748.9</v>
      </c>
      <c r="J280">
        <v>11732</v>
      </c>
      <c r="K280">
        <v>13327</v>
      </c>
      <c r="L280" s="2">
        <v>26.540625000000002</v>
      </c>
      <c r="M280" s="5">
        <v>118.602</v>
      </c>
      <c r="N280" s="1">
        <v>185.84870000000001</v>
      </c>
      <c r="O280" s="2">
        <v>4.2</v>
      </c>
      <c r="P280">
        <v>104</v>
      </c>
    </row>
    <row r="281" spans="1:16" x14ac:dyDescent="0.35">
      <c r="A281" s="4">
        <v>44013</v>
      </c>
      <c r="B281" t="s">
        <v>20</v>
      </c>
      <c r="C281" t="s">
        <v>13</v>
      </c>
      <c r="D281">
        <v>1</v>
      </c>
      <c r="E281" s="2">
        <f>(2050*2+2075+2125)/4</f>
        <v>2075</v>
      </c>
      <c r="F281" s="2">
        <f t="shared" si="43"/>
        <v>1972.375</v>
      </c>
      <c r="G281" s="3">
        <v>1</v>
      </c>
      <c r="H281">
        <v>3435</v>
      </c>
      <c r="I281">
        <v>748.9</v>
      </c>
      <c r="J281">
        <v>11732</v>
      </c>
      <c r="K281">
        <v>13327</v>
      </c>
      <c r="L281" s="2">
        <v>26.540625000000002</v>
      </c>
      <c r="M281" s="5">
        <v>118.602</v>
      </c>
      <c r="N281" s="1">
        <v>185.84870000000001</v>
      </c>
      <c r="O281" s="2">
        <v>4.2</v>
      </c>
      <c r="P281">
        <v>104</v>
      </c>
    </row>
    <row r="282" spans="1:16" x14ac:dyDescent="0.35">
      <c r="A282" s="4">
        <v>44013</v>
      </c>
      <c r="B282" t="s">
        <v>20</v>
      </c>
      <c r="C282" t="s">
        <v>14</v>
      </c>
      <c r="D282">
        <v>1</v>
      </c>
      <c r="E282" s="2">
        <f>(2080+2116+2132+2158)/4</f>
        <v>2121.5</v>
      </c>
      <c r="F282" s="2">
        <f t="shared" si="43"/>
        <v>1972.375</v>
      </c>
      <c r="G282" s="3">
        <v>1</v>
      </c>
      <c r="H282">
        <v>3435</v>
      </c>
      <c r="I282">
        <v>748.9</v>
      </c>
      <c r="J282">
        <v>11732</v>
      </c>
      <c r="K282">
        <v>13327</v>
      </c>
      <c r="L282" s="2">
        <v>26.540625000000002</v>
      </c>
      <c r="M282" s="5">
        <v>118.602</v>
      </c>
      <c r="N282" s="1">
        <v>185.84870000000001</v>
      </c>
      <c r="O282" s="2">
        <v>4.2</v>
      </c>
      <c r="P282">
        <v>104</v>
      </c>
    </row>
    <row r="283" spans="1:16" x14ac:dyDescent="0.35">
      <c r="A283" s="4">
        <v>44013</v>
      </c>
      <c r="B283" t="s">
        <v>20</v>
      </c>
      <c r="C283" t="s">
        <v>15</v>
      </c>
      <c r="D283">
        <v>1</v>
      </c>
      <c r="E283" s="2">
        <f>(2140+2125+2115+2075)/4</f>
        <v>2113.75</v>
      </c>
      <c r="F283" s="2">
        <f t="shared" si="43"/>
        <v>1972.375</v>
      </c>
      <c r="G283" s="3">
        <v>1</v>
      </c>
      <c r="H283">
        <v>3435</v>
      </c>
      <c r="I283">
        <v>748.9</v>
      </c>
      <c r="J283">
        <v>11732</v>
      </c>
      <c r="K283">
        <v>13327</v>
      </c>
      <c r="L283" s="2">
        <v>26.540625000000002</v>
      </c>
      <c r="M283" s="5">
        <v>118.602</v>
      </c>
      <c r="N283" s="1">
        <v>185.84870000000001</v>
      </c>
      <c r="O283" s="2">
        <v>4.2</v>
      </c>
      <c r="P283">
        <v>104</v>
      </c>
    </row>
    <row r="284" spans="1:16" x14ac:dyDescent="0.35">
      <c r="A284" s="4">
        <v>44013</v>
      </c>
      <c r="B284" t="s">
        <v>21</v>
      </c>
      <c r="C284" t="s">
        <v>10</v>
      </c>
      <c r="D284">
        <v>1</v>
      </c>
      <c r="E284" s="2">
        <f>(1466+1400+1333+1250)/4</f>
        <v>1362.25</v>
      </c>
      <c r="F284" s="2">
        <f t="shared" ref="F284:F289" si="44">(1838.17+1874.5+1796.33+1769)/4</f>
        <v>1819.5</v>
      </c>
      <c r="G284" s="3">
        <v>1</v>
      </c>
      <c r="H284">
        <v>3435</v>
      </c>
      <c r="I284">
        <v>748.9</v>
      </c>
      <c r="J284">
        <v>11732</v>
      </c>
      <c r="K284">
        <v>13327</v>
      </c>
      <c r="L284" s="2">
        <v>26.540625000000002</v>
      </c>
      <c r="M284" s="5">
        <v>118.602</v>
      </c>
      <c r="N284" s="1">
        <v>185.84870000000001</v>
      </c>
      <c r="O284" s="2">
        <v>4.2</v>
      </c>
      <c r="P284">
        <v>104</v>
      </c>
    </row>
    <row r="285" spans="1:16" x14ac:dyDescent="0.35">
      <c r="A285" s="4">
        <v>44013</v>
      </c>
      <c r="B285" t="s">
        <v>21</v>
      </c>
      <c r="C285" t="s">
        <v>11</v>
      </c>
      <c r="D285">
        <v>1</v>
      </c>
      <c r="E285" s="2">
        <v>2025</v>
      </c>
      <c r="F285" s="2">
        <f t="shared" si="44"/>
        <v>1819.5</v>
      </c>
      <c r="G285" s="3">
        <v>1</v>
      </c>
      <c r="H285">
        <v>3435</v>
      </c>
      <c r="I285">
        <v>748.9</v>
      </c>
      <c r="J285">
        <v>11732</v>
      </c>
      <c r="K285">
        <v>13327</v>
      </c>
      <c r="L285" s="2">
        <v>26.540625000000002</v>
      </c>
      <c r="M285" s="5">
        <v>118.602</v>
      </c>
      <c r="N285" s="1">
        <v>185.84870000000001</v>
      </c>
      <c r="O285" s="2">
        <v>4.2</v>
      </c>
      <c r="P285">
        <v>104</v>
      </c>
    </row>
    <row r="286" spans="1:16" x14ac:dyDescent="0.35">
      <c r="A286" s="4">
        <v>44013</v>
      </c>
      <c r="B286" t="s">
        <v>21</v>
      </c>
      <c r="C286" t="s">
        <v>12</v>
      </c>
      <c r="D286">
        <v>1</v>
      </c>
      <c r="E286" s="2">
        <v>1435</v>
      </c>
      <c r="F286" s="2">
        <f t="shared" si="44"/>
        <v>1819.5</v>
      </c>
      <c r="G286" s="3">
        <v>1</v>
      </c>
      <c r="H286">
        <v>3435</v>
      </c>
      <c r="I286">
        <v>748.9</v>
      </c>
      <c r="J286">
        <v>11732</v>
      </c>
      <c r="K286">
        <v>13327</v>
      </c>
      <c r="L286" s="2">
        <v>26.540625000000002</v>
      </c>
      <c r="M286" s="5">
        <v>118.602</v>
      </c>
      <c r="N286" s="1">
        <v>185.84870000000001</v>
      </c>
      <c r="O286" s="2">
        <v>4.2</v>
      </c>
      <c r="P286">
        <v>104</v>
      </c>
    </row>
    <row r="287" spans="1:16" x14ac:dyDescent="0.35">
      <c r="A287" s="4">
        <v>44013</v>
      </c>
      <c r="B287" t="s">
        <v>21</v>
      </c>
      <c r="C287" t="s">
        <v>13</v>
      </c>
      <c r="D287">
        <v>1</v>
      </c>
      <c r="E287" s="2">
        <f>(1925+2080+1950*2)/4</f>
        <v>1976.25</v>
      </c>
      <c r="F287" s="2">
        <f t="shared" si="44"/>
        <v>1819.5</v>
      </c>
      <c r="G287" s="3">
        <v>1</v>
      </c>
      <c r="H287">
        <v>3435</v>
      </c>
      <c r="I287">
        <v>748.9</v>
      </c>
      <c r="J287">
        <v>11732</v>
      </c>
      <c r="K287">
        <v>13327</v>
      </c>
      <c r="L287" s="2">
        <v>26.540625000000002</v>
      </c>
      <c r="M287" s="5">
        <v>118.602</v>
      </c>
      <c r="N287" s="1">
        <v>185.84870000000001</v>
      </c>
      <c r="O287" s="2">
        <v>4.2</v>
      </c>
      <c r="P287">
        <v>104</v>
      </c>
    </row>
    <row r="288" spans="1:16" x14ac:dyDescent="0.35">
      <c r="A288" s="4">
        <v>44013</v>
      </c>
      <c r="B288" t="s">
        <v>21</v>
      </c>
      <c r="C288" t="s">
        <v>14</v>
      </c>
      <c r="D288">
        <v>1</v>
      </c>
      <c r="E288" s="2">
        <f>(2091+2069+2060+2031)/4</f>
        <v>2062.75</v>
      </c>
      <c r="F288" s="2">
        <f t="shared" si="44"/>
        <v>1819.5</v>
      </c>
      <c r="G288" s="3">
        <v>1</v>
      </c>
      <c r="H288">
        <v>3435</v>
      </c>
      <c r="I288">
        <v>748.9</v>
      </c>
      <c r="J288">
        <v>11732</v>
      </c>
      <c r="K288">
        <v>13327</v>
      </c>
      <c r="L288" s="2">
        <v>26.540625000000002</v>
      </c>
      <c r="M288" s="5">
        <v>118.602</v>
      </c>
      <c r="N288" s="1">
        <v>185.84870000000001</v>
      </c>
      <c r="O288" s="2">
        <v>4.2</v>
      </c>
      <c r="P288">
        <v>104</v>
      </c>
    </row>
    <row r="289" spans="1:16" x14ac:dyDescent="0.35">
      <c r="A289" s="4">
        <v>44013</v>
      </c>
      <c r="B289" t="s">
        <v>21</v>
      </c>
      <c r="C289" t="s">
        <v>15</v>
      </c>
      <c r="D289">
        <v>1</v>
      </c>
      <c r="E289" s="2">
        <v>2050</v>
      </c>
      <c r="F289" s="2">
        <f t="shared" si="44"/>
        <v>1819.5</v>
      </c>
      <c r="G289" s="3">
        <v>1</v>
      </c>
      <c r="H289">
        <v>3435</v>
      </c>
      <c r="I289">
        <v>748.9</v>
      </c>
      <c r="J289">
        <v>11732</v>
      </c>
      <c r="K289">
        <v>13327</v>
      </c>
      <c r="L289" s="2">
        <v>26.540625000000002</v>
      </c>
      <c r="M289" s="5">
        <v>118.602</v>
      </c>
      <c r="N289" s="1">
        <v>185.84870000000001</v>
      </c>
      <c r="O289" s="2">
        <v>4.2</v>
      </c>
      <c r="P289">
        <v>104</v>
      </c>
    </row>
    <row r="290" spans="1:16" x14ac:dyDescent="0.35">
      <c r="A290" s="4">
        <v>44013</v>
      </c>
      <c r="B290" t="s">
        <v>22</v>
      </c>
      <c r="C290" t="s">
        <v>10</v>
      </c>
      <c r="D290">
        <v>0</v>
      </c>
      <c r="E290" s="2" t="s">
        <v>27</v>
      </c>
      <c r="F290" s="2">
        <f t="shared" ref="F290:F295" si="45">(1680+1660+1810+1820)/4</f>
        <v>1742.5</v>
      </c>
      <c r="G290" s="3">
        <v>1</v>
      </c>
      <c r="H290">
        <v>3435</v>
      </c>
      <c r="I290">
        <v>748.9</v>
      </c>
      <c r="J290">
        <v>11732</v>
      </c>
      <c r="K290">
        <v>13327</v>
      </c>
      <c r="L290" s="2">
        <v>26.540625000000002</v>
      </c>
      <c r="M290" s="5">
        <v>118.602</v>
      </c>
      <c r="N290" s="1">
        <v>185.84870000000001</v>
      </c>
      <c r="O290" s="2">
        <v>4.2</v>
      </c>
      <c r="P290">
        <v>104</v>
      </c>
    </row>
    <row r="291" spans="1:16" x14ac:dyDescent="0.35">
      <c r="A291" s="4">
        <v>44013</v>
      </c>
      <c r="B291" t="s">
        <v>22</v>
      </c>
      <c r="C291" t="s">
        <v>11</v>
      </c>
      <c r="D291">
        <v>0</v>
      </c>
      <c r="E291" s="2" t="s">
        <v>27</v>
      </c>
      <c r="F291" s="2">
        <f t="shared" si="45"/>
        <v>1742.5</v>
      </c>
      <c r="G291" s="3">
        <v>1</v>
      </c>
      <c r="H291">
        <v>3435</v>
      </c>
      <c r="I291">
        <v>748.9</v>
      </c>
      <c r="J291">
        <v>11732</v>
      </c>
      <c r="K291">
        <v>13327</v>
      </c>
      <c r="L291" s="2">
        <v>26.540625000000002</v>
      </c>
      <c r="M291" s="5">
        <v>118.602</v>
      </c>
      <c r="N291" s="1">
        <v>185.84870000000001</v>
      </c>
      <c r="O291" s="2">
        <v>4.2</v>
      </c>
      <c r="P291">
        <v>104</v>
      </c>
    </row>
    <row r="292" spans="1:16" x14ac:dyDescent="0.35">
      <c r="A292" s="4">
        <v>44013</v>
      </c>
      <c r="B292" t="s">
        <v>22</v>
      </c>
      <c r="C292" t="s">
        <v>12</v>
      </c>
      <c r="D292">
        <v>0</v>
      </c>
      <c r="E292" s="2" t="s">
        <v>27</v>
      </c>
      <c r="F292" s="2">
        <f t="shared" si="45"/>
        <v>1742.5</v>
      </c>
      <c r="G292" s="3">
        <v>1</v>
      </c>
      <c r="H292">
        <v>3435</v>
      </c>
      <c r="I292">
        <v>748.9</v>
      </c>
      <c r="J292">
        <v>11732</v>
      </c>
      <c r="K292">
        <v>13327</v>
      </c>
      <c r="L292" s="2">
        <v>26.540625000000002</v>
      </c>
      <c r="M292" s="5">
        <v>118.602</v>
      </c>
      <c r="N292" s="1">
        <v>185.84870000000001</v>
      </c>
      <c r="O292" s="2">
        <v>4.2</v>
      </c>
      <c r="P292">
        <v>104</v>
      </c>
    </row>
    <row r="293" spans="1:16" x14ac:dyDescent="0.35">
      <c r="A293" s="4">
        <v>44013</v>
      </c>
      <c r="B293" t="s">
        <v>22</v>
      </c>
      <c r="C293" t="s">
        <v>13</v>
      </c>
      <c r="D293">
        <v>0</v>
      </c>
      <c r="E293" s="2" t="s">
        <v>27</v>
      </c>
      <c r="F293" s="2">
        <f t="shared" si="45"/>
        <v>1742.5</v>
      </c>
      <c r="G293" s="3">
        <v>1</v>
      </c>
      <c r="H293">
        <v>3435</v>
      </c>
      <c r="I293">
        <v>748.9</v>
      </c>
      <c r="J293">
        <v>11732</v>
      </c>
      <c r="K293">
        <v>13327</v>
      </c>
      <c r="L293" s="2">
        <v>26.540625000000002</v>
      </c>
      <c r="M293" s="5">
        <v>118.602</v>
      </c>
      <c r="N293" s="1">
        <v>185.84870000000001</v>
      </c>
      <c r="O293" s="2">
        <v>4.2</v>
      </c>
      <c r="P293">
        <v>104</v>
      </c>
    </row>
    <row r="294" spans="1:16" x14ac:dyDescent="0.35">
      <c r="A294" s="4">
        <v>44013</v>
      </c>
      <c r="B294" t="s">
        <v>22</v>
      </c>
      <c r="C294" t="s">
        <v>14</v>
      </c>
      <c r="D294">
        <v>1</v>
      </c>
      <c r="E294" s="2">
        <f>(1680+1660+1810+1820)/4</f>
        <v>1742.5</v>
      </c>
      <c r="F294" s="2">
        <f t="shared" si="45"/>
        <v>1742.5</v>
      </c>
      <c r="G294" s="3">
        <v>1</v>
      </c>
      <c r="H294">
        <v>3435</v>
      </c>
      <c r="I294">
        <v>748.9</v>
      </c>
      <c r="J294">
        <v>11732</v>
      </c>
      <c r="K294">
        <v>13327</v>
      </c>
      <c r="L294" s="2">
        <v>26.540625000000002</v>
      </c>
      <c r="M294" s="5">
        <v>118.602</v>
      </c>
      <c r="N294" s="1">
        <v>185.84870000000001</v>
      </c>
      <c r="O294" s="2">
        <v>4.2</v>
      </c>
      <c r="P294">
        <v>104</v>
      </c>
    </row>
    <row r="295" spans="1:16" x14ac:dyDescent="0.35">
      <c r="A295" s="4">
        <v>44013</v>
      </c>
      <c r="B295" t="s">
        <v>22</v>
      </c>
      <c r="C295" t="s">
        <v>15</v>
      </c>
      <c r="D295">
        <v>0</v>
      </c>
      <c r="E295" s="2" t="s">
        <v>27</v>
      </c>
      <c r="F295" s="2">
        <f t="shared" si="45"/>
        <v>1742.5</v>
      </c>
      <c r="G295" s="3">
        <v>1</v>
      </c>
      <c r="H295">
        <v>3435</v>
      </c>
      <c r="I295">
        <v>748.9</v>
      </c>
      <c r="J295">
        <v>11732</v>
      </c>
      <c r="K295">
        <v>13327</v>
      </c>
      <c r="L295" s="2">
        <v>26.540625000000002</v>
      </c>
      <c r="M295" s="5">
        <v>118.602</v>
      </c>
      <c r="N295" s="1">
        <v>185.84870000000001</v>
      </c>
      <c r="O295" s="2">
        <v>4.2</v>
      </c>
      <c r="P295">
        <v>104</v>
      </c>
    </row>
    <row r="296" spans="1:16" x14ac:dyDescent="0.35">
      <c r="A296" s="4">
        <v>44044</v>
      </c>
      <c r="B296" t="s">
        <v>16</v>
      </c>
      <c r="C296" t="s">
        <v>10</v>
      </c>
      <c r="D296">
        <v>1</v>
      </c>
      <c r="E296" s="2">
        <f>(2750+2016+2780+2866+2883)/5</f>
        <v>2659</v>
      </c>
      <c r="F296" s="2">
        <f t="shared" ref="F296:F301" si="46">(2871.67+2936+2843+2679.75+2863.25)/5</f>
        <v>2838.7339999999999</v>
      </c>
      <c r="G296" s="3">
        <v>1</v>
      </c>
      <c r="H296">
        <v>2290</v>
      </c>
      <c r="I296">
        <v>2808.3</v>
      </c>
      <c r="J296">
        <v>15340</v>
      </c>
      <c r="K296">
        <v>13327</v>
      </c>
      <c r="L296" s="2">
        <v>26.786875000000002</v>
      </c>
      <c r="M296" s="5">
        <v>85.959499999999991</v>
      </c>
      <c r="N296" s="1">
        <v>184.8939</v>
      </c>
      <c r="O296" s="2">
        <v>4.0999999999999996</v>
      </c>
      <c r="P296">
        <v>104</v>
      </c>
    </row>
    <row r="297" spans="1:16" x14ac:dyDescent="0.35">
      <c r="A297" s="4">
        <v>44044</v>
      </c>
      <c r="B297" t="s">
        <v>16</v>
      </c>
      <c r="C297" t="s">
        <v>11</v>
      </c>
      <c r="D297">
        <v>0</v>
      </c>
      <c r="E297" s="2" t="s">
        <v>27</v>
      </c>
      <c r="F297" s="2">
        <f t="shared" si="46"/>
        <v>2838.7339999999999</v>
      </c>
      <c r="G297" s="3">
        <v>1</v>
      </c>
      <c r="H297">
        <v>2290</v>
      </c>
      <c r="I297">
        <v>2808.3</v>
      </c>
      <c r="J297">
        <v>15340</v>
      </c>
      <c r="K297">
        <v>13327</v>
      </c>
      <c r="L297" s="2">
        <v>26.786875000000002</v>
      </c>
      <c r="M297" s="5">
        <v>85.959499999999991</v>
      </c>
      <c r="N297" s="1">
        <v>184.8939</v>
      </c>
      <c r="O297" s="2">
        <v>4.0999999999999996</v>
      </c>
      <c r="P297">
        <v>104</v>
      </c>
    </row>
    <row r="298" spans="1:16" x14ac:dyDescent="0.35">
      <c r="A298" s="4">
        <v>44044</v>
      </c>
      <c r="B298" t="s">
        <v>16</v>
      </c>
      <c r="C298" t="s">
        <v>12</v>
      </c>
      <c r="D298">
        <v>1</v>
      </c>
      <c r="E298" s="2">
        <v>2865</v>
      </c>
      <c r="F298" s="2">
        <f t="shared" si="46"/>
        <v>2838.7339999999999</v>
      </c>
      <c r="G298" s="3">
        <v>1</v>
      </c>
      <c r="H298">
        <v>2290</v>
      </c>
      <c r="I298">
        <v>2808.3</v>
      </c>
      <c r="J298">
        <v>15340</v>
      </c>
      <c r="K298">
        <v>13327</v>
      </c>
      <c r="L298" s="2">
        <v>26.786875000000002</v>
      </c>
      <c r="M298" s="5">
        <v>85.959499999999991</v>
      </c>
      <c r="N298" s="1">
        <v>184.8939</v>
      </c>
      <c r="O298" s="2">
        <v>4.0999999999999996</v>
      </c>
      <c r="P298">
        <v>104</v>
      </c>
    </row>
    <row r="299" spans="1:16" x14ac:dyDescent="0.35">
      <c r="A299" s="4">
        <v>44044</v>
      </c>
      <c r="B299" t="s">
        <v>16</v>
      </c>
      <c r="C299" t="s">
        <v>13</v>
      </c>
      <c r="D299">
        <v>1</v>
      </c>
      <c r="E299" s="2">
        <v>3037.5</v>
      </c>
      <c r="F299" s="2">
        <f t="shared" si="46"/>
        <v>2838.7339999999999</v>
      </c>
      <c r="G299" s="3">
        <v>1</v>
      </c>
      <c r="H299">
        <v>2290</v>
      </c>
      <c r="I299">
        <v>2808.3</v>
      </c>
      <c r="J299">
        <v>15340</v>
      </c>
      <c r="K299">
        <v>13327</v>
      </c>
      <c r="L299" s="2">
        <v>26.786875000000002</v>
      </c>
      <c r="M299" s="5">
        <v>85.959499999999991</v>
      </c>
      <c r="N299" s="1">
        <v>184.8939</v>
      </c>
      <c r="O299" s="2">
        <v>4.0999999999999996</v>
      </c>
      <c r="P299">
        <v>104</v>
      </c>
    </row>
    <row r="300" spans="1:16" x14ac:dyDescent="0.35">
      <c r="A300" s="4">
        <v>44044</v>
      </c>
      <c r="B300" t="s">
        <v>16</v>
      </c>
      <c r="C300" t="s">
        <v>14</v>
      </c>
      <c r="D300">
        <v>1</v>
      </c>
      <c r="E300" s="2">
        <f>(2838+2838+2725+2863+2867)/5</f>
        <v>2826.2</v>
      </c>
      <c r="F300" s="2">
        <f t="shared" si="46"/>
        <v>2838.7339999999999</v>
      </c>
      <c r="G300" s="3">
        <v>1</v>
      </c>
      <c r="H300">
        <v>2290</v>
      </c>
      <c r="I300">
        <v>2808.3</v>
      </c>
      <c r="J300">
        <v>15340</v>
      </c>
      <c r="K300">
        <v>13327</v>
      </c>
      <c r="L300" s="2">
        <v>26.786875000000002</v>
      </c>
      <c r="M300" s="5">
        <v>85.959499999999991</v>
      </c>
      <c r="N300" s="1">
        <v>184.8939</v>
      </c>
      <c r="O300" s="2">
        <v>4.0999999999999996</v>
      </c>
      <c r="P300">
        <v>104</v>
      </c>
    </row>
    <row r="301" spans="1:16" x14ac:dyDescent="0.35">
      <c r="A301" s="4">
        <v>44044</v>
      </c>
      <c r="B301" t="s">
        <v>16</v>
      </c>
      <c r="C301" t="s">
        <v>15</v>
      </c>
      <c r="D301">
        <v>0</v>
      </c>
      <c r="E301" s="2" t="s">
        <v>27</v>
      </c>
      <c r="F301" s="2">
        <f t="shared" si="46"/>
        <v>2838.7339999999999</v>
      </c>
      <c r="G301" s="3">
        <v>1</v>
      </c>
      <c r="H301">
        <v>2290</v>
      </c>
      <c r="I301">
        <v>2808.3</v>
      </c>
      <c r="J301">
        <v>15340</v>
      </c>
      <c r="K301">
        <v>13327</v>
      </c>
      <c r="L301" s="2">
        <v>26.786875000000002</v>
      </c>
      <c r="M301" s="5">
        <v>85.959499999999991</v>
      </c>
      <c r="N301" s="1">
        <v>184.8939</v>
      </c>
      <c r="O301" s="2">
        <v>4.0999999999999996</v>
      </c>
      <c r="P301">
        <v>104</v>
      </c>
    </row>
    <row r="302" spans="1:16" x14ac:dyDescent="0.35">
      <c r="A302" s="4">
        <v>44044</v>
      </c>
      <c r="B302" t="s">
        <v>17</v>
      </c>
      <c r="C302" t="s">
        <v>10</v>
      </c>
      <c r="D302">
        <v>1</v>
      </c>
      <c r="E302" s="2">
        <f>(2616+2633+2416+2650+2883)/5</f>
        <v>2639.6</v>
      </c>
      <c r="F302" s="2">
        <f t="shared" ref="F302:F307" si="47">(2376+2473+2456.2+2549+2570)/5</f>
        <v>2484.84</v>
      </c>
      <c r="G302" s="3">
        <v>1</v>
      </c>
      <c r="H302">
        <v>2290</v>
      </c>
      <c r="I302">
        <v>2808.3</v>
      </c>
      <c r="J302">
        <v>15340</v>
      </c>
      <c r="K302">
        <v>13327</v>
      </c>
      <c r="L302" s="2">
        <v>26.786875000000002</v>
      </c>
      <c r="M302" s="5">
        <v>85.959499999999991</v>
      </c>
      <c r="N302" s="1">
        <v>184.8939</v>
      </c>
      <c r="O302" s="2">
        <v>4.0999999999999996</v>
      </c>
      <c r="P302">
        <v>104</v>
      </c>
    </row>
    <row r="303" spans="1:16" x14ac:dyDescent="0.35">
      <c r="A303" s="4">
        <v>44044</v>
      </c>
      <c r="B303" t="s">
        <v>17</v>
      </c>
      <c r="C303" t="s">
        <v>11</v>
      </c>
      <c r="D303">
        <v>1</v>
      </c>
      <c r="E303" s="2">
        <f>(2450+2500+2600+2700)/4</f>
        <v>2562.5</v>
      </c>
      <c r="F303" s="2">
        <f t="shared" si="47"/>
        <v>2484.84</v>
      </c>
      <c r="G303" s="3">
        <v>1</v>
      </c>
      <c r="H303">
        <v>2290</v>
      </c>
      <c r="I303">
        <v>2808.3</v>
      </c>
      <c r="J303">
        <v>15340</v>
      </c>
      <c r="K303">
        <v>13327</v>
      </c>
      <c r="L303" s="2">
        <v>26.786875000000002</v>
      </c>
      <c r="M303" s="5">
        <v>85.959499999999991</v>
      </c>
      <c r="N303" s="1">
        <v>184.8939</v>
      </c>
      <c r="O303" s="2">
        <v>4.0999999999999996</v>
      </c>
      <c r="P303">
        <v>104</v>
      </c>
    </row>
    <row r="304" spans="1:16" x14ac:dyDescent="0.35">
      <c r="A304" s="4">
        <v>44044</v>
      </c>
      <c r="B304" t="s">
        <v>17</v>
      </c>
      <c r="C304" t="s">
        <v>12</v>
      </c>
      <c r="D304">
        <v>1</v>
      </c>
      <c r="E304" s="2">
        <f>(2463+2465+2490*2+2480)/5</f>
        <v>2477.6</v>
      </c>
      <c r="F304" s="2">
        <f t="shared" si="47"/>
        <v>2484.84</v>
      </c>
      <c r="G304" s="3">
        <v>1</v>
      </c>
      <c r="H304">
        <v>2290</v>
      </c>
      <c r="I304">
        <v>2808.3</v>
      </c>
      <c r="J304">
        <v>15340</v>
      </c>
      <c r="K304">
        <v>13327</v>
      </c>
      <c r="L304" s="2">
        <v>26.786875000000002</v>
      </c>
      <c r="M304" s="5">
        <v>85.959499999999991</v>
      </c>
      <c r="N304" s="1">
        <v>184.8939</v>
      </c>
      <c r="O304" s="2">
        <v>4.0999999999999996</v>
      </c>
      <c r="P304">
        <v>104</v>
      </c>
    </row>
    <row r="305" spans="1:16" x14ac:dyDescent="0.35">
      <c r="A305" s="4">
        <v>44044</v>
      </c>
      <c r="B305" t="s">
        <v>17</v>
      </c>
      <c r="C305" t="s">
        <v>13</v>
      </c>
      <c r="D305">
        <v>1</v>
      </c>
      <c r="E305" s="2">
        <f>(2370*3+2580)/4</f>
        <v>2422.5</v>
      </c>
      <c r="F305" s="2">
        <f t="shared" si="47"/>
        <v>2484.84</v>
      </c>
      <c r="G305" s="3">
        <v>1</v>
      </c>
      <c r="H305">
        <v>2290</v>
      </c>
      <c r="I305">
        <v>2808.3</v>
      </c>
      <c r="J305">
        <v>15340</v>
      </c>
      <c r="K305">
        <v>13327</v>
      </c>
      <c r="L305" s="2">
        <v>26.786875000000002</v>
      </c>
      <c r="M305" s="5">
        <v>85.959499999999991</v>
      </c>
      <c r="N305" s="1">
        <v>184.8939</v>
      </c>
      <c r="O305" s="2">
        <v>4.0999999999999996</v>
      </c>
      <c r="P305">
        <v>104</v>
      </c>
    </row>
    <row r="306" spans="1:16" x14ac:dyDescent="0.35">
      <c r="A306" s="4">
        <v>44044</v>
      </c>
      <c r="B306" t="s">
        <v>17</v>
      </c>
      <c r="C306" t="s">
        <v>14</v>
      </c>
      <c r="D306">
        <v>1</v>
      </c>
      <c r="E306" s="2">
        <f>(2467+2450+2500+2417+2433)/5</f>
        <v>2453.4</v>
      </c>
      <c r="F306" s="2">
        <f t="shared" si="47"/>
        <v>2484.84</v>
      </c>
      <c r="G306" s="3">
        <v>1</v>
      </c>
      <c r="H306">
        <v>2290</v>
      </c>
      <c r="I306">
        <v>2808.3</v>
      </c>
      <c r="J306">
        <v>15340</v>
      </c>
      <c r="K306">
        <v>13327</v>
      </c>
      <c r="L306" s="2">
        <v>26.786875000000002</v>
      </c>
      <c r="M306" s="5">
        <v>85.959499999999991</v>
      </c>
      <c r="N306" s="1">
        <v>184.8939</v>
      </c>
      <c r="O306" s="2">
        <v>4.0999999999999996</v>
      </c>
      <c r="P306">
        <v>104</v>
      </c>
    </row>
    <row r="307" spans="1:16" x14ac:dyDescent="0.35">
      <c r="A307" s="4">
        <v>44044</v>
      </c>
      <c r="B307" t="s">
        <v>17</v>
      </c>
      <c r="C307" t="s">
        <v>15</v>
      </c>
      <c r="D307">
        <v>0</v>
      </c>
      <c r="E307" s="2" t="s">
        <v>27</v>
      </c>
      <c r="F307" s="2">
        <f t="shared" si="47"/>
        <v>2484.84</v>
      </c>
      <c r="G307" s="3">
        <v>1</v>
      </c>
      <c r="H307">
        <v>2290</v>
      </c>
      <c r="I307">
        <v>2808.3</v>
      </c>
      <c r="J307">
        <v>15340</v>
      </c>
      <c r="K307">
        <v>13327</v>
      </c>
      <c r="L307" s="2">
        <v>26.786875000000002</v>
      </c>
      <c r="M307" s="5">
        <v>85.959499999999991</v>
      </c>
      <c r="N307" s="1">
        <v>184.8939</v>
      </c>
      <c r="O307" s="2">
        <v>4.0999999999999996</v>
      </c>
      <c r="P307">
        <v>104</v>
      </c>
    </row>
    <row r="308" spans="1:16" x14ac:dyDescent="0.35">
      <c r="A308" s="4">
        <v>44044</v>
      </c>
      <c r="B308" t="s">
        <v>18</v>
      </c>
      <c r="C308" t="s">
        <v>10</v>
      </c>
      <c r="D308">
        <v>1</v>
      </c>
      <c r="E308" s="2">
        <f>(2416+2333+2166+2316+2216)/5</f>
        <v>2289.4</v>
      </c>
      <c r="F308" s="2">
        <f t="shared" ref="F308:F313" si="48">(2301.57+2314.83+2240.71+2274.86+2229)/5</f>
        <v>2272.194</v>
      </c>
      <c r="G308" s="3">
        <v>1</v>
      </c>
      <c r="H308">
        <v>2290</v>
      </c>
      <c r="I308">
        <v>2808.3</v>
      </c>
      <c r="J308">
        <v>15340</v>
      </c>
      <c r="K308">
        <v>13327</v>
      </c>
      <c r="L308" s="2">
        <v>26.786875000000002</v>
      </c>
      <c r="M308" s="5">
        <v>85.959499999999991</v>
      </c>
      <c r="N308" s="1">
        <v>184.8939</v>
      </c>
      <c r="O308" s="2">
        <v>4.0999999999999996</v>
      </c>
      <c r="P308">
        <v>104</v>
      </c>
    </row>
    <row r="309" spans="1:16" x14ac:dyDescent="0.35">
      <c r="A309" s="4">
        <v>44044</v>
      </c>
      <c r="B309" t="s">
        <v>18</v>
      </c>
      <c r="C309" t="s">
        <v>11</v>
      </c>
      <c r="D309">
        <v>1</v>
      </c>
      <c r="E309" s="2">
        <f>(2500+2300+2400*2)/4</f>
        <v>2400</v>
      </c>
      <c r="F309" s="2">
        <f t="shared" si="48"/>
        <v>2272.194</v>
      </c>
      <c r="G309" s="3">
        <v>1</v>
      </c>
      <c r="H309">
        <v>2290</v>
      </c>
      <c r="I309">
        <v>2808.3</v>
      </c>
      <c r="J309">
        <v>15340</v>
      </c>
      <c r="K309">
        <v>13327</v>
      </c>
      <c r="L309" s="2">
        <v>26.786875000000002</v>
      </c>
      <c r="M309" s="5">
        <v>85.959499999999991</v>
      </c>
      <c r="N309" s="1">
        <v>184.8939</v>
      </c>
      <c r="O309" s="2">
        <v>4.0999999999999996</v>
      </c>
      <c r="P309">
        <v>104</v>
      </c>
    </row>
    <row r="310" spans="1:16" x14ac:dyDescent="0.35">
      <c r="A310" s="4">
        <v>44044</v>
      </c>
      <c r="B310" t="s">
        <v>18</v>
      </c>
      <c r="C310" t="s">
        <v>12</v>
      </c>
      <c r="D310">
        <v>1</v>
      </c>
      <c r="E310" s="2">
        <f>(2240*2+2295*2+2297)/5</f>
        <v>2273.4</v>
      </c>
      <c r="F310" s="2">
        <f t="shared" si="48"/>
        <v>2272.194</v>
      </c>
      <c r="G310" s="3">
        <v>1</v>
      </c>
      <c r="H310">
        <v>2290</v>
      </c>
      <c r="I310">
        <v>2808.3</v>
      </c>
      <c r="J310">
        <v>15340</v>
      </c>
      <c r="K310">
        <v>13327</v>
      </c>
      <c r="L310" s="2">
        <v>26.786875000000002</v>
      </c>
      <c r="M310" s="5">
        <v>85.959499999999991</v>
      </c>
      <c r="N310" s="1">
        <v>184.8939</v>
      </c>
      <c r="O310" s="2">
        <v>4.0999999999999996</v>
      </c>
      <c r="P310">
        <v>104</v>
      </c>
    </row>
    <row r="311" spans="1:16" x14ac:dyDescent="0.35">
      <c r="A311" s="4">
        <v>44044</v>
      </c>
      <c r="B311" t="s">
        <v>18</v>
      </c>
      <c r="C311" t="s">
        <v>13</v>
      </c>
      <c r="D311">
        <v>1</v>
      </c>
      <c r="E311" s="2">
        <v>2255</v>
      </c>
      <c r="F311" s="2">
        <f t="shared" si="48"/>
        <v>2272.194</v>
      </c>
      <c r="G311" s="3">
        <v>1</v>
      </c>
      <c r="H311">
        <v>2290</v>
      </c>
      <c r="I311">
        <v>2808.3</v>
      </c>
      <c r="J311">
        <v>15340</v>
      </c>
      <c r="K311">
        <v>13327</v>
      </c>
      <c r="L311" s="2">
        <v>26.786875000000002</v>
      </c>
      <c r="M311" s="5">
        <v>85.959499999999991</v>
      </c>
      <c r="N311" s="1">
        <v>184.8939</v>
      </c>
      <c r="O311" s="2">
        <v>4.0999999999999996</v>
      </c>
      <c r="P311">
        <v>104</v>
      </c>
    </row>
    <row r="312" spans="1:16" x14ac:dyDescent="0.35">
      <c r="A312" s="4">
        <v>44044</v>
      </c>
      <c r="B312" t="s">
        <v>18</v>
      </c>
      <c r="C312" t="s">
        <v>14</v>
      </c>
      <c r="D312">
        <v>1</v>
      </c>
      <c r="E312" s="2">
        <f>(2333*2+2292+2283*2)/5</f>
        <v>2304.8000000000002</v>
      </c>
      <c r="F312" s="2">
        <f t="shared" si="48"/>
        <v>2272.194</v>
      </c>
      <c r="G312" s="3">
        <v>1</v>
      </c>
      <c r="H312">
        <v>2290</v>
      </c>
      <c r="I312">
        <v>2808.3</v>
      </c>
      <c r="J312">
        <v>15340</v>
      </c>
      <c r="K312">
        <v>13327</v>
      </c>
      <c r="L312" s="2">
        <v>26.786875000000002</v>
      </c>
      <c r="M312" s="5">
        <v>85.959499999999991</v>
      </c>
      <c r="N312" s="1">
        <v>184.8939</v>
      </c>
      <c r="O312" s="2">
        <v>4.0999999999999996</v>
      </c>
      <c r="P312">
        <v>104</v>
      </c>
    </row>
    <row r="313" spans="1:16" x14ac:dyDescent="0.35">
      <c r="A313" s="4">
        <v>44044</v>
      </c>
      <c r="B313" t="s">
        <v>18</v>
      </c>
      <c r="C313" t="s">
        <v>15</v>
      </c>
      <c r="D313">
        <v>1</v>
      </c>
      <c r="E313" s="2">
        <f>(2300*3+2200+2375)/5</f>
        <v>2295</v>
      </c>
      <c r="F313" s="2">
        <f t="shared" si="48"/>
        <v>2272.194</v>
      </c>
      <c r="G313" s="3">
        <v>1</v>
      </c>
      <c r="H313">
        <v>2290</v>
      </c>
      <c r="I313">
        <v>2808.3</v>
      </c>
      <c r="J313">
        <v>15340</v>
      </c>
      <c r="K313">
        <v>13327</v>
      </c>
      <c r="L313" s="2">
        <v>26.786875000000002</v>
      </c>
      <c r="M313" s="5">
        <v>85.959499999999991</v>
      </c>
      <c r="N313" s="1">
        <v>184.8939</v>
      </c>
      <c r="O313" s="2">
        <v>4.0999999999999996</v>
      </c>
      <c r="P313">
        <v>104</v>
      </c>
    </row>
    <row r="314" spans="1:16" x14ac:dyDescent="0.35">
      <c r="A314" s="4">
        <v>44044</v>
      </c>
      <c r="B314" t="s">
        <v>19</v>
      </c>
      <c r="C314" t="s">
        <v>10</v>
      </c>
      <c r="D314">
        <v>1</v>
      </c>
      <c r="E314" s="2">
        <f>(2116*2+2016+2050+2133)/5</f>
        <v>2086.1999999999998</v>
      </c>
      <c r="F314" s="2">
        <f t="shared" ref="F314:F319" si="49">(2059.43+2048.5+2047.71+2073.71+0.71+2089.67)/5</f>
        <v>2063.9459999999999</v>
      </c>
      <c r="G314" s="3">
        <v>1</v>
      </c>
      <c r="H314">
        <v>2290</v>
      </c>
      <c r="I314">
        <v>2808.3</v>
      </c>
      <c r="J314">
        <v>15340</v>
      </c>
      <c r="K314">
        <v>13327</v>
      </c>
      <c r="L314" s="2">
        <v>26.786875000000002</v>
      </c>
      <c r="M314" s="5">
        <v>85.959499999999991</v>
      </c>
      <c r="N314" s="1">
        <v>184.8939</v>
      </c>
      <c r="O314" s="2">
        <v>4.0999999999999996</v>
      </c>
      <c r="P314">
        <v>104</v>
      </c>
    </row>
    <row r="315" spans="1:16" x14ac:dyDescent="0.35">
      <c r="A315" s="4">
        <v>44044</v>
      </c>
      <c r="B315" t="s">
        <v>19</v>
      </c>
      <c r="C315" t="s">
        <v>11</v>
      </c>
      <c r="D315">
        <v>1</v>
      </c>
      <c r="E315" s="2">
        <f>(2200*2+2250+2300)/4</f>
        <v>2237.5</v>
      </c>
      <c r="F315" s="2">
        <f t="shared" si="49"/>
        <v>2063.9459999999999</v>
      </c>
      <c r="G315" s="3">
        <v>1</v>
      </c>
      <c r="H315">
        <v>2290</v>
      </c>
      <c r="I315">
        <v>2808.3</v>
      </c>
      <c r="J315">
        <v>15340</v>
      </c>
      <c r="K315">
        <v>13327</v>
      </c>
      <c r="L315" s="2">
        <v>26.786875000000002</v>
      </c>
      <c r="M315" s="5">
        <v>85.959499999999991</v>
      </c>
      <c r="N315" s="1">
        <v>184.8939</v>
      </c>
      <c r="O315" s="2">
        <v>4.0999999999999996</v>
      </c>
      <c r="P315">
        <v>104</v>
      </c>
    </row>
    <row r="316" spans="1:16" x14ac:dyDescent="0.35">
      <c r="A316" s="4">
        <v>44044</v>
      </c>
      <c r="B316" t="s">
        <v>19</v>
      </c>
      <c r="C316" t="s">
        <v>12</v>
      </c>
      <c r="D316">
        <v>1</v>
      </c>
      <c r="E316" s="2">
        <f>(1980+1900+1995+1985*2)/5</f>
        <v>1969</v>
      </c>
      <c r="F316" s="2">
        <f t="shared" si="49"/>
        <v>2063.9459999999999</v>
      </c>
      <c r="G316" s="3">
        <v>1</v>
      </c>
      <c r="H316">
        <v>2290</v>
      </c>
      <c r="I316">
        <v>2808.3</v>
      </c>
      <c r="J316">
        <v>15340</v>
      </c>
      <c r="K316">
        <v>13327</v>
      </c>
      <c r="L316" s="2">
        <v>26.786875000000002</v>
      </c>
      <c r="M316" s="5">
        <v>85.959499999999991</v>
      </c>
      <c r="N316" s="1">
        <v>184.8939</v>
      </c>
      <c r="O316" s="2">
        <v>4.0999999999999996</v>
      </c>
      <c r="P316">
        <v>104</v>
      </c>
    </row>
    <row r="317" spans="1:16" x14ac:dyDescent="0.35">
      <c r="A317" s="4">
        <v>44044</v>
      </c>
      <c r="B317" t="s">
        <v>19</v>
      </c>
      <c r="C317" t="s">
        <v>13</v>
      </c>
      <c r="D317">
        <v>1</v>
      </c>
      <c r="E317" s="2">
        <v>2210</v>
      </c>
      <c r="F317" s="2">
        <f t="shared" si="49"/>
        <v>2063.9459999999999</v>
      </c>
      <c r="G317" s="3">
        <v>1</v>
      </c>
      <c r="H317">
        <v>2290</v>
      </c>
      <c r="I317">
        <v>2808.3</v>
      </c>
      <c r="J317">
        <v>15340</v>
      </c>
      <c r="K317">
        <v>13327</v>
      </c>
      <c r="L317" s="2">
        <v>26.786875000000002</v>
      </c>
      <c r="M317" s="5">
        <v>85.959499999999991</v>
      </c>
      <c r="N317" s="1">
        <v>184.8939</v>
      </c>
      <c r="O317" s="2">
        <v>4.0999999999999996</v>
      </c>
      <c r="P317">
        <v>104</v>
      </c>
    </row>
    <row r="318" spans="1:16" x14ac:dyDescent="0.35">
      <c r="A318" s="4">
        <v>44044</v>
      </c>
      <c r="B318" t="s">
        <v>19</v>
      </c>
      <c r="C318" t="s">
        <v>14</v>
      </c>
      <c r="D318">
        <v>1</v>
      </c>
      <c r="E318" s="2">
        <f>(2250+2246+2158+2175+2200)/5</f>
        <v>2205.8000000000002</v>
      </c>
      <c r="F318" s="2">
        <f t="shared" si="49"/>
        <v>2063.9459999999999</v>
      </c>
      <c r="G318" s="3">
        <v>1</v>
      </c>
      <c r="H318">
        <v>2290</v>
      </c>
      <c r="I318">
        <v>2808.3</v>
      </c>
      <c r="J318">
        <v>15340</v>
      </c>
      <c r="K318">
        <v>13327</v>
      </c>
      <c r="L318" s="2">
        <v>26.786875000000002</v>
      </c>
      <c r="M318" s="5">
        <v>85.959499999999991</v>
      </c>
      <c r="N318" s="1">
        <v>184.8939</v>
      </c>
      <c r="O318" s="2">
        <v>4.0999999999999996</v>
      </c>
      <c r="P318">
        <v>104</v>
      </c>
    </row>
    <row r="319" spans="1:16" x14ac:dyDescent="0.35">
      <c r="A319" s="4">
        <v>44044</v>
      </c>
      <c r="B319" t="s">
        <v>19</v>
      </c>
      <c r="C319" t="s">
        <v>15</v>
      </c>
      <c r="D319">
        <v>1</v>
      </c>
      <c r="E319" s="2">
        <f>(2250*2+2150+2175*2)/5</f>
        <v>2200</v>
      </c>
      <c r="F319" s="2">
        <f t="shared" si="49"/>
        <v>2063.9459999999999</v>
      </c>
      <c r="G319" s="3">
        <v>1</v>
      </c>
      <c r="H319">
        <v>2290</v>
      </c>
      <c r="I319">
        <v>2808.3</v>
      </c>
      <c r="J319">
        <v>15340</v>
      </c>
      <c r="K319">
        <v>13327</v>
      </c>
      <c r="L319" s="2">
        <v>26.786875000000002</v>
      </c>
      <c r="M319" s="5">
        <v>85.959499999999991</v>
      </c>
      <c r="N319" s="1">
        <v>184.8939</v>
      </c>
      <c r="O319" s="2">
        <v>4.0999999999999996</v>
      </c>
      <c r="P319">
        <v>104</v>
      </c>
    </row>
    <row r="320" spans="1:16" x14ac:dyDescent="0.35">
      <c r="A320" s="4">
        <v>44044</v>
      </c>
      <c r="B320" t="s">
        <v>20</v>
      </c>
      <c r="C320" t="s">
        <v>10</v>
      </c>
      <c r="D320">
        <v>1</v>
      </c>
      <c r="E320" s="2">
        <f>(1750*2+1816*3)/5</f>
        <v>1789.6</v>
      </c>
      <c r="F320" s="2">
        <f t="shared" ref="F320:F325" si="50">(1963.2+2006.17+1948.83+1971+1938.8)/5</f>
        <v>1965.6</v>
      </c>
      <c r="G320" s="3">
        <v>1</v>
      </c>
      <c r="H320">
        <v>2290</v>
      </c>
      <c r="I320">
        <v>2808.3</v>
      </c>
      <c r="J320">
        <v>15340</v>
      </c>
      <c r="K320">
        <v>13327</v>
      </c>
      <c r="L320" s="2">
        <v>26.786875000000002</v>
      </c>
      <c r="M320" s="5">
        <v>85.959499999999991</v>
      </c>
      <c r="N320" s="1">
        <v>184.8939</v>
      </c>
      <c r="O320" s="2">
        <v>4.0999999999999996</v>
      </c>
      <c r="P320">
        <v>104</v>
      </c>
    </row>
    <row r="321" spans="1:16" x14ac:dyDescent="0.35">
      <c r="A321" s="4">
        <v>44044</v>
      </c>
      <c r="B321" t="s">
        <v>20</v>
      </c>
      <c r="C321" t="s">
        <v>11</v>
      </c>
      <c r="D321">
        <v>1</v>
      </c>
      <c r="E321" s="2">
        <v>2125</v>
      </c>
      <c r="F321" s="2">
        <f t="shared" si="50"/>
        <v>1965.6</v>
      </c>
      <c r="G321" s="3">
        <v>1</v>
      </c>
      <c r="H321">
        <v>2290</v>
      </c>
      <c r="I321">
        <v>2808.3</v>
      </c>
      <c r="J321">
        <v>15340</v>
      </c>
      <c r="K321">
        <v>13327</v>
      </c>
      <c r="L321" s="2">
        <v>26.786875000000002</v>
      </c>
      <c r="M321" s="5">
        <v>85.959499999999991</v>
      </c>
      <c r="N321" s="1">
        <v>184.8939</v>
      </c>
      <c r="O321" s="2">
        <v>4.0999999999999996</v>
      </c>
      <c r="P321">
        <v>104</v>
      </c>
    </row>
    <row r="322" spans="1:16" x14ac:dyDescent="0.35">
      <c r="A322" s="4">
        <v>44044</v>
      </c>
      <c r="B322" t="s">
        <v>20</v>
      </c>
      <c r="C322" t="s">
        <v>12</v>
      </c>
      <c r="D322">
        <v>1</v>
      </c>
      <c r="E322" s="2">
        <f>(1655*3+1543*2)/5</f>
        <v>1610.2</v>
      </c>
      <c r="F322" s="2">
        <f t="shared" si="50"/>
        <v>1965.6</v>
      </c>
      <c r="G322" s="3">
        <v>1</v>
      </c>
      <c r="H322">
        <v>2290</v>
      </c>
      <c r="I322">
        <v>2808.3</v>
      </c>
      <c r="J322">
        <v>15340</v>
      </c>
      <c r="K322">
        <v>13327</v>
      </c>
      <c r="L322" s="2">
        <v>26.786875000000002</v>
      </c>
      <c r="M322" s="5">
        <v>85.959499999999991</v>
      </c>
      <c r="N322" s="1">
        <v>184.8939</v>
      </c>
      <c r="O322" s="2">
        <v>4.0999999999999996</v>
      </c>
      <c r="P322">
        <v>104</v>
      </c>
    </row>
    <row r="323" spans="1:16" x14ac:dyDescent="0.35">
      <c r="A323" s="4">
        <v>44044</v>
      </c>
      <c r="B323" t="s">
        <v>20</v>
      </c>
      <c r="C323" t="s">
        <v>13</v>
      </c>
      <c r="D323">
        <v>1</v>
      </c>
      <c r="E323" s="2">
        <f>(2075*3+2180)/4</f>
        <v>2101.25</v>
      </c>
      <c r="F323" s="2">
        <f t="shared" si="50"/>
        <v>1965.6</v>
      </c>
      <c r="G323" s="3">
        <v>1</v>
      </c>
      <c r="H323">
        <v>2290</v>
      </c>
      <c r="I323">
        <v>2808.3</v>
      </c>
      <c r="J323">
        <v>15340</v>
      </c>
      <c r="K323">
        <v>13327</v>
      </c>
      <c r="L323" s="2">
        <v>26.786875000000002</v>
      </c>
      <c r="M323" s="5">
        <v>85.959499999999991</v>
      </c>
      <c r="N323" s="1">
        <v>184.8939</v>
      </c>
      <c r="O323" s="2">
        <v>4.0999999999999996</v>
      </c>
      <c r="P323">
        <v>104</v>
      </c>
    </row>
    <row r="324" spans="1:16" x14ac:dyDescent="0.35">
      <c r="A324" s="4">
        <v>44044</v>
      </c>
      <c r="B324" t="s">
        <v>20</v>
      </c>
      <c r="C324" t="s">
        <v>14</v>
      </c>
      <c r="D324">
        <v>1</v>
      </c>
      <c r="E324" s="2">
        <f>(2114+2080+2063+2168+2157)/5</f>
        <v>2116.4</v>
      </c>
      <c r="F324" s="2">
        <f t="shared" si="50"/>
        <v>1965.6</v>
      </c>
      <c r="G324" s="3">
        <v>1</v>
      </c>
      <c r="H324">
        <v>2290</v>
      </c>
      <c r="I324">
        <v>2808.3</v>
      </c>
      <c r="J324">
        <v>15340</v>
      </c>
      <c r="K324">
        <v>13327</v>
      </c>
      <c r="L324" s="2">
        <v>26.786875000000002</v>
      </c>
      <c r="M324" s="5">
        <v>85.959499999999991</v>
      </c>
      <c r="N324" s="1">
        <v>184.8939</v>
      </c>
      <c r="O324" s="2">
        <v>4.0999999999999996</v>
      </c>
      <c r="P324">
        <v>104</v>
      </c>
    </row>
    <row r="325" spans="1:16" x14ac:dyDescent="0.35">
      <c r="A325" s="4">
        <v>44044</v>
      </c>
      <c r="B325" t="s">
        <v>20</v>
      </c>
      <c r="C325" t="s">
        <v>15</v>
      </c>
      <c r="D325">
        <v>1</v>
      </c>
      <c r="E325" s="2">
        <f>(2100*2+2050+2180+2150)/5</f>
        <v>2116</v>
      </c>
      <c r="F325" s="2">
        <f t="shared" si="50"/>
        <v>1965.6</v>
      </c>
      <c r="G325" s="3">
        <v>1</v>
      </c>
      <c r="H325">
        <v>2290</v>
      </c>
      <c r="I325">
        <v>2808.3</v>
      </c>
      <c r="J325">
        <v>15340</v>
      </c>
      <c r="K325">
        <v>13327</v>
      </c>
      <c r="L325" s="2">
        <v>26.786875000000002</v>
      </c>
      <c r="M325" s="5">
        <v>85.959499999999991</v>
      </c>
      <c r="N325" s="1">
        <v>184.8939</v>
      </c>
      <c r="O325" s="2">
        <v>4.0999999999999996</v>
      </c>
      <c r="P325">
        <v>104</v>
      </c>
    </row>
    <row r="326" spans="1:16" x14ac:dyDescent="0.35">
      <c r="A326" s="4">
        <v>44044</v>
      </c>
      <c r="B326" t="s">
        <v>21</v>
      </c>
      <c r="C326" t="s">
        <v>10</v>
      </c>
      <c r="D326">
        <v>1</v>
      </c>
      <c r="E326" s="2">
        <f>(1366+1533+1450+1550+1583)/5</f>
        <v>1496.4</v>
      </c>
      <c r="F326" s="2">
        <f t="shared" ref="F326:F331" si="51">(1797.6+1857.17+1826+1907.17+1863.6)/5</f>
        <v>1850.3080000000002</v>
      </c>
      <c r="G326" s="3">
        <v>1</v>
      </c>
      <c r="H326">
        <v>2290</v>
      </c>
      <c r="I326">
        <v>2808.3</v>
      </c>
      <c r="J326">
        <v>15340</v>
      </c>
      <c r="K326">
        <v>13327</v>
      </c>
      <c r="L326" s="2">
        <v>26.786875000000002</v>
      </c>
      <c r="M326" s="5">
        <v>85.959499999999991</v>
      </c>
      <c r="N326" s="1">
        <v>184.8939</v>
      </c>
      <c r="O326" s="2">
        <v>4.0999999999999996</v>
      </c>
      <c r="P326">
        <v>104</v>
      </c>
    </row>
    <row r="327" spans="1:16" x14ac:dyDescent="0.35">
      <c r="A327" s="4">
        <v>44044</v>
      </c>
      <c r="B327" t="s">
        <v>21</v>
      </c>
      <c r="C327" t="s">
        <v>11</v>
      </c>
      <c r="D327">
        <v>1</v>
      </c>
      <c r="E327" s="2">
        <v>2050</v>
      </c>
      <c r="F327" s="2">
        <f t="shared" si="51"/>
        <v>1850.3080000000002</v>
      </c>
      <c r="G327" s="3">
        <v>1</v>
      </c>
      <c r="H327">
        <v>2290</v>
      </c>
      <c r="I327">
        <v>2808.3</v>
      </c>
      <c r="J327">
        <v>15340</v>
      </c>
      <c r="K327">
        <v>13327</v>
      </c>
      <c r="L327" s="2">
        <v>26.786875000000002</v>
      </c>
      <c r="M327" s="5">
        <v>85.959499999999991</v>
      </c>
      <c r="N327" s="1">
        <v>184.8939</v>
      </c>
      <c r="O327" s="2">
        <v>4.0999999999999996</v>
      </c>
      <c r="P327">
        <v>104</v>
      </c>
    </row>
    <row r="328" spans="1:16" x14ac:dyDescent="0.35">
      <c r="A328" s="4">
        <v>44044</v>
      </c>
      <c r="B328" t="s">
        <v>21</v>
      </c>
      <c r="C328" t="s">
        <v>12</v>
      </c>
      <c r="D328">
        <v>1</v>
      </c>
      <c r="E328" s="2">
        <f>(1467*3+1435*2)/5</f>
        <v>1454.2</v>
      </c>
      <c r="F328" s="2">
        <f t="shared" si="51"/>
        <v>1850.3080000000002</v>
      </c>
      <c r="G328" s="3">
        <v>1</v>
      </c>
      <c r="H328">
        <v>2290</v>
      </c>
      <c r="I328">
        <v>2808.3</v>
      </c>
      <c r="J328">
        <v>15340</v>
      </c>
      <c r="K328">
        <v>13327</v>
      </c>
      <c r="L328" s="2">
        <v>26.786875000000002</v>
      </c>
      <c r="M328" s="5">
        <v>85.959499999999991</v>
      </c>
      <c r="N328" s="1">
        <v>184.8939</v>
      </c>
      <c r="O328" s="2">
        <v>4.0999999999999996</v>
      </c>
      <c r="P328">
        <v>104</v>
      </c>
    </row>
    <row r="329" spans="1:16" x14ac:dyDescent="0.35">
      <c r="A329" s="4">
        <v>44044</v>
      </c>
      <c r="B329" t="s">
        <v>21</v>
      </c>
      <c r="C329" t="s">
        <v>13</v>
      </c>
      <c r="D329">
        <v>1</v>
      </c>
      <c r="E329" s="2">
        <f>(2120+2025*3)/4</f>
        <v>2048.75</v>
      </c>
      <c r="F329" s="2">
        <f t="shared" si="51"/>
        <v>1850.3080000000002</v>
      </c>
      <c r="G329" s="3">
        <v>1</v>
      </c>
      <c r="H329">
        <v>2290</v>
      </c>
      <c r="I329">
        <v>2808.3</v>
      </c>
      <c r="J329">
        <v>15340</v>
      </c>
      <c r="K329">
        <v>13327</v>
      </c>
      <c r="L329" s="2">
        <v>26.786875000000002</v>
      </c>
      <c r="M329" s="5">
        <v>85.959499999999991</v>
      </c>
      <c r="N329" s="1">
        <v>184.8939</v>
      </c>
      <c r="O329" s="2">
        <v>4.0999999999999996</v>
      </c>
      <c r="P329">
        <v>104</v>
      </c>
    </row>
    <row r="330" spans="1:16" x14ac:dyDescent="0.35">
      <c r="A330" s="4">
        <v>44044</v>
      </c>
      <c r="B330" t="s">
        <v>21</v>
      </c>
      <c r="C330" t="s">
        <v>14</v>
      </c>
      <c r="D330">
        <v>1</v>
      </c>
      <c r="E330" s="2">
        <f>(2065+2053+2014+2113+2100)/5</f>
        <v>2069</v>
      </c>
      <c r="F330" s="2">
        <f t="shared" si="51"/>
        <v>1850.3080000000002</v>
      </c>
      <c r="G330" s="3">
        <v>1</v>
      </c>
      <c r="H330">
        <v>2290</v>
      </c>
      <c r="I330">
        <v>2808.3</v>
      </c>
      <c r="J330">
        <v>15340</v>
      </c>
      <c r="K330">
        <v>13327</v>
      </c>
      <c r="L330" s="2">
        <v>26.786875000000002</v>
      </c>
      <c r="M330" s="5">
        <v>85.959499999999991</v>
      </c>
      <c r="N330" s="1">
        <v>184.8939</v>
      </c>
      <c r="O330" s="2">
        <v>4.0999999999999996</v>
      </c>
      <c r="P330">
        <v>104</v>
      </c>
    </row>
    <row r="331" spans="1:16" x14ac:dyDescent="0.35">
      <c r="A331" s="4">
        <v>44044</v>
      </c>
      <c r="B331" t="s">
        <v>21</v>
      </c>
      <c r="C331" t="s">
        <v>15</v>
      </c>
      <c r="D331">
        <v>1</v>
      </c>
      <c r="E331" s="2">
        <f>(2100+1391+2000+2065*2)/5</f>
        <v>1924.2</v>
      </c>
      <c r="F331" s="2">
        <f t="shared" si="51"/>
        <v>1850.3080000000002</v>
      </c>
      <c r="G331" s="3">
        <v>1</v>
      </c>
      <c r="H331">
        <v>2290</v>
      </c>
      <c r="I331">
        <v>2808.3</v>
      </c>
      <c r="J331">
        <v>15340</v>
      </c>
      <c r="K331">
        <v>13327</v>
      </c>
      <c r="L331" s="2">
        <v>26.786875000000002</v>
      </c>
      <c r="M331" s="5">
        <v>85.959499999999991</v>
      </c>
      <c r="N331" s="1">
        <v>184.8939</v>
      </c>
      <c r="O331" s="2">
        <v>4.0999999999999996</v>
      </c>
      <c r="P331">
        <v>104</v>
      </c>
    </row>
    <row r="332" spans="1:16" x14ac:dyDescent="0.35">
      <c r="A332" s="4">
        <v>44044</v>
      </c>
      <c r="B332" t="s">
        <v>22</v>
      </c>
      <c r="C332" t="s">
        <v>10</v>
      </c>
      <c r="D332">
        <v>0</v>
      </c>
      <c r="E332" s="2" t="s">
        <v>27</v>
      </c>
      <c r="F332" s="2">
        <f t="shared" ref="F332:F337" si="52">(1925+1882+1738+1825+1820)/5</f>
        <v>1838</v>
      </c>
      <c r="G332" s="3">
        <v>1</v>
      </c>
      <c r="H332">
        <v>2290</v>
      </c>
      <c r="I332">
        <v>2808.3</v>
      </c>
      <c r="J332">
        <v>15340</v>
      </c>
      <c r="K332">
        <v>13327</v>
      </c>
      <c r="L332" s="2">
        <v>26.786875000000002</v>
      </c>
      <c r="M332" s="5">
        <v>85.959499999999991</v>
      </c>
      <c r="N332" s="1">
        <v>184.8939</v>
      </c>
      <c r="O332" s="2">
        <v>4.0999999999999996</v>
      </c>
      <c r="P332">
        <v>104</v>
      </c>
    </row>
    <row r="333" spans="1:16" x14ac:dyDescent="0.35">
      <c r="A333" s="4">
        <v>44044</v>
      </c>
      <c r="B333" t="s">
        <v>22</v>
      </c>
      <c r="C333" t="s">
        <v>11</v>
      </c>
      <c r="D333">
        <v>0</v>
      </c>
      <c r="E333" s="2" t="s">
        <v>27</v>
      </c>
      <c r="F333" s="2">
        <f t="shared" si="52"/>
        <v>1838</v>
      </c>
      <c r="G333" s="3">
        <v>1</v>
      </c>
      <c r="H333">
        <v>2290</v>
      </c>
      <c r="I333">
        <v>2808.3</v>
      </c>
      <c r="J333">
        <v>15340</v>
      </c>
      <c r="K333">
        <v>13327</v>
      </c>
      <c r="L333" s="2">
        <v>26.786875000000002</v>
      </c>
      <c r="M333" s="5">
        <v>85.959499999999991</v>
      </c>
      <c r="N333" s="1">
        <v>184.8939</v>
      </c>
      <c r="O333" s="2">
        <v>4.0999999999999996</v>
      </c>
      <c r="P333">
        <v>104</v>
      </c>
    </row>
    <row r="334" spans="1:16" x14ac:dyDescent="0.35">
      <c r="A334" s="4">
        <v>44044</v>
      </c>
      <c r="B334" t="s">
        <v>22</v>
      </c>
      <c r="C334" t="s">
        <v>12</v>
      </c>
      <c r="D334">
        <v>0</v>
      </c>
      <c r="E334" s="2" t="s">
        <v>27</v>
      </c>
      <c r="F334" s="2">
        <f t="shared" si="52"/>
        <v>1838</v>
      </c>
      <c r="G334" s="3">
        <v>1</v>
      </c>
      <c r="H334">
        <v>2290</v>
      </c>
      <c r="I334">
        <v>2808.3</v>
      </c>
      <c r="J334">
        <v>15340</v>
      </c>
      <c r="K334">
        <v>13327</v>
      </c>
      <c r="L334" s="2">
        <v>26.786875000000002</v>
      </c>
      <c r="M334" s="5">
        <v>85.959499999999991</v>
      </c>
      <c r="N334" s="1">
        <v>184.8939</v>
      </c>
      <c r="O334" s="2">
        <v>4.0999999999999996</v>
      </c>
      <c r="P334">
        <v>104</v>
      </c>
    </row>
    <row r="335" spans="1:16" x14ac:dyDescent="0.35">
      <c r="A335" s="4">
        <v>44044</v>
      </c>
      <c r="B335" t="s">
        <v>22</v>
      </c>
      <c r="C335" t="s">
        <v>13</v>
      </c>
      <c r="D335">
        <v>0</v>
      </c>
      <c r="E335" s="2" t="s">
        <v>27</v>
      </c>
      <c r="F335" s="2">
        <f t="shared" si="52"/>
        <v>1838</v>
      </c>
      <c r="G335" s="3">
        <v>1</v>
      </c>
      <c r="H335">
        <v>2290</v>
      </c>
      <c r="I335">
        <v>2808.3</v>
      </c>
      <c r="J335">
        <v>15340</v>
      </c>
      <c r="K335">
        <v>13327</v>
      </c>
      <c r="L335" s="2">
        <v>26.786875000000002</v>
      </c>
      <c r="M335" s="5">
        <v>85.959499999999991</v>
      </c>
      <c r="N335" s="1">
        <v>184.8939</v>
      </c>
      <c r="O335" s="2">
        <v>4.0999999999999996</v>
      </c>
      <c r="P335">
        <v>104</v>
      </c>
    </row>
    <row r="336" spans="1:16" x14ac:dyDescent="0.35">
      <c r="A336" s="4">
        <v>44044</v>
      </c>
      <c r="B336" t="s">
        <v>22</v>
      </c>
      <c r="C336" t="s">
        <v>14</v>
      </c>
      <c r="D336">
        <v>1</v>
      </c>
      <c r="E336" s="2">
        <f>(1925+1882+1738+1825+1820)/5</f>
        <v>1838</v>
      </c>
      <c r="F336" s="2">
        <f t="shared" si="52"/>
        <v>1838</v>
      </c>
      <c r="G336" s="3">
        <v>1</v>
      </c>
      <c r="H336">
        <v>2290</v>
      </c>
      <c r="I336">
        <v>2808.3</v>
      </c>
      <c r="J336">
        <v>15340</v>
      </c>
      <c r="K336">
        <v>13327</v>
      </c>
      <c r="L336" s="2">
        <v>26.786875000000002</v>
      </c>
      <c r="M336" s="5">
        <v>85.959499999999991</v>
      </c>
      <c r="N336" s="1">
        <v>184.8939</v>
      </c>
      <c r="O336" s="2">
        <v>4.0999999999999996</v>
      </c>
      <c r="P336">
        <v>104</v>
      </c>
    </row>
    <row r="337" spans="1:16" x14ac:dyDescent="0.35">
      <c r="A337" s="4">
        <v>44044</v>
      </c>
      <c r="B337" t="s">
        <v>22</v>
      </c>
      <c r="C337" t="s">
        <v>15</v>
      </c>
      <c r="D337">
        <v>0</v>
      </c>
      <c r="E337" s="2" t="s">
        <v>27</v>
      </c>
      <c r="F337" s="2">
        <f t="shared" si="52"/>
        <v>1838</v>
      </c>
      <c r="G337" s="3">
        <v>1</v>
      </c>
      <c r="H337">
        <v>2290</v>
      </c>
      <c r="I337">
        <v>2808.3</v>
      </c>
      <c r="J337">
        <v>15340</v>
      </c>
      <c r="K337">
        <v>13327</v>
      </c>
      <c r="L337" s="2">
        <v>26.786875000000002</v>
      </c>
      <c r="M337" s="5">
        <v>85.959499999999991</v>
      </c>
      <c r="N337" s="1">
        <v>184.8939</v>
      </c>
      <c r="O337" s="2">
        <v>4.0999999999999996</v>
      </c>
      <c r="P337">
        <v>104</v>
      </c>
    </row>
    <row r="338" spans="1:16" x14ac:dyDescent="0.35">
      <c r="A338" s="4">
        <v>44075</v>
      </c>
      <c r="B338" t="s">
        <v>16</v>
      </c>
      <c r="C338" t="s">
        <v>10</v>
      </c>
      <c r="D338">
        <v>1</v>
      </c>
      <c r="E338" s="2">
        <f>(2716+2666+3100+3133)/4</f>
        <v>2903.75</v>
      </c>
      <c r="F338" s="2">
        <f t="shared" ref="F338:F343" si="53">(2873.25+2854.75+2956.75+2959)/4</f>
        <v>2910.9375</v>
      </c>
      <c r="G338" s="3">
        <v>1</v>
      </c>
      <c r="H338">
        <v>1145</v>
      </c>
      <c r="I338">
        <v>2808.3</v>
      </c>
      <c r="J338">
        <v>19365</v>
      </c>
      <c r="K338">
        <v>17770</v>
      </c>
      <c r="L338" s="2">
        <v>26.410624999999996</v>
      </c>
      <c r="M338" s="5">
        <v>198.4555</v>
      </c>
      <c r="N338" s="1">
        <v>185.0317</v>
      </c>
      <c r="O338" s="2">
        <v>4</v>
      </c>
      <c r="P338">
        <v>104</v>
      </c>
    </row>
    <row r="339" spans="1:16" x14ac:dyDescent="0.35">
      <c r="A339" s="4">
        <v>44075</v>
      </c>
      <c r="B339" t="s">
        <v>16</v>
      </c>
      <c r="C339" t="s">
        <v>11</v>
      </c>
      <c r="D339">
        <v>0</v>
      </c>
      <c r="E339" s="2" t="s">
        <v>27</v>
      </c>
      <c r="F339" s="2">
        <f t="shared" si="53"/>
        <v>2910.9375</v>
      </c>
      <c r="G339" s="3">
        <v>1</v>
      </c>
      <c r="H339">
        <v>1145</v>
      </c>
      <c r="I339">
        <v>2808.3</v>
      </c>
      <c r="J339">
        <v>19365</v>
      </c>
      <c r="K339">
        <v>17770</v>
      </c>
      <c r="L339" s="2">
        <v>26.410624999999996</v>
      </c>
      <c r="M339" s="5">
        <v>198.4555</v>
      </c>
      <c r="N339" s="1">
        <v>185.0317</v>
      </c>
      <c r="O339" s="2">
        <v>4</v>
      </c>
      <c r="P339">
        <v>104</v>
      </c>
    </row>
    <row r="340" spans="1:16" x14ac:dyDescent="0.35">
      <c r="A340" s="4">
        <v>44075</v>
      </c>
      <c r="B340" t="s">
        <v>16</v>
      </c>
      <c r="C340" t="s">
        <v>12</v>
      </c>
      <c r="D340">
        <v>1</v>
      </c>
      <c r="E340" s="2">
        <v>2865</v>
      </c>
      <c r="F340" s="2">
        <f t="shared" si="53"/>
        <v>2910.9375</v>
      </c>
      <c r="G340" s="3">
        <v>1</v>
      </c>
      <c r="H340">
        <v>1145</v>
      </c>
      <c r="I340">
        <v>2808.3</v>
      </c>
      <c r="J340">
        <v>19365</v>
      </c>
      <c r="K340">
        <v>17770</v>
      </c>
      <c r="L340" s="2">
        <v>26.410624999999996</v>
      </c>
      <c r="M340" s="5">
        <v>198.4555</v>
      </c>
      <c r="N340" s="1">
        <v>185.0317</v>
      </c>
      <c r="O340" s="2">
        <v>4</v>
      </c>
      <c r="P340">
        <v>104</v>
      </c>
    </row>
    <row r="341" spans="1:16" x14ac:dyDescent="0.35">
      <c r="A341" s="4">
        <v>44075</v>
      </c>
      <c r="B341" t="s">
        <v>16</v>
      </c>
      <c r="C341" t="s">
        <v>13</v>
      </c>
      <c r="D341">
        <v>1</v>
      </c>
      <c r="E341" s="2">
        <v>3037.5</v>
      </c>
      <c r="F341" s="2">
        <f t="shared" si="53"/>
        <v>2910.9375</v>
      </c>
      <c r="G341" s="3">
        <v>1</v>
      </c>
      <c r="H341">
        <v>1145</v>
      </c>
      <c r="I341">
        <v>2808.3</v>
      </c>
      <c r="J341">
        <v>19365</v>
      </c>
      <c r="K341">
        <v>17770</v>
      </c>
      <c r="L341" s="2">
        <v>26.410624999999996</v>
      </c>
      <c r="M341" s="5">
        <v>198.4555</v>
      </c>
      <c r="N341" s="1">
        <v>185.0317</v>
      </c>
      <c r="O341" s="2">
        <v>4</v>
      </c>
      <c r="P341">
        <v>104</v>
      </c>
    </row>
    <row r="342" spans="1:16" x14ac:dyDescent="0.35">
      <c r="A342" s="4">
        <v>44075</v>
      </c>
      <c r="B342" t="s">
        <v>16</v>
      </c>
      <c r="C342" t="s">
        <v>14</v>
      </c>
      <c r="D342">
        <v>1</v>
      </c>
      <c r="E342" s="2">
        <f>(2812+2838+2862+2838)/4</f>
        <v>2837.5</v>
      </c>
      <c r="F342" s="2">
        <f t="shared" si="53"/>
        <v>2910.9375</v>
      </c>
      <c r="G342" s="3">
        <v>1</v>
      </c>
      <c r="H342">
        <v>1145</v>
      </c>
      <c r="I342">
        <v>2808.3</v>
      </c>
      <c r="J342">
        <v>19365</v>
      </c>
      <c r="K342">
        <v>17770</v>
      </c>
      <c r="L342" s="2">
        <v>26.410624999999996</v>
      </c>
      <c r="M342" s="5">
        <v>198.4555</v>
      </c>
      <c r="N342" s="1">
        <v>185.0317</v>
      </c>
      <c r="O342" s="2">
        <v>4</v>
      </c>
      <c r="P342">
        <v>104</v>
      </c>
    </row>
    <row r="343" spans="1:16" x14ac:dyDescent="0.35">
      <c r="A343" s="4">
        <v>44075</v>
      </c>
      <c r="B343" t="s">
        <v>16</v>
      </c>
      <c r="C343" t="s">
        <v>15</v>
      </c>
      <c r="D343">
        <v>0</v>
      </c>
      <c r="E343" s="2" t="s">
        <v>27</v>
      </c>
      <c r="F343" s="2">
        <f t="shared" si="53"/>
        <v>2910.9375</v>
      </c>
      <c r="G343" s="3">
        <v>1</v>
      </c>
      <c r="H343">
        <v>1145</v>
      </c>
      <c r="I343">
        <v>2808.3</v>
      </c>
      <c r="J343">
        <v>19365</v>
      </c>
      <c r="K343">
        <v>17770</v>
      </c>
      <c r="L343" s="2">
        <v>26.410624999999996</v>
      </c>
      <c r="M343" s="5">
        <v>198.4555</v>
      </c>
      <c r="N343" s="1">
        <v>185.0317</v>
      </c>
      <c r="O343" s="2">
        <v>4</v>
      </c>
      <c r="P343">
        <v>104</v>
      </c>
    </row>
    <row r="344" spans="1:16" x14ac:dyDescent="0.35">
      <c r="A344" s="4">
        <v>44075</v>
      </c>
      <c r="B344" t="s">
        <v>17</v>
      </c>
      <c r="C344" t="s">
        <v>10</v>
      </c>
      <c r="D344">
        <v>1</v>
      </c>
      <c r="E344" s="2">
        <f>(2516+2583+2366+2550)/4</f>
        <v>2503.75</v>
      </c>
      <c r="F344" s="2">
        <f t="shared" ref="F344:F349" si="54">(2451+2407.6+2446+2439.2)/4</f>
        <v>2435.9499999999998</v>
      </c>
      <c r="G344" s="3">
        <v>1</v>
      </c>
      <c r="H344">
        <v>1145</v>
      </c>
      <c r="I344">
        <v>2808.3</v>
      </c>
      <c r="J344">
        <v>19365</v>
      </c>
      <c r="K344">
        <v>17770</v>
      </c>
      <c r="L344" s="2">
        <v>26.410624999999996</v>
      </c>
      <c r="M344" s="5">
        <v>198.4555</v>
      </c>
      <c r="N344" s="1">
        <v>185.0317</v>
      </c>
      <c r="O344" s="2">
        <v>4</v>
      </c>
      <c r="P344">
        <v>104</v>
      </c>
    </row>
    <row r="345" spans="1:16" x14ac:dyDescent="0.35">
      <c r="A345" s="4">
        <v>44075</v>
      </c>
      <c r="B345" t="s">
        <v>17</v>
      </c>
      <c r="C345" t="s">
        <v>11</v>
      </c>
      <c r="D345">
        <v>1</v>
      </c>
      <c r="E345" s="2">
        <f>2400</f>
        <v>2400</v>
      </c>
      <c r="F345" s="2">
        <f t="shared" si="54"/>
        <v>2435.9499999999998</v>
      </c>
      <c r="G345" s="3">
        <v>1</v>
      </c>
      <c r="H345">
        <v>1145</v>
      </c>
      <c r="I345">
        <v>2808.3</v>
      </c>
      <c r="J345">
        <v>19365</v>
      </c>
      <c r="K345">
        <v>17770</v>
      </c>
      <c r="L345" s="2">
        <v>26.410624999999996</v>
      </c>
      <c r="M345" s="5">
        <v>198.4555</v>
      </c>
      <c r="N345" s="1">
        <v>185.0317</v>
      </c>
      <c r="O345" s="2">
        <v>4</v>
      </c>
      <c r="P345">
        <v>104</v>
      </c>
    </row>
    <row r="346" spans="1:16" x14ac:dyDescent="0.35">
      <c r="A346" s="4">
        <v>44075</v>
      </c>
      <c r="B346" t="s">
        <v>17</v>
      </c>
      <c r="C346" t="s">
        <v>12</v>
      </c>
      <c r="D346">
        <v>1</v>
      </c>
      <c r="E346" s="2">
        <v>2480</v>
      </c>
      <c r="F346" s="2">
        <f t="shared" si="54"/>
        <v>2435.9499999999998</v>
      </c>
      <c r="G346" s="3">
        <v>1</v>
      </c>
      <c r="H346">
        <v>1145</v>
      </c>
      <c r="I346">
        <v>2808.3</v>
      </c>
      <c r="J346">
        <v>19365</v>
      </c>
      <c r="K346">
        <v>17770</v>
      </c>
      <c r="L346" s="2">
        <v>26.410624999999996</v>
      </c>
      <c r="M346" s="5">
        <v>198.4555</v>
      </c>
      <c r="N346" s="1">
        <v>185.0317</v>
      </c>
      <c r="O346" s="2">
        <v>4</v>
      </c>
      <c r="P346">
        <v>104</v>
      </c>
    </row>
    <row r="347" spans="1:16" x14ac:dyDescent="0.35">
      <c r="A347" s="4">
        <v>44075</v>
      </c>
      <c r="B347" t="s">
        <v>17</v>
      </c>
      <c r="C347" t="s">
        <v>13</v>
      </c>
      <c r="D347">
        <v>1</v>
      </c>
      <c r="E347" s="2">
        <v>2362.5</v>
      </c>
      <c r="F347" s="2">
        <f t="shared" si="54"/>
        <v>2435.9499999999998</v>
      </c>
      <c r="G347" s="3">
        <v>1</v>
      </c>
      <c r="H347">
        <v>1145</v>
      </c>
      <c r="I347">
        <v>2808.3</v>
      </c>
      <c r="J347">
        <v>19365</v>
      </c>
      <c r="K347">
        <v>17770</v>
      </c>
      <c r="L347" s="2">
        <v>26.410624999999996</v>
      </c>
      <c r="M347" s="5">
        <v>198.4555</v>
      </c>
      <c r="N347" s="1">
        <v>185.0317</v>
      </c>
      <c r="O347" s="2">
        <v>4</v>
      </c>
      <c r="P347">
        <v>104</v>
      </c>
    </row>
    <row r="348" spans="1:16" x14ac:dyDescent="0.35">
      <c r="A348" s="4">
        <v>44075</v>
      </c>
      <c r="B348" t="s">
        <v>17</v>
      </c>
      <c r="C348" t="s">
        <v>14</v>
      </c>
      <c r="D348">
        <v>1</v>
      </c>
      <c r="E348" s="2">
        <v>2433.5</v>
      </c>
      <c r="F348" s="2">
        <f t="shared" si="54"/>
        <v>2435.9499999999998</v>
      </c>
      <c r="G348" s="3">
        <v>1</v>
      </c>
      <c r="H348">
        <v>1145</v>
      </c>
      <c r="I348">
        <v>2808.3</v>
      </c>
      <c r="J348">
        <v>19365</v>
      </c>
      <c r="K348">
        <v>17770</v>
      </c>
      <c r="L348" s="2">
        <v>26.410624999999996</v>
      </c>
      <c r="M348" s="5">
        <v>198.4555</v>
      </c>
      <c r="N348" s="1">
        <v>185.0317</v>
      </c>
      <c r="O348" s="2">
        <v>4</v>
      </c>
      <c r="P348">
        <v>104</v>
      </c>
    </row>
    <row r="349" spans="1:16" x14ac:dyDescent="0.35">
      <c r="A349" s="4">
        <v>44075</v>
      </c>
      <c r="B349" t="s">
        <v>17</v>
      </c>
      <c r="C349" t="s">
        <v>15</v>
      </c>
      <c r="D349">
        <v>0</v>
      </c>
      <c r="E349" s="2" t="s">
        <v>27</v>
      </c>
      <c r="F349" s="2">
        <f t="shared" si="54"/>
        <v>2435.9499999999998</v>
      </c>
      <c r="G349" s="3">
        <v>1</v>
      </c>
      <c r="H349">
        <v>1145</v>
      </c>
      <c r="I349">
        <v>2808.3</v>
      </c>
      <c r="J349">
        <v>19365</v>
      </c>
      <c r="K349">
        <v>17770</v>
      </c>
      <c r="L349" s="2">
        <v>26.410624999999996</v>
      </c>
      <c r="M349" s="5">
        <v>198.4555</v>
      </c>
      <c r="N349" s="1">
        <v>185.0317</v>
      </c>
      <c r="O349" s="2">
        <v>4</v>
      </c>
      <c r="P349">
        <v>104</v>
      </c>
    </row>
    <row r="350" spans="1:16" x14ac:dyDescent="0.35">
      <c r="A350" s="4">
        <v>44075</v>
      </c>
      <c r="B350" t="s">
        <v>18</v>
      </c>
      <c r="C350" t="s">
        <v>10</v>
      </c>
      <c r="D350">
        <v>1</v>
      </c>
      <c r="E350" s="2">
        <f>(2383+2416+2266+2350)/4</f>
        <v>2353.75</v>
      </c>
      <c r="F350" s="2">
        <f t="shared" ref="F350:F355" si="55">(2256+2254.86+2255.43+2289.43)/4</f>
        <v>2263.9300000000003</v>
      </c>
      <c r="G350" s="3">
        <v>1</v>
      </c>
      <c r="H350">
        <v>1145</v>
      </c>
      <c r="I350">
        <v>2808.3</v>
      </c>
      <c r="J350">
        <v>19365</v>
      </c>
      <c r="K350">
        <v>17770</v>
      </c>
      <c r="L350" s="2">
        <v>26.410624999999996</v>
      </c>
      <c r="M350" s="5">
        <v>198.4555</v>
      </c>
      <c r="N350" s="1">
        <v>185.0317</v>
      </c>
      <c r="O350" s="2">
        <v>4</v>
      </c>
      <c r="P350">
        <v>104</v>
      </c>
    </row>
    <row r="351" spans="1:16" x14ac:dyDescent="0.35">
      <c r="A351" s="4">
        <v>44075</v>
      </c>
      <c r="B351" t="s">
        <v>18</v>
      </c>
      <c r="C351" t="s">
        <v>11</v>
      </c>
      <c r="D351">
        <v>1</v>
      </c>
      <c r="E351" s="2">
        <v>2300</v>
      </c>
      <c r="F351" s="2">
        <f t="shared" si="55"/>
        <v>2263.9300000000003</v>
      </c>
      <c r="G351" s="3">
        <v>1</v>
      </c>
      <c r="H351">
        <v>1145</v>
      </c>
      <c r="I351">
        <v>2808.3</v>
      </c>
      <c r="J351">
        <v>19365</v>
      </c>
      <c r="K351">
        <v>17770</v>
      </c>
      <c r="L351" s="2">
        <v>26.410624999999996</v>
      </c>
      <c r="M351" s="5">
        <v>198.4555</v>
      </c>
      <c r="N351" s="1">
        <v>185.0317</v>
      </c>
      <c r="O351" s="2">
        <v>4</v>
      </c>
      <c r="P351">
        <v>104</v>
      </c>
    </row>
    <row r="352" spans="1:16" x14ac:dyDescent="0.35">
      <c r="A352" s="4">
        <v>44075</v>
      </c>
      <c r="B352" t="s">
        <v>18</v>
      </c>
      <c r="C352" t="s">
        <v>12</v>
      </c>
      <c r="D352">
        <v>1</v>
      </c>
      <c r="E352" s="2">
        <v>2295</v>
      </c>
      <c r="F352" s="2">
        <f t="shared" si="55"/>
        <v>2263.9300000000003</v>
      </c>
      <c r="G352" s="3">
        <v>1</v>
      </c>
      <c r="H352">
        <v>1145</v>
      </c>
      <c r="I352">
        <v>2808.3</v>
      </c>
      <c r="J352">
        <v>19365</v>
      </c>
      <c r="K352">
        <v>17770</v>
      </c>
      <c r="L352" s="2">
        <v>26.410624999999996</v>
      </c>
      <c r="M352" s="5">
        <v>198.4555</v>
      </c>
      <c r="N352" s="1">
        <v>185.0317</v>
      </c>
      <c r="O352" s="2">
        <v>4</v>
      </c>
      <c r="P352">
        <v>104</v>
      </c>
    </row>
    <row r="353" spans="1:16" x14ac:dyDescent="0.35">
      <c r="A353" s="4">
        <v>44075</v>
      </c>
      <c r="B353" t="s">
        <v>18</v>
      </c>
      <c r="C353" t="s">
        <v>13</v>
      </c>
      <c r="D353">
        <v>1</v>
      </c>
      <c r="E353" s="2">
        <v>2238.33</v>
      </c>
      <c r="F353" s="2">
        <f t="shared" si="55"/>
        <v>2263.9300000000003</v>
      </c>
      <c r="G353" s="3">
        <v>1</v>
      </c>
      <c r="H353">
        <v>1145</v>
      </c>
      <c r="I353">
        <v>2808.3</v>
      </c>
      <c r="J353">
        <v>19365</v>
      </c>
      <c r="K353">
        <v>17770</v>
      </c>
      <c r="L353" s="2">
        <v>26.410624999999996</v>
      </c>
      <c r="M353" s="5">
        <v>198.4555</v>
      </c>
      <c r="N353" s="1">
        <v>185.0317</v>
      </c>
      <c r="O353" s="2">
        <v>4</v>
      </c>
      <c r="P353">
        <v>104</v>
      </c>
    </row>
    <row r="354" spans="1:16" x14ac:dyDescent="0.35">
      <c r="A354" s="4">
        <v>44075</v>
      </c>
      <c r="B354" t="s">
        <v>18</v>
      </c>
      <c r="C354" t="s">
        <v>14</v>
      </c>
      <c r="D354">
        <v>1</v>
      </c>
      <c r="E354" s="2">
        <f>(2317+2288+2262+2333)/4</f>
        <v>2300</v>
      </c>
      <c r="F354" s="2">
        <f t="shared" si="55"/>
        <v>2263.9300000000003</v>
      </c>
      <c r="G354" s="3">
        <v>1</v>
      </c>
      <c r="H354">
        <v>1145</v>
      </c>
      <c r="I354">
        <v>2808.3</v>
      </c>
      <c r="J354">
        <v>19365</v>
      </c>
      <c r="K354">
        <v>17770</v>
      </c>
      <c r="L354" s="2">
        <v>26.410624999999996</v>
      </c>
      <c r="M354" s="5">
        <v>198.4555</v>
      </c>
      <c r="N354" s="1">
        <v>185.0317</v>
      </c>
      <c r="O354" s="2">
        <v>4</v>
      </c>
      <c r="P354">
        <v>104</v>
      </c>
    </row>
    <row r="355" spans="1:16" x14ac:dyDescent="0.35">
      <c r="A355" s="4">
        <v>44075</v>
      </c>
      <c r="B355" t="s">
        <v>18</v>
      </c>
      <c r="C355" t="s">
        <v>15</v>
      </c>
      <c r="D355">
        <v>1</v>
      </c>
      <c r="E355" s="2">
        <v>2312.5</v>
      </c>
      <c r="F355" s="2">
        <f t="shared" si="55"/>
        <v>2263.9300000000003</v>
      </c>
      <c r="G355" s="3">
        <v>1</v>
      </c>
      <c r="H355">
        <v>1145</v>
      </c>
      <c r="I355">
        <v>2808.3</v>
      </c>
      <c r="J355">
        <v>19365</v>
      </c>
      <c r="K355">
        <v>17770</v>
      </c>
      <c r="L355" s="2">
        <v>26.410624999999996</v>
      </c>
      <c r="M355" s="5">
        <v>198.4555</v>
      </c>
      <c r="N355" s="1">
        <v>185.0317</v>
      </c>
      <c r="O355" s="2">
        <v>4</v>
      </c>
      <c r="P355">
        <v>104</v>
      </c>
    </row>
    <row r="356" spans="1:16" x14ac:dyDescent="0.35">
      <c r="A356" s="4">
        <v>44075</v>
      </c>
      <c r="B356" t="s">
        <v>19</v>
      </c>
      <c r="C356" t="s">
        <v>10</v>
      </c>
      <c r="D356">
        <v>1</v>
      </c>
      <c r="E356" s="2">
        <f>(2150+2083+2050+2166)/4</f>
        <v>2112.25</v>
      </c>
      <c r="F356" s="2">
        <f t="shared" ref="F356:F361" si="56">(2120.43+2083.29+2077.86+2082.14)/4</f>
        <v>2090.9299999999998</v>
      </c>
      <c r="G356" s="3">
        <v>1</v>
      </c>
      <c r="H356">
        <v>1145</v>
      </c>
      <c r="I356">
        <v>2808.3</v>
      </c>
      <c r="J356">
        <v>19365</v>
      </c>
      <c r="K356">
        <v>17770</v>
      </c>
      <c r="L356" s="2">
        <v>26.410624999999996</v>
      </c>
      <c r="M356" s="5">
        <v>198.4555</v>
      </c>
      <c r="N356" s="1">
        <v>185.0317</v>
      </c>
      <c r="O356" s="2">
        <v>4</v>
      </c>
      <c r="P356">
        <v>104</v>
      </c>
    </row>
    <row r="357" spans="1:16" x14ac:dyDescent="0.35">
      <c r="A357" s="4">
        <v>44075</v>
      </c>
      <c r="B357" t="s">
        <v>19</v>
      </c>
      <c r="C357" t="s">
        <v>11</v>
      </c>
      <c r="D357">
        <v>1</v>
      </c>
      <c r="E357" s="2">
        <v>2150</v>
      </c>
      <c r="F357" s="2">
        <f t="shared" si="56"/>
        <v>2090.9299999999998</v>
      </c>
      <c r="G357" s="3">
        <v>1</v>
      </c>
      <c r="H357">
        <v>1145</v>
      </c>
      <c r="I357">
        <v>2808.3</v>
      </c>
      <c r="J357">
        <v>19365</v>
      </c>
      <c r="K357">
        <v>17770</v>
      </c>
      <c r="L357" s="2">
        <v>26.410624999999996</v>
      </c>
      <c r="M357" s="5">
        <v>198.4555</v>
      </c>
      <c r="N357" s="1">
        <v>185.0317</v>
      </c>
      <c r="O357" s="2">
        <v>4</v>
      </c>
      <c r="P357">
        <v>104</v>
      </c>
    </row>
    <row r="358" spans="1:16" x14ac:dyDescent="0.35">
      <c r="A358" s="4">
        <v>44075</v>
      </c>
      <c r="B358" t="s">
        <v>19</v>
      </c>
      <c r="C358" t="s">
        <v>12</v>
      </c>
      <c r="D358">
        <v>1</v>
      </c>
      <c r="E358" s="2">
        <f>(2167*2+2070+2066)/4</f>
        <v>2117.5</v>
      </c>
      <c r="F358" s="2">
        <f t="shared" si="56"/>
        <v>2090.9299999999998</v>
      </c>
      <c r="G358" s="3">
        <v>1</v>
      </c>
      <c r="H358">
        <v>1145</v>
      </c>
      <c r="I358">
        <v>2808.3</v>
      </c>
      <c r="J358">
        <v>19365</v>
      </c>
      <c r="K358">
        <v>17770</v>
      </c>
      <c r="L358" s="2">
        <v>26.410624999999996</v>
      </c>
      <c r="M358" s="5">
        <v>198.4555</v>
      </c>
      <c r="N358" s="1">
        <v>185.0317</v>
      </c>
      <c r="O358" s="2">
        <v>4</v>
      </c>
      <c r="P358">
        <v>104</v>
      </c>
    </row>
    <row r="359" spans="1:16" x14ac:dyDescent="0.35">
      <c r="A359" s="4">
        <v>44075</v>
      </c>
      <c r="B359" t="s">
        <v>19</v>
      </c>
      <c r="C359" t="s">
        <v>13</v>
      </c>
      <c r="D359">
        <v>1</v>
      </c>
      <c r="E359" s="2">
        <v>2197.5</v>
      </c>
      <c r="F359" s="2">
        <f t="shared" si="56"/>
        <v>2090.9299999999998</v>
      </c>
      <c r="G359" s="3">
        <v>1</v>
      </c>
      <c r="H359">
        <v>1145</v>
      </c>
      <c r="I359">
        <v>2808.3</v>
      </c>
      <c r="J359">
        <v>19365</v>
      </c>
      <c r="K359">
        <v>17770</v>
      </c>
      <c r="L359" s="2">
        <v>26.410624999999996</v>
      </c>
      <c r="M359" s="5">
        <v>198.4555</v>
      </c>
      <c r="N359" s="1">
        <v>185.0317</v>
      </c>
      <c r="O359" s="2">
        <v>4</v>
      </c>
      <c r="P359">
        <v>104</v>
      </c>
    </row>
    <row r="360" spans="1:16" x14ac:dyDescent="0.35">
      <c r="A360" s="4">
        <v>44075</v>
      </c>
      <c r="B360" t="s">
        <v>19</v>
      </c>
      <c r="C360" t="s">
        <v>14</v>
      </c>
      <c r="D360">
        <v>1</v>
      </c>
      <c r="E360" s="2">
        <f>(2203+2210+2193+2241)/4</f>
        <v>2211.75</v>
      </c>
      <c r="F360" s="2">
        <f t="shared" si="56"/>
        <v>2090.9299999999998</v>
      </c>
      <c r="G360" s="3">
        <v>1</v>
      </c>
      <c r="H360">
        <v>1145</v>
      </c>
      <c r="I360">
        <v>2808.3</v>
      </c>
      <c r="J360">
        <v>19365</v>
      </c>
      <c r="K360">
        <v>17770</v>
      </c>
      <c r="L360" s="2">
        <v>26.410624999999996</v>
      </c>
      <c r="M360" s="5">
        <v>198.4555</v>
      </c>
      <c r="N360" s="1">
        <v>185.0317</v>
      </c>
      <c r="O360" s="2">
        <v>4</v>
      </c>
      <c r="P360">
        <v>104</v>
      </c>
    </row>
    <row r="361" spans="1:16" x14ac:dyDescent="0.35">
      <c r="A361" s="4">
        <v>44075</v>
      </c>
      <c r="B361" t="s">
        <v>19</v>
      </c>
      <c r="C361" t="s">
        <v>15</v>
      </c>
      <c r="D361">
        <v>1</v>
      </c>
      <c r="E361" s="2">
        <f>(2175+2200+2215+2225)/4</f>
        <v>2203.75</v>
      </c>
      <c r="F361" s="2">
        <f t="shared" si="56"/>
        <v>2090.9299999999998</v>
      </c>
      <c r="G361" s="3">
        <v>1</v>
      </c>
      <c r="H361">
        <v>1145</v>
      </c>
      <c r="I361">
        <v>2808.3</v>
      </c>
      <c r="J361">
        <v>19365</v>
      </c>
      <c r="K361">
        <v>17770</v>
      </c>
      <c r="L361" s="2">
        <v>26.410624999999996</v>
      </c>
      <c r="M361" s="5">
        <v>198.4555</v>
      </c>
      <c r="N361" s="1">
        <v>185.0317</v>
      </c>
      <c r="O361" s="2">
        <v>4</v>
      </c>
      <c r="P361">
        <v>104</v>
      </c>
    </row>
    <row r="362" spans="1:16" x14ac:dyDescent="0.35">
      <c r="A362" s="4">
        <v>44075</v>
      </c>
      <c r="B362" t="s">
        <v>20</v>
      </c>
      <c r="C362" t="s">
        <v>10</v>
      </c>
      <c r="D362">
        <v>1</v>
      </c>
      <c r="E362" s="2">
        <f>(2016+1783+1900+1850)/4</f>
        <v>1887.25</v>
      </c>
      <c r="F362" s="2">
        <f t="shared" ref="F362:F367" si="57">(1982.5+1995.83+1989.67+2030.17)/4</f>
        <v>1999.5425</v>
      </c>
      <c r="G362" s="3">
        <v>1</v>
      </c>
      <c r="H362">
        <v>1145</v>
      </c>
      <c r="I362">
        <v>2808.3</v>
      </c>
      <c r="J362">
        <v>19365</v>
      </c>
      <c r="K362">
        <v>17770</v>
      </c>
      <c r="L362" s="2">
        <v>26.410624999999996</v>
      </c>
      <c r="M362" s="5">
        <v>198.4555</v>
      </c>
      <c r="N362" s="1">
        <v>185.0317</v>
      </c>
      <c r="O362" s="2">
        <v>4</v>
      </c>
      <c r="P362">
        <v>104</v>
      </c>
    </row>
    <row r="363" spans="1:16" x14ac:dyDescent="0.35">
      <c r="A363" s="4">
        <v>44075</v>
      </c>
      <c r="B363" t="s">
        <v>20</v>
      </c>
      <c r="C363" t="s">
        <v>11</v>
      </c>
      <c r="D363">
        <v>1</v>
      </c>
      <c r="E363" s="2">
        <v>2100</v>
      </c>
      <c r="F363" s="2">
        <f t="shared" si="57"/>
        <v>1999.5425</v>
      </c>
      <c r="G363" s="3">
        <v>1</v>
      </c>
      <c r="H363">
        <v>1145</v>
      </c>
      <c r="I363">
        <v>2808.3</v>
      </c>
      <c r="J363">
        <v>19365</v>
      </c>
      <c r="K363">
        <v>17770</v>
      </c>
      <c r="L363" s="2">
        <v>26.410624999999996</v>
      </c>
      <c r="M363" s="5">
        <v>198.4555</v>
      </c>
      <c r="N363" s="1">
        <v>185.0317</v>
      </c>
      <c r="O363" s="2">
        <v>4</v>
      </c>
      <c r="P363">
        <v>104</v>
      </c>
    </row>
    <row r="364" spans="1:16" x14ac:dyDescent="0.35">
      <c r="A364" s="4">
        <v>44075</v>
      </c>
      <c r="B364" t="s">
        <v>20</v>
      </c>
      <c r="C364" t="s">
        <v>12</v>
      </c>
      <c r="D364">
        <v>1</v>
      </c>
      <c r="E364" s="2">
        <v>1665</v>
      </c>
      <c r="F364" s="2">
        <f t="shared" si="57"/>
        <v>1999.5425</v>
      </c>
      <c r="G364" s="3">
        <v>1</v>
      </c>
      <c r="H364">
        <v>1145</v>
      </c>
      <c r="I364">
        <v>2808.3</v>
      </c>
      <c r="J364">
        <v>19365</v>
      </c>
      <c r="K364">
        <v>17770</v>
      </c>
      <c r="L364" s="2">
        <v>26.410624999999996</v>
      </c>
      <c r="M364" s="5">
        <v>198.4555</v>
      </c>
      <c r="N364" s="1">
        <v>185.0317</v>
      </c>
      <c r="O364" s="2">
        <v>4</v>
      </c>
      <c r="P364">
        <v>104</v>
      </c>
    </row>
    <row r="365" spans="1:16" x14ac:dyDescent="0.35">
      <c r="A365" s="4">
        <v>44075</v>
      </c>
      <c r="B365" t="s">
        <v>20</v>
      </c>
      <c r="C365" t="s">
        <v>13</v>
      </c>
      <c r="D365">
        <v>1</v>
      </c>
      <c r="E365" s="2">
        <f>(2100+2120+2095+2075)/4</f>
        <v>2097.5</v>
      </c>
      <c r="F365" s="2">
        <f t="shared" si="57"/>
        <v>1999.5425</v>
      </c>
      <c r="G365" s="3">
        <v>1</v>
      </c>
      <c r="H365">
        <v>1145</v>
      </c>
      <c r="I365">
        <v>2808.3</v>
      </c>
      <c r="J365">
        <v>19365</v>
      </c>
      <c r="K365">
        <v>17770</v>
      </c>
      <c r="L365" s="2">
        <v>26.410624999999996</v>
      </c>
      <c r="M365" s="5">
        <v>198.4555</v>
      </c>
      <c r="N365" s="1">
        <v>185.0317</v>
      </c>
      <c r="O365" s="2">
        <v>4</v>
      </c>
      <c r="P365">
        <v>104</v>
      </c>
    </row>
    <row r="366" spans="1:16" x14ac:dyDescent="0.35">
      <c r="A366" s="4">
        <v>44075</v>
      </c>
      <c r="B366" t="s">
        <v>20</v>
      </c>
      <c r="C366" t="s">
        <v>14</v>
      </c>
      <c r="D366">
        <v>1</v>
      </c>
      <c r="E366" s="2">
        <f>(2115+2120+2120+2150)/4</f>
        <v>2126.25</v>
      </c>
      <c r="F366" s="2">
        <f t="shared" si="57"/>
        <v>1999.5425</v>
      </c>
      <c r="G366" s="3">
        <v>1</v>
      </c>
      <c r="H366">
        <v>1145</v>
      </c>
      <c r="I366">
        <v>2808.3</v>
      </c>
      <c r="J366">
        <v>19365</v>
      </c>
      <c r="K366">
        <v>17770</v>
      </c>
      <c r="L366" s="2">
        <v>26.410624999999996</v>
      </c>
      <c r="M366" s="5">
        <v>198.4555</v>
      </c>
      <c r="N366" s="1">
        <v>185.0317</v>
      </c>
      <c r="O366" s="2">
        <v>4</v>
      </c>
      <c r="P366">
        <v>104</v>
      </c>
    </row>
    <row r="367" spans="1:16" x14ac:dyDescent="0.35">
      <c r="A367" s="4">
        <v>44075</v>
      </c>
      <c r="B367" t="s">
        <v>20</v>
      </c>
      <c r="C367" t="s">
        <v>15</v>
      </c>
      <c r="D367">
        <v>1</v>
      </c>
      <c r="E367" s="2">
        <v>2125</v>
      </c>
      <c r="F367" s="2">
        <f t="shared" si="57"/>
        <v>1999.5425</v>
      </c>
      <c r="G367" s="3">
        <v>1</v>
      </c>
      <c r="H367">
        <v>1145</v>
      </c>
      <c r="I367">
        <v>2808.3</v>
      </c>
      <c r="J367">
        <v>19365</v>
      </c>
      <c r="K367">
        <v>17770</v>
      </c>
      <c r="L367" s="2">
        <v>26.410624999999996</v>
      </c>
      <c r="M367" s="5">
        <v>198.4555</v>
      </c>
      <c r="N367" s="1">
        <v>185.0317</v>
      </c>
      <c r="O367" s="2">
        <v>4</v>
      </c>
      <c r="P367">
        <v>104</v>
      </c>
    </row>
    <row r="368" spans="1:16" x14ac:dyDescent="0.35">
      <c r="A368" s="4">
        <v>44075</v>
      </c>
      <c r="B368" t="s">
        <v>21</v>
      </c>
      <c r="C368" t="s">
        <v>10</v>
      </c>
      <c r="D368">
        <v>1</v>
      </c>
      <c r="E368" s="2">
        <f>(1566+1683+1666+1600)/4</f>
        <v>1628.75</v>
      </c>
      <c r="F368" s="2">
        <f t="shared" ref="F368:F373" si="58">(1864.33+1902.83+1909.67+1892)/4</f>
        <v>1892.2075</v>
      </c>
      <c r="G368" s="3">
        <v>1</v>
      </c>
      <c r="H368">
        <v>1145</v>
      </c>
      <c r="I368">
        <v>2808.3</v>
      </c>
      <c r="J368">
        <v>19365</v>
      </c>
      <c r="K368">
        <v>17770</v>
      </c>
      <c r="L368" s="2">
        <v>26.410624999999996</v>
      </c>
      <c r="M368" s="5">
        <v>198.4555</v>
      </c>
      <c r="N368" s="1">
        <v>185.0317</v>
      </c>
      <c r="O368" s="2">
        <v>4</v>
      </c>
      <c r="P368">
        <v>104</v>
      </c>
    </row>
    <row r="369" spans="1:16" x14ac:dyDescent="0.35">
      <c r="A369" s="4">
        <v>44075</v>
      </c>
      <c r="B369" t="s">
        <v>21</v>
      </c>
      <c r="C369" t="s">
        <v>11</v>
      </c>
      <c r="D369">
        <v>1</v>
      </c>
      <c r="E369" s="2">
        <v>2000</v>
      </c>
      <c r="F369" s="2">
        <f t="shared" si="58"/>
        <v>1892.2075</v>
      </c>
      <c r="G369" s="3">
        <v>1</v>
      </c>
      <c r="H369">
        <v>1145</v>
      </c>
      <c r="I369">
        <v>2808.3</v>
      </c>
      <c r="J369">
        <v>19365</v>
      </c>
      <c r="K369">
        <v>17770</v>
      </c>
      <c r="L369" s="2">
        <v>26.410624999999996</v>
      </c>
      <c r="M369" s="5">
        <v>198.4555</v>
      </c>
      <c r="N369" s="1">
        <v>185.0317</v>
      </c>
      <c r="O369" s="2">
        <v>4</v>
      </c>
      <c r="P369">
        <v>104</v>
      </c>
    </row>
    <row r="370" spans="1:16" x14ac:dyDescent="0.35">
      <c r="A370" s="4">
        <v>44075</v>
      </c>
      <c r="B370" t="s">
        <v>21</v>
      </c>
      <c r="C370" t="s">
        <v>12</v>
      </c>
      <c r="D370">
        <v>1</v>
      </c>
      <c r="E370" s="2">
        <f>(1567+1568+1565+1465)/4</f>
        <v>1541.25</v>
      </c>
      <c r="F370" s="2">
        <f t="shared" si="58"/>
        <v>1892.2075</v>
      </c>
      <c r="G370" s="3">
        <v>1</v>
      </c>
      <c r="H370">
        <v>1145</v>
      </c>
      <c r="I370">
        <v>2808.3</v>
      </c>
      <c r="J370">
        <v>19365</v>
      </c>
      <c r="K370">
        <v>17770</v>
      </c>
      <c r="L370" s="2">
        <v>26.410624999999996</v>
      </c>
      <c r="M370" s="5">
        <v>198.4555</v>
      </c>
      <c r="N370" s="1">
        <v>185.0317</v>
      </c>
      <c r="O370" s="2">
        <v>4</v>
      </c>
      <c r="P370">
        <v>104</v>
      </c>
    </row>
    <row r="371" spans="1:16" x14ac:dyDescent="0.35">
      <c r="A371" s="4">
        <v>44075</v>
      </c>
      <c r="B371" t="s">
        <v>21</v>
      </c>
      <c r="C371" t="s">
        <v>13</v>
      </c>
      <c r="D371">
        <v>1</v>
      </c>
      <c r="E371" s="2">
        <v>2020</v>
      </c>
      <c r="F371" s="2">
        <f t="shared" si="58"/>
        <v>1892.2075</v>
      </c>
      <c r="G371" s="3">
        <v>1</v>
      </c>
      <c r="H371">
        <v>1145</v>
      </c>
      <c r="I371">
        <v>2808.3</v>
      </c>
      <c r="J371">
        <v>19365</v>
      </c>
      <c r="K371">
        <v>17770</v>
      </c>
      <c r="L371" s="2">
        <v>26.410624999999996</v>
      </c>
      <c r="M371" s="5">
        <v>198.4555</v>
      </c>
      <c r="N371" s="1">
        <v>185.0317</v>
      </c>
      <c r="O371" s="2">
        <v>4</v>
      </c>
      <c r="P371">
        <v>104</v>
      </c>
    </row>
    <row r="372" spans="1:16" x14ac:dyDescent="0.35">
      <c r="A372" s="4">
        <v>44075</v>
      </c>
      <c r="B372" t="s">
        <v>21</v>
      </c>
      <c r="C372" t="s">
        <v>14</v>
      </c>
      <c r="D372">
        <v>1</v>
      </c>
      <c r="E372" s="2">
        <f>(2075+2094+2074+2085)/4</f>
        <v>2082</v>
      </c>
      <c r="F372" s="2">
        <f t="shared" si="58"/>
        <v>1892.2075</v>
      </c>
      <c r="G372" s="3">
        <v>1</v>
      </c>
      <c r="H372">
        <v>1145</v>
      </c>
      <c r="I372">
        <v>2808.3</v>
      </c>
      <c r="J372">
        <v>19365</v>
      </c>
      <c r="K372">
        <v>17770</v>
      </c>
      <c r="L372" s="2">
        <v>26.410624999999996</v>
      </c>
      <c r="M372" s="5">
        <v>198.4555</v>
      </c>
      <c r="N372" s="1">
        <v>185.0317</v>
      </c>
      <c r="O372" s="2">
        <v>4</v>
      </c>
      <c r="P372">
        <v>104</v>
      </c>
    </row>
    <row r="373" spans="1:16" x14ac:dyDescent="0.35">
      <c r="A373" s="4">
        <v>44075</v>
      </c>
      <c r="B373" t="s">
        <v>21</v>
      </c>
      <c r="C373" t="s">
        <v>15</v>
      </c>
      <c r="D373">
        <v>1</v>
      </c>
      <c r="E373" s="2">
        <v>2067.5</v>
      </c>
      <c r="F373" s="2">
        <f t="shared" si="58"/>
        <v>1892.2075</v>
      </c>
      <c r="G373" s="3">
        <v>1</v>
      </c>
      <c r="H373">
        <v>1145</v>
      </c>
      <c r="I373">
        <v>2808.3</v>
      </c>
      <c r="J373">
        <v>19365</v>
      </c>
      <c r="K373">
        <v>17770</v>
      </c>
      <c r="L373" s="2">
        <v>26.410624999999996</v>
      </c>
      <c r="M373" s="5">
        <v>198.4555</v>
      </c>
      <c r="N373" s="1">
        <v>185.0317</v>
      </c>
      <c r="O373" s="2">
        <v>4</v>
      </c>
      <c r="P373">
        <v>104</v>
      </c>
    </row>
    <row r="374" spans="1:16" x14ac:dyDescent="0.35">
      <c r="A374" s="4">
        <v>44075</v>
      </c>
      <c r="B374" t="s">
        <v>22</v>
      </c>
      <c r="C374" t="s">
        <v>10</v>
      </c>
      <c r="D374">
        <v>0</v>
      </c>
      <c r="E374" s="2" t="s">
        <v>27</v>
      </c>
      <c r="F374" s="2">
        <f t="shared" ref="F374:F379" si="59">(1850+1700+1800*2)/4</f>
        <v>1787.5</v>
      </c>
      <c r="G374" s="3">
        <v>1</v>
      </c>
      <c r="H374">
        <v>1145</v>
      </c>
      <c r="I374">
        <v>2808.3</v>
      </c>
      <c r="J374">
        <v>19365</v>
      </c>
      <c r="K374">
        <v>17770</v>
      </c>
      <c r="L374" s="2">
        <v>26.410624999999996</v>
      </c>
      <c r="M374" s="5">
        <v>198.4555</v>
      </c>
      <c r="N374" s="1">
        <v>185.0317</v>
      </c>
      <c r="O374" s="2">
        <v>4</v>
      </c>
      <c r="P374">
        <v>104</v>
      </c>
    </row>
    <row r="375" spans="1:16" x14ac:dyDescent="0.35">
      <c r="A375" s="4">
        <v>44075</v>
      </c>
      <c r="B375" t="s">
        <v>22</v>
      </c>
      <c r="C375" t="s">
        <v>11</v>
      </c>
      <c r="D375">
        <v>0</v>
      </c>
      <c r="E375" s="2" t="s">
        <v>27</v>
      </c>
      <c r="F375" s="2">
        <f t="shared" si="59"/>
        <v>1787.5</v>
      </c>
      <c r="G375" s="3">
        <v>1</v>
      </c>
      <c r="H375">
        <v>1145</v>
      </c>
      <c r="I375">
        <v>2808.3</v>
      </c>
      <c r="J375">
        <v>19365</v>
      </c>
      <c r="K375">
        <v>17770</v>
      </c>
      <c r="L375" s="2">
        <v>26.410624999999996</v>
      </c>
      <c r="M375" s="5">
        <v>198.4555</v>
      </c>
      <c r="N375" s="1">
        <v>185.0317</v>
      </c>
      <c r="O375" s="2">
        <v>4</v>
      </c>
      <c r="P375">
        <v>104</v>
      </c>
    </row>
    <row r="376" spans="1:16" x14ac:dyDescent="0.35">
      <c r="A376" s="4">
        <v>44075</v>
      </c>
      <c r="B376" t="s">
        <v>22</v>
      </c>
      <c r="C376" t="s">
        <v>12</v>
      </c>
      <c r="D376">
        <v>0</v>
      </c>
      <c r="E376" s="2" t="s">
        <v>27</v>
      </c>
      <c r="F376" s="2">
        <f t="shared" si="59"/>
        <v>1787.5</v>
      </c>
      <c r="G376" s="3">
        <v>1</v>
      </c>
      <c r="H376">
        <v>1145</v>
      </c>
      <c r="I376">
        <v>2808.3</v>
      </c>
      <c r="J376">
        <v>19365</v>
      </c>
      <c r="K376">
        <v>17770</v>
      </c>
      <c r="L376" s="2">
        <v>26.410624999999996</v>
      </c>
      <c r="M376" s="5">
        <v>198.4555</v>
      </c>
      <c r="N376" s="1">
        <v>185.0317</v>
      </c>
      <c r="O376" s="2">
        <v>4</v>
      </c>
      <c r="P376">
        <v>104</v>
      </c>
    </row>
    <row r="377" spans="1:16" x14ac:dyDescent="0.35">
      <c r="A377" s="4">
        <v>44075</v>
      </c>
      <c r="B377" t="s">
        <v>22</v>
      </c>
      <c r="C377" t="s">
        <v>13</v>
      </c>
      <c r="D377">
        <v>0</v>
      </c>
      <c r="E377" s="2" t="s">
        <v>27</v>
      </c>
      <c r="F377" s="2">
        <f t="shared" si="59"/>
        <v>1787.5</v>
      </c>
      <c r="G377" s="3">
        <v>1</v>
      </c>
      <c r="H377">
        <v>1145</v>
      </c>
      <c r="I377">
        <v>2808.3</v>
      </c>
      <c r="J377">
        <v>19365</v>
      </c>
      <c r="K377">
        <v>17770</v>
      </c>
      <c r="L377" s="2">
        <v>26.410624999999996</v>
      </c>
      <c r="M377" s="5">
        <v>198.4555</v>
      </c>
      <c r="N377" s="1">
        <v>185.0317</v>
      </c>
      <c r="O377" s="2">
        <v>4</v>
      </c>
      <c r="P377">
        <v>104</v>
      </c>
    </row>
    <row r="378" spans="1:16" x14ac:dyDescent="0.35">
      <c r="A378" s="4">
        <v>44075</v>
      </c>
      <c r="B378" t="s">
        <v>22</v>
      </c>
      <c r="C378" t="s">
        <v>14</v>
      </c>
      <c r="D378">
        <v>1</v>
      </c>
      <c r="E378" s="2">
        <f>(1850+1700+1800*2)/4</f>
        <v>1787.5</v>
      </c>
      <c r="F378" s="2">
        <f t="shared" si="59"/>
        <v>1787.5</v>
      </c>
      <c r="G378" s="3">
        <v>1</v>
      </c>
      <c r="H378">
        <v>1145</v>
      </c>
      <c r="I378">
        <v>2808.3</v>
      </c>
      <c r="J378">
        <v>19365</v>
      </c>
      <c r="K378">
        <v>17770</v>
      </c>
      <c r="L378" s="2">
        <v>26.410624999999996</v>
      </c>
      <c r="M378" s="5">
        <v>198.4555</v>
      </c>
      <c r="N378" s="1">
        <v>185.0317</v>
      </c>
      <c r="O378" s="2">
        <v>4</v>
      </c>
      <c r="P378">
        <v>104</v>
      </c>
    </row>
    <row r="379" spans="1:16" x14ac:dyDescent="0.35">
      <c r="A379" s="4">
        <v>44075</v>
      </c>
      <c r="B379" t="s">
        <v>22</v>
      </c>
      <c r="C379" t="s">
        <v>15</v>
      </c>
      <c r="D379">
        <v>0</v>
      </c>
      <c r="E379" s="2" t="s">
        <v>27</v>
      </c>
      <c r="F379" s="2">
        <f t="shared" si="59"/>
        <v>1787.5</v>
      </c>
      <c r="G379" s="3">
        <v>1</v>
      </c>
      <c r="H379">
        <v>1145</v>
      </c>
      <c r="I379">
        <v>2808.3</v>
      </c>
      <c r="J379">
        <v>19365</v>
      </c>
      <c r="K379">
        <v>17770</v>
      </c>
      <c r="L379" s="2">
        <v>26.410624999999996</v>
      </c>
      <c r="M379" s="5">
        <v>198.4555</v>
      </c>
      <c r="N379" s="1">
        <v>185.0317</v>
      </c>
      <c r="O379" s="2">
        <v>4</v>
      </c>
      <c r="P379">
        <v>104</v>
      </c>
    </row>
    <row r="380" spans="1:16" x14ac:dyDescent="0.35">
      <c r="A380" s="4">
        <v>44105</v>
      </c>
      <c r="B380" t="s">
        <v>16</v>
      </c>
      <c r="C380" t="s">
        <v>10</v>
      </c>
      <c r="D380">
        <v>1</v>
      </c>
      <c r="E380" s="2">
        <f>(3000+2966+3033+3133)/4</f>
        <v>3033</v>
      </c>
      <c r="F380" s="2">
        <f t="shared" ref="F380:F385" si="60">(2941.25+2932.75+2946.5+2977.75)/4</f>
        <v>2949.5625</v>
      </c>
      <c r="G380" s="3">
        <v>1</v>
      </c>
      <c r="H380">
        <v>2290</v>
      </c>
      <c r="I380">
        <v>2808.3</v>
      </c>
      <c r="J380">
        <v>24225</v>
      </c>
      <c r="K380">
        <v>22212</v>
      </c>
      <c r="L380" s="2">
        <v>26.730625</v>
      </c>
      <c r="M380" s="5">
        <v>90.794499999999999</v>
      </c>
      <c r="N380" s="1">
        <v>184.43790000000001</v>
      </c>
      <c r="O380" s="2">
        <v>4</v>
      </c>
      <c r="P380">
        <v>104</v>
      </c>
    </row>
    <row r="381" spans="1:16" x14ac:dyDescent="0.35">
      <c r="A381" s="4">
        <v>44105</v>
      </c>
      <c r="B381" t="s">
        <v>16</v>
      </c>
      <c r="C381" t="s">
        <v>11</v>
      </c>
      <c r="D381">
        <v>0</v>
      </c>
      <c r="E381" s="2" t="s">
        <v>27</v>
      </c>
      <c r="F381" s="2">
        <f t="shared" si="60"/>
        <v>2949.5625</v>
      </c>
      <c r="G381" s="3">
        <v>1</v>
      </c>
      <c r="H381">
        <v>2290</v>
      </c>
      <c r="I381">
        <v>2808.3</v>
      </c>
      <c r="J381">
        <v>24225</v>
      </c>
      <c r="K381">
        <v>22212</v>
      </c>
      <c r="L381" s="2">
        <v>26.730625</v>
      </c>
      <c r="M381" s="5">
        <v>90.794499999999999</v>
      </c>
      <c r="N381" s="1">
        <v>184.43790000000001</v>
      </c>
      <c r="O381" s="2">
        <v>4</v>
      </c>
      <c r="P381">
        <v>104</v>
      </c>
    </row>
    <row r="382" spans="1:16" x14ac:dyDescent="0.35">
      <c r="A382" s="4">
        <v>44105</v>
      </c>
      <c r="B382" t="s">
        <v>16</v>
      </c>
      <c r="C382" t="s">
        <v>12</v>
      </c>
      <c r="D382">
        <v>1</v>
      </c>
      <c r="E382" s="2">
        <v>2865</v>
      </c>
      <c r="F382" s="2">
        <f t="shared" si="60"/>
        <v>2949.5625</v>
      </c>
      <c r="G382" s="3">
        <v>1</v>
      </c>
      <c r="H382">
        <v>2290</v>
      </c>
      <c r="I382">
        <v>2808.3</v>
      </c>
      <c r="J382">
        <v>24225</v>
      </c>
      <c r="K382">
        <v>22212</v>
      </c>
      <c r="L382" s="2">
        <v>26.730625</v>
      </c>
      <c r="M382" s="5">
        <v>90.794499999999999</v>
      </c>
      <c r="N382" s="1">
        <v>184.43790000000001</v>
      </c>
      <c r="O382" s="2">
        <v>4</v>
      </c>
      <c r="P382">
        <v>104</v>
      </c>
    </row>
    <row r="383" spans="1:16" x14ac:dyDescent="0.35">
      <c r="A383" s="4">
        <v>44105</v>
      </c>
      <c r="B383" t="s">
        <v>16</v>
      </c>
      <c r="C383" t="s">
        <v>13</v>
      </c>
      <c r="D383">
        <v>1</v>
      </c>
      <c r="E383" s="2">
        <v>3050</v>
      </c>
      <c r="F383" s="2">
        <f t="shared" si="60"/>
        <v>2949.5625</v>
      </c>
      <c r="G383" s="3">
        <v>1</v>
      </c>
      <c r="H383">
        <v>2290</v>
      </c>
      <c r="I383">
        <v>2808.3</v>
      </c>
      <c r="J383">
        <v>24225</v>
      </c>
      <c r="K383">
        <v>22212</v>
      </c>
      <c r="L383" s="2">
        <v>26.730625</v>
      </c>
      <c r="M383" s="5">
        <v>90.794499999999999</v>
      </c>
      <c r="N383" s="1">
        <v>184.43790000000001</v>
      </c>
      <c r="O383" s="2">
        <v>4</v>
      </c>
      <c r="P383">
        <v>104</v>
      </c>
    </row>
    <row r="384" spans="1:16" x14ac:dyDescent="0.35">
      <c r="A384" s="4">
        <v>44105</v>
      </c>
      <c r="B384" t="s">
        <v>16</v>
      </c>
      <c r="C384" t="s">
        <v>14</v>
      </c>
      <c r="D384">
        <v>1</v>
      </c>
      <c r="E384" s="2">
        <f>(2863+2838+2850*2)/4</f>
        <v>2850.25</v>
      </c>
      <c r="F384" s="2">
        <f t="shared" si="60"/>
        <v>2949.5625</v>
      </c>
      <c r="G384" s="3">
        <v>1</v>
      </c>
      <c r="H384">
        <v>2290</v>
      </c>
      <c r="I384">
        <v>2808.3</v>
      </c>
      <c r="J384">
        <v>24225</v>
      </c>
      <c r="K384">
        <v>22212</v>
      </c>
      <c r="L384" s="2">
        <v>26.730625</v>
      </c>
      <c r="M384" s="5">
        <v>90.794499999999999</v>
      </c>
      <c r="N384" s="1">
        <v>184.43790000000001</v>
      </c>
      <c r="O384" s="2">
        <v>4</v>
      </c>
      <c r="P384">
        <v>104</v>
      </c>
    </row>
    <row r="385" spans="1:16" x14ac:dyDescent="0.35">
      <c r="A385" s="4">
        <v>44105</v>
      </c>
      <c r="B385" t="s">
        <v>16</v>
      </c>
      <c r="C385" t="s">
        <v>15</v>
      </c>
      <c r="D385">
        <v>0</v>
      </c>
      <c r="E385" s="2" t="s">
        <v>27</v>
      </c>
      <c r="F385" s="2">
        <f t="shared" si="60"/>
        <v>2949.5625</v>
      </c>
      <c r="G385" s="3">
        <v>1</v>
      </c>
      <c r="H385">
        <v>2290</v>
      </c>
      <c r="I385">
        <v>2808.3</v>
      </c>
      <c r="J385">
        <v>24225</v>
      </c>
      <c r="K385">
        <v>22212</v>
      </c>
      <c r="L385" s="2">
        <v>26.730625</v>
      </c>
      <c r="M385" s="5">
        <v>90.794499999999999</v>
      </c>
      <c r="N385" s="1">
        <v>184.43790000000001</v>
      </c>
      <c r="O385" s="2">
        <v>4</v>
      </c>
      <c r="P385">
        <v>104</v>
      </c>
    </row>
    <row r="386" spans="1:16" x14ac:dyDescent="0.35">
      <c r="A386" s="4">
        <v>44105</v>
      </c>
      <c r="B386" t="s">
        <v>17</v>
      </c>
      <c r="C386" t="s">
        <v>10</v>
      </c>
      <c r="D386">
        <v>1</v>
      </c>
      <c r="E386" s="2">
        <f>(2450+2616+2600+2583)/4</f>
        <v>2562.25</v>
      </c>
      <c r="F386" s="2">
        <f t="shared" ref="F386:F391" si="61">(2490.6+2516.6+2504.8+2543)/4</f>
        <v>2513.75</v>
      </c>
      <c r="G386" s="3">
        <v>1</v>
      </c>
      <c r="H386">
        <v>2290</v>
      </c>
      <c r="I386">
        <v>2808.3</v>
      </c>
      <c r="J386">
        <v>24225</v>
      </c>
      <c r="K386">
        <v>22212</v>
      </c>
      <c r="L386" s="2">
        <v>26.730625</v>
      </c>
      <c r="M386" s="5">
        <v>90.794499999999999</v>
      </c>
      <c r="N386" s="1">
        <v>184.43790000000001</v>
      </c>
      <c r="O386" s="2">
        <v>4</v>
      </c>
      <c r="P386">
        <v>104</v>
      </c>
    </row>
    <row r="387" spans="1:16" x14ac:dyDescent="0.35">
      <c r="A387" s="4">
        <v>44105</v>
      </c>
      <c r="B387" t="s">
        <v>17</v>
      </c>
      <c r="C387" t="s">
        <v>11</v>
      </c>
      <c r="D387">
        <v>1</v>
      </c>
      <c r="E387" s="2">
        <v>2416.67</v>
      </c>
      <c r="F387" s="2">
        <f t="shared" si="61"/>
        <v>2513.75</v>
      </c>
      <c r="G387" s="3">
        <v>1</v>
      </c>
      <c r="H387">
        <v>2290</v>
      </c>
      <c r="I387">
        <v>2808.3</v>
      </c>
      <c r="J387">
        <v>24225</v>
      </c>
      <c r="K387">
        <v>22212</v>
      </c>
      <c r="L387" s="2">
        <v>26.730625</v>
      </c>
      <c r="M387" s="5">
        <v>90.794499999999999</v>
      </c>
      <c r="N387" s="1">
        <v>184.43790000000001</v>
      </c>
      <c r="O387" s="2">
        <v>4</v>
      </c>
      <c r="P387">
        <v>104</v>
      </c>
    </row>
    <row r="388" spans="1:16" x14ac:dyDescent="0.35">
      <c r="A388" s="4">
        <v>44105</v>
      </c>
      <c r="B388" t="s">
        <v>17</v>
      </c>
      <c r="C388" t="s">
        <v>12</v>
      </c>
      <c r="D388">
        <v>1</v>
      </c>
      <c r="E388" s="2">
        <v>2490</v>
      </c>
      <c r="F388" s="2">
        <f t="shared" si="61"/>
        <v>2513.75</v>
      </c>
      <c r="G388" s="3">
        <v>1</v>
      </c>
      <c r="H388">
        <v>2290</v>
      </c>
      <c r="I388">
        <v>2808.3</v>
      </c>
      <c r="J388">
        <v>24225</v>
      </c>
      <c r="K388">
        <v>22212</v>
      </c>
      <c r="L388" s="2">
        <v>26.730625</v>
      </c>
      <c r="M388" s="5">
        <v>90.794499999999999</v>
      </c>
      <c r="N388" s="1">
        <v>184.43790000000001</v>
      </c>
      <c r="O388" s="2">
        <v>4</v>
      </c>
      <c r="P388">
        <v>104</v>
      </c>
    </row>
    <row r="389" spans="1:16" x14ac:dyDescent="0.35">
      <c r="A389" s="4">
        <v>44105</v>
      </c>
      <c r="B389" t="s">
        <v>17</v>
      </c>
      <c r="C389" t="s">
        <v>13</v>
      </c>
      <c r="D389">
        <v>1</v>
      </c>
      <c r="E389" s="2">
        <v>2480</v>
      </c>
      <c r="F389" s="2">
        <f t="shared" si="61"/>
        <v>2513.75</v>
      </c>
      <c r="G389" s="3">
        <v>1</v>
      </c>
      <c r="H389">
        <v>2290</v>
      </c>
      <c r="I389">
        <v>2808.3</v>
      </c>
      <c r="J389">
        <v>24225</v>
      </c>
      <c r="K389">
        <v>22212</v>
      </c>
      <c r="L389" s="2">
        <v>26.730625</v>
      </c>
      <c r="M389" s="5">
        <v>90.794499999999999</v>
      </c>
      <c r="N389" s="1">
        <v>184.43790000000001</v>
      </c>
      <c r="O389" s="2">
        <v>4</v>
      </c>
      <c r="P389">
        <v>104</v>
      </c>
    </row>
    <row r="390" spans="1:16" x14ac:dyDescent="0.35">
      <c r="A390" s="4">
        <v>44105</v>
      </c>
      <c r="B390" t="s">
        <v>17</v>
      </c>
      <c r="C390" t="s">
        <v>14</v>
      </c>
      <c r="D390">
        <v>1</v>
      </c>
      <c r="E390" s="2">
        <f>(2525+2538+2563+2500)/4</f>
        <v>2531.5</v>
      </c>
      <c r="F390" s="2">
        <f t="shared" si="61"/>
        <v>2513.75</v>
      </c>
      <c r="G390" s="3">
        <v>1</v>
      </c>
      <c r="H390">
        <v>2290</v>
      </c>
      <c r="I390">
        <v>2808.3</v>
      </c>
      <c r="J390">
        <v>24225</v>
      </c>
      <c r="K390">
        <v>22212</v>
      </c>
      <c r="L390" s="2">
        <v>26.730625</v>
      </c>
      <c r="M390" s="5">
        <v>90.794499999999999</v>
      </c>
      <c r="N390" s="1">
        <v>184.43790000000001</v>
      </c>
      <c r="O390" s="2">
        <v>4</v>
      </c>
      <c r="P390">
        <v>104</v>
      </c>
    </row>
    <row r="391" spans="1:16" x14ac:dyDescent="0.35">
      <c r="A391" s="4">
        <v>44105</v>
      </c>
      <c r="B391" t="s">
        <v>17</v>
      </c>
      <c r="C391" t="s">
        <v>15</v>
      </c>
      <c r="D391">
        <v>0</v>
      </c>
      <c r="E391" s="2" t="s">
        <v>27</v>
      </c>
      <c r="F391" s="2">
        <f t="shared" si="61"/>
        <v>2513.75</v>
      </c>
      <c r="G391" s="3">
        <v>1</v>
      </c>
      <c r="H391">
        <v>2290</v>
      </c>
      <c r="I391">
        <v>2808.3</v>
      </c>
      <c r="J391">
        <v>24225</v>
      </c>
      <c r="K391">
        <v>22212</v>
      </c>
      <c r="L391" s="2">
        <v>26.730625</v>
      </c>
      <c r="M391" s="5">
        <v>90.794499999999999</v>
      </c>
      <c r="N391" s="1">
        <v>184.43790000000001</v>
      </c>
      <c r="O391" s="2">
        <v>4</v>
      </c>
      <c r="P391">
        <v>104</v>
      </c>
    </row>
    <row r="392" spans="1:16" x14ac:dyDescent="0.35">
      <c r="A392" s="4">
        <v>44105</v>
      </c>
      <c r="B392" t="s">
        <v>18</v>
      </c>
      <c r="C392" t="s">
        <v>10</v>
      </c>
      <c r="D392">
        <v>1</v>
      </c>
      <c r="E392" s="2">
        <f>(2420+2416+2433*2)/4</f>
        <v>2425.5</v>
      </c>
      <c r="F392" s="2">
        <f t="shared" ref="F392:F397" si="62">(2316.33+2326.33+2329+2264.71)/4</f>
        <v>2309.0924999999997</v>
      </c>
      <c r="G392" s="3">
        <v>1</v>
      </c>
      <c r="H392">
        <v>2290</v>
      </c>
      <c r="I392">
        <v>2808.3</v>
      </c>
      <c r="J392">
        <v>24225</v>
      </c>
      <c r="K392">
        <v>22212</v>
      </c>
      <c r="L392" s="2">
        <v>26.730625</v>
      </c>
      <c r="M392" s="5">
        <v>90.794499999999999</v>
      </c>
      <c r="N392" s="1">
        <v>184.43790000000001</v>
      </c>
      <c r="O392" s="2">
        <v>4</v>
      </c>
      <c r="P392">
        <v>104</v>
      </c>
    </row>
    <row r="393" spans="1:16" x14ac:dyDescent="0.35">
      <c r="A393" s="4">
        <v>44105</v>
      </c>
      <c r="B393" t="s">
        <v>18</v>
      </c>
      <c r="C393" t="s">
        <v>11</v>
      </c>
      <c r="D393">
        <v>1</v>
      </c>
      <c r="E393" s="2">
        <v>2300</v>
      </c>
      <c r="F393" s="2">
        <f t="shared" si="62"/>
        <v>2309.0924999999997</v>
      </c>
      <c r="G393" s="3">
        <v>1</v>
      </c>
      <c r="H393">
        <v>2290</v>
      </c>
      <c r="I393">
        <v>2808.3</v>
      </c>
      <c r="J393">
        <v>24225</v>
      </c>
      <c r="K393">
        <v>22212</v>
      </c>
      <c r="L393" s="2">
        <v>26.730625</v>
      </c>
      <c r="M393" s="5">
        <v>90.794499999999999</v>
      </c>
      <c r="N393" s="1">
        <v>184.43790000000001</v>
      </c>
      <c r="O393" s="2">
        <v>4</v>
      </c>
      <c r="P393">
        <v>104</v>
      </c>
    </row>
    <row r="394" spans="1:16" x14ac:dyDescent="0.35">
      <c r="A394" s="4">
        <v>44105</v>
      </c>
      <c r="B394" t="s">
        <v>18</v>
      </c>
      <c r="C394" t="s">
        <v>12</v>
      </c>
      <c r="D394">
        <v>1</v>
      </c>
      <c r="E394" s="2">
        <v>2284</v>
      </c>
      <c r="F394" s="2">
        <f t="shared" si="62"/>
        <v>2309.0924999999997</v>
      </c>
      <c r="G394" s="3">
        <v>1</v>
      </c>
      <c r="H394">
        <v>2290</v>
      </c>
      <c r="I394">
        <v>2808.3</v>
      </c>
      <c r="J394">
        <v>24225</v>
      </c>
      <c r="K394">
        <v>22212</v>
      </c>
      <c r="L394" s="2">
        <v>26.730625</v>
      </c>
      <c r="M394" s="5">
        <v>90.794499999999999</v>
      </c>
      <c r="N394" s="1">
        <v>184.43790000000001</v>
      </c>
      <c r="O394" s="2">
        <v>4</v>
      </c>
      <c r="P394">
        <v>104</v>
      </c>
    </row>
    <row r="395" spans="1:16" x14ac:dyDescent="0.35">
      <c r="A395" s="4">
        <v>44105</v>
      </c>
      <c r="B395" t="s">
        <v>18</v>
      </c>
      <c r="C395" t="s">
        <v>13</v>
      </c>
      <c r="D395">
        <v>1</v>
      </c>
      <c r="E395" s="2">
        <v>2330</v>
      </c>
      <c r="F395" s="2">
        <f t="shared" si="62"/>
        <v>2309.0924999999997</v>
      </c>
      <c r="G395" s="3">
        <v>1</v>
      </c>
      <c r="H395">
        <v>2290</v>
      </c>
      <c r="I395">
        <v>2808.3</v>
      </c>
      <c r="J395">
        <v>24225</v>
      </c>
      <c r="K395">
        <v>22212</v>
      </c>
      <c r="L395" s="2">
        <v>26.730625</v>
      </c>
      <c r="M395" s="5">
        <v>90.794499999999999</v>
      </c>
      <c r="N395" s="1">
        <v>184.43790000000001</v>
      </c>
      <c r="O395" s="2">
        <v>4</v>
      </c>
      <c r="P395">
        <v>104</v>
      </c>
    </row>
    <row r="396" spans="1:16" x14ac:dyDescent="0.35">
      <c r="A396" s="4">
        <v>44105</v>
      </c>
      <c r="B396" t="s">
        <v>18</v>
      </c>
      <c r="C396" t="s">
        <v>14</v>
      </c>
      <c r="D396">
        <v>1</v>
      </c>
      <c r="E396" s="2">
        <v>2315</v>
      </c>
      <c r="F396" s="2">
        <f t="shared" si="62"/>
        <v>2309.0924999999997</v>
      </c>
      <c r="G396" s="3">
        <v>1</v>
      </c>
      <c r="H396">
        <v>2290</v>
      </c>
      <c r="I396">
        <v>2808.3</v>
      </c>
      <c r="J396">
        <v>24225</v>
      </c>
      <c r="K396">
        <v>22212</v>
      </c>
      <c r="L396" s="2">
        <v>26.730625</v>
      </c>
      <c r="M396" s="5">
        <v>90.794499999999999</v>
      </c>
      <c r="N396" s="1">
        <v>184.43790000000001</v>
      </c>
      <c r="O396" s="2">
        <v>4</v>
      </c>
      <c r="P396">
        <v>104</v>
      </c>
    </row>
    <row r="397" spans="1:16" x14ac:dyDescent="0.35">
      <c r="A397" s="4">
        <v>44105</v>
      </c>
      <c r="B397" t="s">
        <v>18</v>
      </c>
      <c r="C397" t="s">
        <v>15</v>
      </c>
      <c r="D397">
        <v>1</v>
      </c>
      <c r="E397" s="2">
        <f>(2240+2300*2+2250)/4</f>
        <v>2272.5</v>
      </c>
      <c r="F397" s="2">
        <f t="shared" si="62"/>
        <v>2309.0924999999997</v>
      </c>
      <c r="G397" s="3">
        <v>1</v>
      </c>
      <c r="H397">
        <v>2290</v>
      </c>
      <c r="I397">
        <v>2808.3</v>
      </c>
      <c r="J397">
        <v>24225</v>
      </c>
      <c r="K397">
        <v>22212</v>
      </c>
      <c r="L397" s="2">
        <v>26.730625</v>
      </c>
      <c r="M397" s="5">
        <v>90.794499999999999</v>
      </c>
      <c r="N397" s="1">
        <v>184.43790000000001</v>
      </c>
      <c r="O397" s="2">
        <v>4</v>
      </c>
      <c r="P397">
        <v>104</v>
      </c>
    </row>
    <row r="398" spans="1:16" x14ac:dyDescent="0.35">
      <c r="A398" s="4">
        <v>44105</v>
      </c>
      <c r="B398" t="s">
        <v>19</v>
      </c>
      <c r="C398" t="s">
        <v>10</v>
      </c>
      <c r="D398">
        <v>1</v>
      </c>
      <c r="E398" s="2">
        <f>(2100+2133+2183+2216)/4</f>
        <v>2158</v>
      </c>
      <c r="F398" s="2">
        <f t="shared" ref="F398:F403" si="63">(2208.67+2218.5+2200.67+2108)/4</f>
        <v>2183.96</v>
      </c>
      <c r="G398" s="3">
        <v>1</v>
      </c>
      <c r="H398">
        <v>2290</v>
      </c>
      <c r="I398">
        <v>2808.3</v>
      </c>
      <c r="J398">
        <v>24225</v>
      </c>
      <c r="K398">
        <v>22212</v>
      </c>
      <c r="L398" s="2">
        <v>26.730625</v>
      </c>
      <c r="M398" s="5">
        <v>90.794499999999999</v>
      </c>
      <c r="N398" s="1">
        <v>184.43790000000001</v>
      </c>
      <c r="O398" s="2">
        <v>4</v>
      </c>
      <c r="P398">
        <v>104</v>
      </c>
    </row>
    <row r="399" spans="1:16" x14ac:dyDescent="0.35">
      <c r="A399" s="4">
        <v>44105</v>
      </c>
      <c r="B399" t="s">
        <v>19</v>
      </c>
      <c r="C399" t="s">
        <v>11</v>
      </c>
      <c r="D399">
        <v>1</v>
      </c>
      <c r="E399" s="2">
        <v>2200</v>
      </c>
      <c r="F399" s="2">
        <f t="shared" si="63"/>
        <v>2183.96</v>
      </c>
      <c r="G399" s="3">
        <v>1</v>
      </c>
      <c r="H399">
        <v>2290</v>
      </c>
      <c r="I399">
        <v>2808.3</v>
      </c>
      <c r="J399">
        <v>24225</v>
      </c>
      <c r="K399">
        <v>22212</v>
      </c>
      <c r="L399" s="2">
        <v>26.730625</v>
      </c>
      <c r="M399" s="5">
        <v>90.794499999999999</v>
      </c>
      <c r="N399" s="1">
        <v>184.43790000000001</v>
      </c>
      <c r="O399" s="2">
        <v>4</v>
      </c>
      <c r="P399">
        <v>104</v>
      </c>
    </row>
    <row r="400" spans="1:16" x14ac:dyDescent="0.35">
      <c r="A400" s="4">
        <v>44105</v>
      </c>
      <c r="B400" t="s">
        <v>19</v>
      </c>
      <c r="C400" t="s">
        <v>12</v>
      </c>
      <c r="D400">
        <v>1</v>
      </c>
      <c r="E400" s="2">
        <v>2167</v>
      </c>
      <c r="F400" s="2">
        <f t="shared" si="63"/>
        <v>2183.96</v>
      </c>
      <c r="G400" s="3">
        <v>1</v>
      </c>
      <c r="H400">
        <v>2290</v>
      </c>
      <c r="I400">
        <v>2808.3</v>
      </c>
      <c r="J400">
        <v>24225</v>
      </c>
      <c r="K400">
        <v>22212</v>
      </c>
      <c r="L400" s="2">
        <v>26.730625</v>
      </c>
      <c r="M400" s="5">
        <v>90.794499999999999</v>
      </c>
      <c r="N400" s="1">
        <v>184.43790000000001</v>
      </c>
      <c r="O400" s="2">
        <v>4</v>
      </c>
      <c r="P400">
        <v>104</v>
      </c>
    </row>
    <row r="401" spans="1:16" x14ac:dyDescent="0.35">
      <c r="A401" s="4">
        <v>44105</v>
      </c>
      <c r="B401" t="s">
        <v>19</v>
      </c>
      <c r="C401" t="s">
        <v>13</v>
      </c>
      <c r="D401">
        <v>1</v>
      </c>
      <c r="E401" s="2">
        <v>2235</v>
      </c>
      <c r="F401" s="2">
        <f t="shared" si="63"/>
        <v>2183.96</v>
      </c>
      <c r="G401" s="3">
        <v>1</v>
      </c>
      <c r="H401">
        <v>2290</v>
      </c>
      <c r="I401">
        <v>2808.3</v>
      </c>
      <c r="J401">
        <v>24225</v>
      </c>
      <c r="K401">
        <v>22212</v>
      </c>
      <c r="L401" s="2">
        <v>26.730625</v>
      </c>
      <c r="M401" s="5">
        <v>90.794499999999999</v>
      </c>
      <c r="N401" s="1">
        <v>184.43790000000001</v>
      </c>
      <c r="O401" s="2">
        <v>4</v>
      </c>
      <c r="P401">
        <v>104</v>
      </c>
    </row>
    <row r="402" spans="1:16" x14ac:dyDescent="0.35">
      <c r="A402" s="4">
        <v>44105</v>
      </c>
      <c r="B402" t="s">
        <v>19</v>
      </c>
      <c r="C402" t="s">
        <v>14</v>
      </c>
      <c r="D402">
        <v>1</v>
      </c>
      <c r="E402" s="2">
        <f>(2229+2236+2264*2)/4</f>
        <v>2248.25</v>
      </c>
      <c r="F402" s="2">
        <f t="shared" si="63"/>
        <v>2183.96</v>
      </c>
      <c r="G402" s="3">
        <v>1</v>
      </c>
      <c r="H402">
        <v>2290</v>
      </c>
      <c r="I402">
        <v>2808.3</v>
      </c>
      <c r="J402">
        <v>24225</v>
      </c>
      <c r="K402">
        <v>22212</v>
      </c>
      <c r="L402" s="2">
        <v>26.730625</v>
      </c>
      <c r="M402" s="5">
        <v>90.794499999999999</v>
      </c>
      <c r="N402" s="1">
        <v>184.43790000000001</v>
      </c>
      <c r="O402" s="2">
        <v>4</v>
      </c>
      <c r="P402">
        <v>104</v>
      </c>
    </row>
    <row r="403" spans="1:16" x14ac:dyDescent="0.35">
      <c r="A403" s="4">
        <v>44105</v>
      </c>
      <c r="B403" t="s">
        <v>19</v>
      </c>
      <c r="C403" t="s">
        <v>15</v>
      </c>
      <c r="D403">
        <v>1</v>
      </c>
      <c r="E403" s="2">
        <v>2225</v>
      </c>
      <c r="F403" s="2">
        <f t="shared" si="63"/>
        <v>2183.96</v>
      </c>
      <c r="G403" s="3">
        <v>1</v>
      </c>
      <c r="H403">
        <v>2290</v>
      </c>
      <c r="I403">
        <v>2808.3</v>
      </c>
      <c r="J403">
        <v>24225</v>
      </c>
      <c r="K403">
        <v>22212</v>
      </c>
      <c r="L403" s="2">
        <v>26.730625</v>
      </c>
      <c r="M403" s="5">
        <v>90.794499999999999</v>
      </c>
      <c r="N403" s="1">
        <v>184.43790000000001</v>
      </c>
      <c r="O403" s="2">
        <v>4</v>
      </c>
      <c r="P403">
        <v>104</v>
      </c>
    </row>
    <row r="404" spans="1:16" x14ac:dyDescent="0.35">
      <c r="A404" s="4">
        <v>44105</v>
      </c>
      <c r="B404" t="s">
        <v>20</v>
      </c>
      <c r="C404" t="s">
        <v>10</v>
      </c>
      <c r="D404">
        <v>1</v>
      </c>
      <c r="E404" s="2">
        <f>(1850+1700+1750+1616)/4</f>
        <v>1729</v>
      </c>
      <c r="F404" s="2">
        <f t="shared" ref="F404:F409" si="64">(1961.5+1976.5+1991+2003.17)/4</f>
        <v>1983.0425</v>
      </c>
      <c r="G404" s="3">
        <v>1</v>
      </c>
      <c r="H404">
        <v>2290</v>
      </c>
      <c r="I404">
        <v>2808.3</v>
      </c>
      <c r="J404">
        <v>24225</v>
      </c>
      <c r="K404">
        <v>22212</v>
      </c>
      <c r="L404" s="2">
        <v>26.730625</v>
      </c>
      <c r="M404" s="5">
        <v>90.794499999999999</v>
      </c>
      <c r="N404" s="1">
        <v>184.43790000000001</v>
      </c>
      <c r="O404" s="2">
        <v>4</v>
      </c>
      <c r="P404">
        <v>104</v>
      </c>
    </row>
    <row r="405" spans="1:16" x14ac:dyDescent="0.35">
      <c r="A405" s="4">
        <v>44105</v>
      </c>
      <c r="B405" t="s">
        <v>20</v>
      </c>
      <c r="C405" t="s">
        <v>11</v>
      </c>
      <c r="D405">
        <v>1</v>
      </c>
      <c r="E405" s="2">
        <v>2100</v>
      </c>
      <c r="F405" s="2">
        <f t="shared" si="64"/>
        <v>1983.0425</v>
      </c>
      <c r="G405" s="3">
        <v>1</v>
      </c>
      <c r="H405">
        <v>2290</v>
      </c>
      <c r="I405">
        <v>2808.3</v>
      </c>
      <c r="J405">
        <v>24225</v>
      </c>
      <c r="K405">
        <v>22212</v>
      </c>
      <c r="L405" s="2">
        <v>26.730625</v>
      </c>
      <c r="M405" s="5">
        <v>90.794499999999999</v>
      </c>
      <c r="N405" s="1">
        <v>184.43790000000001</v>
      </c>
      <c r="O405" s="2">
        <v>4</v>
      </c>
      <c r="P405">
        <v>104</v>
      </c>
    </row>
    <row r="406" spans="1:16" x14ac:dyDescent="0.35">
      <c r="A406" s="4">
        <v>44105</v>
      </c>
      <c r="B406" t="s">
        <v>20</v>
      </c>
      <c r="C406" t="s">
        <v>12</v>
      </c>
      <c r="D406">
        <v>1</v>
      </c>
      <c r="E406" s="2">
        <v>1665</v>
      </c>
      <c r="F406" s="2">
        <f t="shared" si="64"/>
        <v>1983.0425</v>
      </c>
      <c r="G406" s="3">
        <v>1</v>
      </c>
      <c r="H406">
        <v>2290</v>
      </c>
      <c r="I406">
        <v>2808.3</v>
      </c>
      <c r="J406">
        <v>24225</v>
      </c>
      <c r="K406">
        <v>22212</v>
      </c>
      <c r="L406" s="2">
        <v>26.730625</v>
      </c>
      <c r="M406" s="5">
        <v>90.794499999999999</v>
      </c>
      <c r="N406" s="1">
        <v>184.43790000000001</v>
      </c>
      <c r="O406" s="2">
        <v>4</v>
      </c>
      <c r="P406">
        <v>104</v>
      </c>
    </row>
    <row r="407" spans="1:16" x14ac:dyDescent="0.35">
      <c r="A407" s="4">
        <v>44105</v>
      </c>
      <c r="B407" t="s">
        <v>20</v>
      </c>
      <c r="C407" t="s">
        <v>13</v>
      </c>
      <c r="D407">
        <v>1</v>
      </c>
      <c r="E407" s="2">
        <v>2140</v>
      </c>
      <c r="F407" s="2">
        <f t="shared" si="64"/>
        <v>1983.0425</v>
      </c>
      <c r="G407" s="3">
        <v>1</v>
      </c>
      <c r="H407">
        <v>2290</v>
      </c>
      <c r="I407">
        <v>2808.3</v>
      </c>
      <c r="J407">
        <v>24225</v>
      </c>
      <c r="K407">
        <v>22212</v>
      </c>
      <c r="L407" s="2">
        <v>26.730625</v>
      </c>
      <c r="M407" s="5">
        <v>90.794499999999999</v>
      </c>
      <c r="N407" s="1">
        <v>184.43790000000001</v>
      </c>
      <c r="O407" s="2">
        <v>4</v>
      </c>
      <c r="P407">
        <v>104</v>
      </c>
    </row>
    <row r="408" spans="1:16" x14ac:dyDescent="0.35">
      <c r="A408" s="4">
        <v>44105</v>
      </c>
      <c r="B408" t="s">
        <v>20</v>
      </c>
      <c r="C408" t="s">
        <v>14</v>
      </c>
      <c r="D408">
        <v>1</v>
      </c>
      <c r="E408" s="2">
        <f>(2154+2171+2144+2123)/4</f>
        <v>2148</v>
      </c>
      <c r="F408" s="2">
        <f t="shared" si="64"/>
        <v>1983.0425</v>
      </c>
      <c r="G408" s="3">
        <v>1</v>
      </c>
      <c r="H408">
        <v>2290</v>
      </c>
      <c r="I408">
        <v>2808.3</v>
      </c>
      <c r="J408">
        <v>24225</v>
      </c>
      <c r="K408">
        <v>22212</v>
      </c>
      <c r="L408" s="2">
        <v>26.730625</v>
      </c>
      <c r="M408" s="5">
        <v>90.794499999999999</v>
      </c>
      <c r="N408" s="1">
        <v>184.43790000000001</v>
      </c>
      <c r="O408" s="2">
        <v>4</v>
      </c>
      <c r="P408">
        <v>104</v>
      </c>
    </row>
    <row r="409" spans="1:16" x14ac:dyDescent="0.35">
      <c r="A409" s="4">
        <v>44105</v>
      </c>
      <c r="B409" t="s">
        <v>20</v>
      </c>
      <c r="C409" t="s">
        <v>15</v>
      </c>
      <c r="D409">
        <v>1</v>
      </c>
      <c r="E409" s="2">
        <f>(2140+2170+2120+2125)/4</f>
        <v>2138.75</v>
      </c>
      <c r="F409" s="2">
        <f t="shared" si="64"/>
        <v>1983.0425</v>
      </c>
      <c r="G409" s="3">
        <v>1</v>
      </c>
      <c r="H409">
        <v>2290</v>
      </c>
      <c r="I409">
        <v>2808.3</v>
      </c>
      <c r="J409">
        <v>24225</v>
      </c>
      <c r="K409">
        <v>22212</v>
      </c>
      <c r="L409" s="2">
        <v>26.730625</v>
      </c>
      <c r="M409" s="5">
        <v>90.794499999999999</v>
      </c>
      <c r="N409" s="1">
        <v>184.43790000000001</v>
      </c>
      <c r="O409" s="2">
        <v>4</v>
      </c>
      <c r="P409">
        <v>104</v>
      </c>
    </row>
    <row r="410" spans="1:16" x14ac:dyDescent="0.35">
      <c r="A410" s="4">
        <v>44105</v>
      </c>
      <c r="B410" t="s">
        <v>21</v>
      </c>
      <c r="C410" t="s">
        <v>10</v>
      </c>
      <c r="D410">
        <v>1</v>
      </c>
      <c r="E410" s="2">
        <f>(1450+1550+1433+1416)/4</f>
        <v>1462.25</v>
      </c>
      <c r="F410" s="2">
        <f t="shared" ref="F410:F415" si="65">(1873.5+1866.17+1893.5+1886.67)/4</f>
        <v>1879.96</v>
      </c>
      <c r="G410" s="3">
        <v>1</v>
      </c>
      <c r="H410">
        <v>2290</v>
      </c>
      <c r="I410">
        <v>2808.3</v>
      </c>
      <c r="J410">
        <v>24225</v>
      </c>
      <c r="K410">
        <v>22212</v>
      </c>
      <c r="L410" s="2">
        <v>26.730625</v>
      </c>
      <c r="M410" s="5">
        <v>90.794499999999999</v>
      </c>
      <c r="N410" s="1">
        <v>184.43790000000001</v>
      </c>
      <c r="O410" s="2">
        <v>4</v>
      </c>
      <c r="P410">
        <v>104</v>
      </c>
    </row>
    <row r="411" spans="1:16" x14ac:dyDescent="0.35">
      <c r="A411" s="4">
        <v>44105</v>
      </c>
      <c r="B411" t="s">
        <v>21</v>
      </c>
      <c r="C411" t="s">
        <v>11</v>
      </c>
      <c r="D411">
        <v>1</v>
      </c>
      <c r="E411" s="2">
        <v>2000</v>
      </c>
      <c r="F411" s="2">
        <f t="shared" si="65"/>
        <v>1879.96</v>
      </c>
      <c r="G411" s="3">
        <v>1</v>
      </c>
      <c r="H411">
        <v>2290</v>
      </c>
      <c r="I411">
        <v>2808.3</v>
      </c>
      <c r="J411">
        <v>24225</v>
      </c>
      <c r="K411">
        <v>22212</v>
      </c>
      <c r="L411" s="2">
        <v>26.730625</v>
      </c>
      <c r="M411" s="5">
        <v>90.794499999999999</v>
      </c>
      <c r="N411" s="1">
        <v>184.43790000000001</v>
      </c>
      <c r="O411" s="2">
        <v>4</v>
      </c>
      <c r="P411">
        <v>104</v>
      </c>
    </row>
    <row r="412" spans="1:16" x14ac:dyDescent="0.35">
      <c r="A412" s="4">
        <v>44105</v>
      </c>
      <c r="B412" t="s">
        <v>21</v>
      </c>
      <c r="C412" t="s">
        <v>12</v>
      </c>
      <c r="D412">
        <v>1</v>
      </c>
      <c r="E412" s="2">
        <v>1570</v>
      </c>
      <c r="F412" s="2">
        <f t="shared" si="65"/>
        <v>1879.96</v>
      </c>
      <c r="G412" s="3">
        <v>1</v>
      </c>
      <c r="H412">
        <v>2290</v>
      </c>
      <c r="I412">
        <v>2808.3</v>
      </c>
      <c r="J412">
        <v>24225</v>
      </c>
      <c r="K412">
        <v>22212</v>
      </c>
      <c r="L412" s="2">
        <v>26.730625</v>
      </c>
      <c r="M412" s="5">
        <v>90.794499999999999</v>
      </c>
      <c r="N412" s="1">
        <v>184.43790000000001</v>
      </c>
      <c r="O412" s="2">
        <v>4</v>
      </c>
      <c r="P412">
        <v>104</v>
      </c>
    </row>
    <row r="413" spans="1:16" x14ac:dyDescent="0.35">
      <c r="A413" s="4">
        <v>44105</v>
      </c>
      <c r="B413" t="s">
        <v>21</v>
      </c>
      <c r="C413" t="s">
        <v>13</v>
      </c>
      <c r="D413">
        <v>1</v>
      </c>
      <c r="E413" s="2">
        <f>(2050+2055*2+2010)/4</f>
        <v>2042.5</v>
      </c>
      <c r="F413" s="2">
        <f t="shared" si="65"/>
        <v>1879.96</v>
      </c>
      <c r="G413" s="3">
        <v>1</v>
      </c>
      <c r="H413">
        <v>2290</v>
      </c>
      <c r="I413">
        <v>2808.3</v>
      </c>
      <c r="J413">
        <v>24225</v>
      </c>
      <c r="K413">
        <v>22212</v>
      </c>
      <c r="L413" s="2">
        <v>26.730625</v>
      </c>
      <c r="M413" s="5">
        <v>90.794499999999999</v>
      </c>
      <c r="N413" s="1">
        <v>184.43790000000001</v>
      </c>
      <c r="O413" s="2">
        <v>4</v>
      </c>
      <c r="P413">
        <v>104</v>
      </c>
    </row>
    <row r="414" spans="1:16" x14ac:dyDescent="0.35">
      <c r="A414" s="4">
        <v>44105</v>
      </c>
      <c r="B414" t="s">
        <v>21</v>
      </c>
      <c r="C414" t="s">
        <v>14</v>
      </c>
      <c r="D414">
        <v>1</v>
      </c>
      <c r="E414" s="2">
        <f>(2116+2093+2088+2086)/4</f>
        <v>2095.75</v>
      </c>
      <c r="F414" s="2">
        <f t="shared" si="65"/>
        <v>1879.96</v>
      </c>
      <c r="G414" s="3">
        <v>1</v>
      </c>
      <c r="H414">
        <v>2290</v>
      </c>
      <c r="I414">
        <v>2808.3</v>
      </c>
      <c r="J414">
        <v>24225</v>
      </c>
      <c r="K414">
        <v>22212</v>
      </c>
      <c r="L414" s="2">
        <v>26.730625</v>
      </c>
      <c r="M414" s="5">
        <v>90.794499999999999</v>
      </c>
      <c r="N414" s="1">
        <v>184.43790000000001</v>
      </c>
      <c r="O414" s="2">
        <v>4</v>
      </c>
      <c r="P414">
        <v>104</v>
      </c>
    </row>
    <row r="415" spans="1:16" x14ac:dyDescent="0.35">
      <c r="A415" s="4">
        <v>44105</v>
      </c>
      <c r="B415" t="s">
        <v>21</v>
      </c>
      <c r="C415" t="s">
        <v>15</v>
      </c>
      <c r="D415">
        <v>1</v>
      </c>
      <c r="E415" s="2">
        <v>2100</v>
      </c>
      <c r="F415" s="2">
        <f t="shared" si="65"/>
        <v>1879.96</v>
      </c>
      <c r="G415" s="3">
        <v>1</v>
      </c>
      <c r="H415">
        <v>2290</v>
      </c>
      <c r="I415">
        <v>2808.3</v>
      </c>
      <c r="J415">
        <v>24225</v>
      </c>
      <c r="K415">
        <v>22212</v>
      </c>
      <c r="L415" s="2">
        <v>26.730625</v>
      </c>
      <c r="M415" s="5">
        <v>90.794499999999999</v>
      </c>
      <c r="N415" s="1">
        <v>184.43790000000001</v>
      </c>
      <c r="O415" s="2">
        <v>4</v>
      </c>
      <c r="P415">
        <v>104</v>
      </c>
    </row>
    <row r="416" spans="1:16" x14ac:dyDescent="0.35">
      <c r="A416" s="4">
        <v>44105</v>
      </c>
      <c r="B416" t="s">
        <v>22</v>
      </c>
      <c r="C416" t="s">
        <v>10</v>
      </c>
      <c r="D416">
        <v>0</v>
      </c>
      <c r="E416" s="2" t="s">
        <v>27</v>
      </c>
      <c r="F416" s="2">
        <f t="shared" ref="F416:F421" si="66">(1813+1850+1870+1788)/4</f>
        <v>1830.25</v>
      </c>
      <c r="G416" s="3">
        <v>1</v>
      </c>
      <c r="H416">
        <v>2290</v>
      </c>
      <c r="I416">
        <v>2808.3</v>
      </c>
      <c r="J416">
        <v>24225</v>
      </c>
      <c r="K416">
        <v>22212</v>
      </c>
      <c r="L416" s="2">
        <v>26.730625</v>
      </c>
      <c r="M416" s="5">
        <v>90.794499999999999</v>
      </c>
      <c r="N416" s="1">
        <v>184.43790000000001</v>
      </c>
      <c r="O416" s="2">
        <v>4</v>
      </c>
      <c r="P416">
        <v>104</v>
      </c>
    </row>
    <row r="417" spans="1:16" x14ac:dyDescent="0.35">
      <c r="A417" s="4">
        <v>44105</v>
      </c>
      <c r="B417" t="s">
        <v>22</v>
      </c>
      <c r="C417" t="s">
        <v>11</v>
      </c>
      <c r="D417">
        <v>0</v>
      </c>
      <c r="E417" s="2" t="s">
        <v>27</v>
      </c>
      <c r="F417" s="2">
        <f t="shared" si="66"/>
        <v>1830.25</v>
      </c>
      <c r="G417" s="3">
        <v>1</v>
      </c>
      <c r="H417">
        <v>2290</v>
      </c>
      <c r="I417">
        <v>2808.3</v>
      </c>
      <c r="J417">
        <v>24225</v>
      </c>
      <c r="K417">
        <v>22212</v>
      </c>
      <c r="L417" s="2">
        <v>26.730625</v>
      </c>
      <c r="M417" s="5">
        <v>90.794499999999999</v>
      </c>
      <c r="N417" s="1">
        <v>184.43790000000001</v>
      </c>
      <c r="O417" s="2">
        <v>4</v>
      </c>
      <c r="P417">
        <v>104</v>
      </c>
    </row>
    <row r="418" spans="1:16" x14ac:dyDescent="0.35">
      <c r="A418" s="4">
        <v>44105</v>
      </c>
      <c r="B418" t="s">
        <v>22</v>
      </c>
      <c r="C418" t="s">
        <v>12</v>
      </c>
      <c r="D418">
        <v>0</v>
      </c>
      <c r="E418" s="2" t="s">
        <v>27</v>
      </c>
      <c r="F418" s="2">
        <f t="shared" si="66"/>
        <v>1830.25</v>
      </c>
      <c r="G418" s="3">
        <v>1</v>
      </c>
      <c r="H418">
        <v>2290</v>
      </c>
      <c r="I418">
        <v>2808.3</v>
      </c>
      <c r="J418">
        <v>24225</v>
      </c>
      <c r="K418">
        <v>22212</v>
      </c>
      <c r="L418" s="2">
        <v>26.730625</v>
      </c>
      <c r="M418" s="5">
        <v>90.794499999999999</v>
      </c>
      <c r="N418" s="1">
        <v>184.43790000000001</v>
      </c>
      <c r="O418" s="2">
        <v>4</v>
      </c>
      <c r="P418">
        <v>104</v>
      </c>
    </row>
    <row r="419" spans="1:16" x14ac:dyDescent="0.35">
      <c r="A419" s="4">
        <v>44105</v>
      </c>
      <c r="B419" t="s">
        <v>22</v>
      </c>
      <c r="C419" t="s">
        <v>13</v>
      </c>
      <c r="D419">
        <v>0</v>
      </c>
      <c r="E419" s="2" t="s">
        <v>27</v>
      </c>
      <c r="F419" s="2">
        <f t="shared" si="66"/>
        <v>1830.25</v>
      </c>
      <c r="G419" s="3">
        <v>1</v>
      </c>
      <c r="H419">
        <v>2290</v>
      </c>
      <c r="I419">
        <v>2808.3</v>
      </c>
      <c r="J419">
        <v>24225</v>
      </c>
      <c r="K419">
        <v>22212</v>
      </c>
      <c r="L419" s="2">
        <v>26.730625</v>
      </c>
      <c r="M419" s="5">
        <v>90.794499999999999</v>
      </c>
      <c r="N419" s="1">
        <v>184.43790000000001</v>
      </c>
      <c r="O419" s="2">
        <v>4</v>
      </c>
      <c r="P419">
        <v>104</v>
      </c>
    </row>
    <row r="420" spans="1:16" x14ac:dyDescent="0.35">
      <c r="A420" s="4">
        <v>44105</v>
      </c>
      <c r="B420" t="s">
        <v>22</v>
      </c>
      <c r="C420" t="s">
        <v>14</v>
      </c>
      <c r="D420">
        <v>1</v>
      </c>
      <c r="E420" s="2">
        <f>(1813+1850+1870+1788)/4</f>
        <v>1830.25</v>
      </c>
      <c r="F420" s="2">
        <f t="shared" si="66"/>
        <v>1830.25</v>
      </c>
      <c r="G420" s="3">
        <v>1</v>
      </c>
      <c r="H420">
        <v>2290</v>
      </c>
      <c r="I420">
        <v>2808.3</v>
      </c>
      <c r="J420">
        <v>24225</v>
      </c>
      <c r="K420">
        <v>22212</v>
      </c>
      <c r="L420" s="2">
        <v>26.730625</v>
      </c>
      <c r="M420" s="5">
        <v>90.794499999999999</v>
      </c>
      <c r="N420" s="1">
        <v>184.43790000000001</v>
      </c>
      <c r="O420" s="2">
        <v>4</v>
      </c>
      <c r="P420">
        <v>104</v>
      </c>
    </row>
    <row r="421" spans="1:16" x14ac:dyDescent="0.35">
      <c r="A421" s="4">
        <v>44105</v>
      </c>
      <c r="B421" t="s">
        <v>22</v>
      </c>
      <c r="C421" t="s">
        <v>15</v>
      </c>
      <c r="D421">
        <v>0</v>
      </c>
      <c r="E421" s="2" t="s">
        <v>27</v>
      </c>
      <c r="F421" s="2">
        <f t="shared" si="66"/>
        <v>1830.25</v>
      </c>
      <c r="G421" s="3">
        <v>1</v>
      </c>
      <c r="H421">
        <v>2290</v>
      </c>
      <c r="I421">
        <v>2808.3</v>
      </c>
      <c r="J421">
        <v>24225</v>
      </c>
      <c r="K421">
        <v>22212</v>
      </c>
      <c r="L421" s="2">
        <v>26.730625</v>
      </c>
      <c r="M421" s="5">
        <v>90.794499999999999</v>
      </c>
      <c r="N421" s="1">
        <v>184.43790000000001</v>
      </c>
      <c r="O421" s="2">
        <v>4</v>
      </c>
      <c r="P421">
        <v>104</v>
      </c>
    </row>
    <row r="422" spans="1:16" x14ac:dyDescent="0.35">
      <c r="A422" s="4">
        <v>44136</v>
      </c>
      <c r="B422" t="s">
        <v>16</v>
      </c>
      <c r="C422" t="s">
        <v>10</v>
      </c>
      <c r="D422">
        <v>1</v>
      </c>
      <c r="E422" s="2">
        <f>(2983+3033+2866+2900)/4</f>
        <v>2945.5</v>
      </c>
      <c r="F422" s="2">
        <f t="shared" ref="F422:F427" si="67">(3005.67+2979+2970.75+2962.5)/4</f>
        <v>2979.48</v>
      </c>
      <c r="G422" s="3">
        <v>1</v>
      </c>
      <c r="H422">
        <v>3435</v>
      </c>
      <c r="I422">
        <v>1685</v>
      </c>
      <c r="J422">
        <v>22212</v>
      </c>
      <c r="K422">
        <v>26655</v>
      </c>
      <c r="L422" s="2">
        <v>26.305625000000003</v>
      </c>
      <c r="M422" s="5">
        <v>308.66300000000001</v>
      </c>
      <c r="N422" s="1">
        <v>184.78819999999999</v>
      </c>
      <c r="O422" s="2">
        <v>4.0999999999999996</v>
      </c>
      <c r="P422">
        <v>104</v>
      </c>
    </row>
    <row r="423" spans="1:16" x14ac:dyDescent="0.35">
      <c r="A423" s="4">
        <v>44136</v>
      </c>
      <c r="B423" t="s">
        <v>16</v>
      </c>
      <c r="C423" t="s">
        <v>11</v>
      </c>
      <c r="D423">
        <v>0</v>
      </c>
      <c r="E423" s="2" t="s">
        <v>27</v>
      </c>
      <c r="F423" s="2">
        <f t="shared" si="67"/>
        <v>2979.48</v>
      </c>
      <c r="G423" s="3">
        <v>1</v>
      </c>
      <c r="H423">
        <v>3435</v>
      </c>
      <c r="I423">
        <v>1685</v>
      </c>
      <c r="J423">
        <v>22212</v>
      </c>
      <c r="K423">
        <v>26655</v>
      </c>
      <c r="L423" s="2">
        <v>26.305625000000003</v>
      </c>
      <c r="M423" s="5">
        <v>308.66300000000001</v>
      </c>
      <c r="N423" s="1">
        <v>184.78819999999999</v>
      </c>
      <c r="O423" s="2">
        <v>4.0999999999999996</v>
      </c>
      <c r="P423">
        <v>104</v>
      </c>
    </row>
    <row r="424" spans="1:16" x14ac:dyDescent="0.35">
      <c r="A424" s="4">
        <v>44136</v>
      </c>
      <c r="B424" t="s">
        <v>16</v>
      </c>
      <c r="C424" t="s">
        <v>12</v>
      </c>
      <c r="D424">
        <v>1</v>
      </c>
      <c r="E424" s="2">
        <v>2900</v>
      </c>
      <c r="F424" s="2">
        <f t="shared" si="67"/>
        <v>2979.48</v>
      </c>
      <c r="G424" s="3">
        <v>1</v>
      </c>
      <c r="H424">
        <v>3435</v>
      </c>
      <c r="I424">
        <v>1685</v>
      </c>
      <c r="J424">
        <v>22212</v>
      </c>
      <c r="K424">
        <v>26655</v>
      </c>
      <c r="L424" s="2">
        <v>26.305625000000003</v>
      </c>
      <c r="M424" s="5">
        <v>308.66300000000001</v>
      </c>
      <c r="N424" s="1">
        <v>184.78819999999999</v>
      </c>
      <c r="O424" s="2">
        <v>4.0999999999999996</v>
      </c>
      <c r="P424">
        <v>104</v>
      </c>
    </row>
    <row r="425" spans="1:16" x14ac:dyDescent="0.35">
      <c r="A425" s="4">
        <v>44136</v>
      </c>
      <c r="B425" t="s">
        <v>16</v>
      </c>
      <c r="C425" t="s">
        <v>13</v>
      </c>
      <c r="D425">
        <v>1</v>
      </c>
      <c r="E425" s="2">
        <v>3150</v>
      </c>
      <c r="F425" s="2">
        <f t="shared" si="67"/>
        <v>2979.48</v>
      </c>
      <c r="G425" s="3">
        <v>1</v>
      </c>
      <c r="H425">
        <v>3435</v>
      </c>
      <c r="I425">
        <v>1685</v>
      </c>
      <c r="J425">
        <v>22212</v>
      </c>
      <c r="K425">
        <v>26655</v>
      </c>
      <c r="L425" s="2">
        <v>26.305625000000003</v>
      </c>
      <c r="M425" s="5">
        <v>308.66300000000001</v>
      </c>
      <c r="N425" s="1">
        <v>184.78819999999999</v>
      </c>
      <c r="O425" s="2">
        <v>4.0999999999999996</v>
      </c>
      <c r="P425">
        <v>104</v>
      </c>
    </row>
    <row r="426" spans="1:16" x14ac:dyDescent="0.35">
      <c r="A426" s="4">
        <v>44136</v>
      </c>
      <c r="B426" t="s">
        <v>16</v>
      </c>
      <c r="C426" t="s">
        <v>14</v>
      </c>
      <c r="D426">
        <v>1</v>
      </c>
      <c r="E426" s="2">
        <f>(2900*2+2867+2917)/4</f>
        <v>2896</v>
      </c>
      <c r="F426" s="2">
        <f t="shared" si="67"/>
        <v>2979.48</v>
      </c>
      <c r="G426" s="3">
        <v>1</v>
      </c>
      <c r="H426">
        <v>3435</v>
      </c>
      <c r="I426">
        <v>1685</v>
      </c>
      <c r="J426">
        <v>22212</v>
      </c>
      <c r="K426">
        <v>26655</v>
      </c>
      <c r="L426" s="2">
        <v>26.305625000000003</v>
      </c>
      <c r="M426" s="5">
        <v>308.66300000000001</v>
      </c>
      <c r="N426" s="1">
        <v>184.78819999999999</v>
      </c>
      <c r="O426" s="2">
        <v>4.0999999999999996</v>
      </c>
      <c r="P426">
        <v>104</v>
      </c>
    </row>
    <row r="427" spans="1:16" x14ac:dyDescent="0.35">
      <c r="A427" s="4">
        <v>44136</v>
      </c>
      <c r="B427" t="s">
        <v>16</v>
      </c>
      <c r="C427" t="s">
        <v>15</v>
      </c>
      <c r="D427">
        <v>0</v>
      </c>
      <c r="E427" s="2" t="s">
        <v>27</v>
      </c>
      <c r="F427" s="2">
        <f t="shared" si="67"/>
        <v>2979.48</v>
      </c>
      <c r="G427" s="3">
        <v>1</v>
      </c>
      <c r="H427">
        <v>3435</v>
      </c>
      <c r="I427">
        <v>1685</v>
      </c>
      <c r="J427">
        <v>22212</v>
      </c>
      <c r="K427">
        <v>26655</v>
      </c>
      <c r="L427" s="2">
        <v>26.305625000000003</v>
      </c>
      <c r="M427" s="5">
        <v>308.66300000000001</v>
      </c>
      <c r="N427" s="1">
        <v>184.78819999999999</v>
      </c>
      <c r="O427" s="2">
        <v>4.0999999999999996</v>
      </c>
      <c r="P427">
        <v>104</v>
      </c>
    </row>
    <row r="428" spans="1:16" x14ac:dyDescent="0.35">
      <c r="A428" s="4">
        <v>44136</v>
      </c>
      <c r="B428" t="s">
        <v>17</v>
      </c>
      <c r="C428" t="s">
        <v>10</v>
      </c>
      <c r="D428">
        <v>1</v>
      </c>
      <c r="E428" s="2">
        <f>(2500+2600*2+2650)/4</f>
        <v>2587.5</v>
      </c>
      <c r="F428" s="2">
        <f t="shared" ref="F428:F433" si="68">(2491.67+2488.75+2512.5*2)/4</f>
        <v>2501.355</v>
      </c>
      <c r="G428" s="3">
        <v>1</v>
      </c>
      <c r="H428">
        <v>3435</v>
      </c>
      <c r="I428">
        <v>1685</v>
      </c>
      <c r="J428">
        <v>22212</v>
      </c>
      <c r="K428">
        <v>26655</v>
      </c>
      <c r="L428" s="2">
        <v>26.305625000000003</v>
      </c>
      <c r="M428" s="5">
        <v>308.66300000000001</v>
      </c>
      <c r="N428" s="1">
        <v>184.78819999999999</v>
      </c>
      <c r="O428" s="2">
        <v>4.0999999999999996</v>
      </c>
      <c r="P428">
        <v>104</v>
      </c>
    </row>
    <row r="429" spans="1:16" x14ac:dyDescent="0.35">
      <c r="A429" s="4">
        <v>44136</v>
      </c>
      <c r="B429" t="s">
        <v>17</v>
      </c>
      <c r="C429" t="s">
        <v>11</v>
      </c>
      <c r="D429">
        <v>1</v>
      </c>
      <c r="E429" s="2" t="s">
        <v>27</v>
      </c>
      <c r="F429" s="2">
        <f t="shared" si="68"/>
        <v>2501.355</v>
      </c>
      <c r="G429" s="3">
        <v>1</v>
      </c>
      <c r="H429">
        <v>3435</v>
      </c>
      <c r="I429">
        <v>1685</v>
      </c>
      <c r="J429">
        <v>22212</v>
      </c>
      <c r="K429">
        <v>26655</v>
      </c>
      <c r="L429" s="2">
        <v>26.305625000000003</v>
      </c>
      <c r="M429" s="5">
        <v>308.66300000000001</v>
      </c>
      <c r="N429" s="1">
        <v>184.78819999999999</v>
      </c>
      <c r="O429" s="2">
        <v>4.0999999999999996</v>
      </c>
      <c r="P429">
        <v>104</v>
      </c>
    </row>
    <row r="430" spans="1:16" x14ac:dyDescent="0.35">
      <c r="A430" s="4">
        <v>44136</v>
      </c>
      <c r="B430" t="s">
        <v>17</v>
      </c>
      <c r="C430" t="s">
        <v>12</v>
      </c>
      <c r="D430">
        <v>1</v>
      </c>
      <c r="E430" s="2">
        <v>2450</v>
      </c>
      <c r="F430" s="2">
        <f t="shared" si="68"/>
        <v>2501.355</v>
      </c>
      <c r="G430" s="3">
        <v>1</v>
      </c>
      <c r="H430">
        <v>3435</v>
      </c>
      <c r="I430">
        <v>1685</v>
      </c>
      <c r="J430">
        <v>22212</v>
      </c>
      <c r="K430">
        <v>26655</v>
      </c>
      <c r="L430" s="2">
        <v>26.305625000000003</v>
      </c>
      <c r="M430" s="5">
        <v>308.66300000000001</v>
      </c>
      <c r="N430" s="1">
        <v>184.78819999999999</v>
      </c>
      <c r="O430" s="2">
        <v>4.0999999999999996</v>
      </c>
      <c r="P430">
        <v>104</v>
      </c>
    </row>
    <row r="431" spans="1:16" x14ac:dyDescent="0.35">
      <c r="A431" s="4">
        <v>44136</v>
      </c>
      <c r="B431" t="s">
        <v>17</v>
      </c>
      <c r="C431" t="s">
        <v>13</v>
      </c>
      <c r="D431">
        <v>1</v>
      </c>
      <c r="E431" s="2">
        <f>(2525*2+2425+2450)/4</f>
        <v>2481.25</v>
      </c>
      <c r="F431" s="2">
        <f t="shared" si="68"/>
        <v>2501.355</v>
      </c>
      <c r="G431" s="3">
        <v>1</v>
      </c>
      <c r="H431">
        <v>3435</v>
      </c>
      <c r="I431">
        <v>1685</v>
      </c>
      <c r="J431">
        <v>22212</v>
      </c>
      <c r="K431">
        <v>26655</v>
      </c>
      <c r="L431" s="2">
        <v>26.305625000000003</v>
      </c>
      <c r="M431" s="5">
        <v>308.66300000000001</v>
      </c>
      <c r="N431" s="1">
        <v>184.78819999999999</v>
      </c>
      <c r="O431" s="2">
        <v>4.0999999999999996</v>
      </c>
      <c r="P431">
        <v>104</v>
      </c>
    </row>
    <row r="432" spans="1:16" x14ac:dyDescent="0.35">
      <c r="A432" s="4">
        <v>44136</v>
      </c>
      <c r="B432" t="s">
        <v>17</v>
      </c>
      <c r="C432" t="s">
        <v>14</v>
      </c>
      <c r="D432">
        <v>1</v>
      </c>
      <c r="E432" s="2">
        <f>(2525+2550+2380+2450)/4</f>
        <v>2476.25</v>
      </c>
      <c r="F432" s="2">
        <f t="shared" si="68"/>
        <v>2501.355</v>
      </c>
      <c r="G432" s="3">
        <v>1</v>
      </c>
      <c r="H432">
        <v>3435</v>
      </c>
      <c r="I432">
        <v>1685</v>
      </c>
      <c r="J432">
        <v>22212</v>
      </c>
      <c r="K432">
        <v>26655</v>
      </c>
      <c r="L432" s="2">
        <v>26.305625000000003</v>
      </c>
      <c r="M432" s="5">
        <v>308.66300000000001</v>
      </c>
      <c r="N432" s="1">
        <v>184.78819999999999</v>
      </c>
      <c r="O432" s="2">
        <v>4.0999999999999996</v>
      </c>
      <c r="P432">
        <v>104</v>
      </c>
    </row>
    <row r="433" spans="1:16" x14ac:dyDescent="0.35">
      <c r="A433" s="4">
        <v>44136</v>
      </c>
      <c r="B433" t="s">
        <v>17</v>
      </c>
      <c r="C433" t="s">
        <v>15</v>
      </c>
      <c r="D433">
        <v>0</v>
      </c>
      <c r="E433" s="2" t="s">
        <v>27</v>
      </c>
      <c r="F433" s="2">
        <f t="shared" si="68"/>
        <v>2501.355</v>
      </c>
      <c r="G433" s="3">
        <v>1</v>
      </c>
      <c r="H433">
        <v>3435</v>
      </c>
      <c r="I433">
        <v>1685</v>
      </c>
      <c r="J433">
        <v>22212</v>
      </c>
      <c r="K433">
        <v>26655</v>
      </c>
      <c r="L433" s="2">
        <v>26.305625000000003</v>
      </c>
      <c r="M433" s="5">
        <v>308.66300000000001</v>
      </c>
      <c r="N433" s="1">
        <v>184.78819999999999</v>
      </c>
      <c r="O433" s="2">
        <v>4.0999999999999996</v>
      </c>
      <c r="P433">
        <v>104</v>
      </c>
    </row>
    <row r="434" spans="1:16" x14ac:dyDescent="0.35">
      <c r="A434" s="4">
        <v>44136</v>
      </c>
      <c r="B434" t="s">
        <v>18</v>
      </c>
      <c r="C434" t="s">
        <v>10</v>
      </c>
      <c r="D434">
        <v>1</v>
      </c>
      <c r="E434" s="2">
        <v>2408</v>
      </c>
      <c r="F434" s="2">
        <f t="shared" ref="F434:F439" si="69">(2322.6+2337.2+2327.8+2314.5)/4</f>
        <v>2325.5249999999996</v>
      </c>
      <c r="G434" s="3">
        <v>1</v>
      </c>
      <c r="H434">
        <v>3435</v>
      </c>
      <c r="I434">
        <v>1685</v>
      </c>
      <c r="J434">
        <v>22212</v>
      </c>
      <c r="K434">
        <v>26655</v>
      </c>
      <c r="L434" s="2">
        <v>26.305625000000003</v>
      </c>
      <c r="M434" s="5">
        <v>308.66300000000001</v>
      </c>
      <c r="N434" s="1">
        <v>184.78819999999999</v>
      </c>
      <c r="O434" s="2">
        <v>4.0999999999999996</v>
      </c>
      <c r="P434">
        <v>104</v>
      </c>
    </row>
    <row r="435" spans="1:16" x14ac:dyDescent="0.35">
      <c r="A435" s="4">
        <v>44136</v>
      </c>
      <c r="B435" t="s">
        <v>18</v>
      </c>
      <c r="C435" t="s">
        <v>11</v>
      </c>
      <c r="D435">
        <v>1</v>
      </c>
      <c r="E435" s="2" t="s">
        <v>27</v>
      </c>
      <c r="F435" s="2">
        <f t="shared" si="69"/>
        <v>2325.5249999999996</v>
      </c>
      <c r="G435" s="3">
        <v>1</v>
      </c>
      <c r="H435">
        <v>3435</v>
      </c>
      <c r="I435">
        <v>1685</v>
      </c>
      <c r="J435">
        <v>22212</v>
      </c>
      <c r="K435">
        <v>26655</v>
      </c>
      <c r="L435" s="2">
        <v>26.305625000000003</v>
      </c>
      <c r="M435" s="5">
        <v>308.66300000000001</v>
      </c>
      <c r="N435" s="1">
        <v>184.78819999999999</v>
      </c>
      <c r="O435" s="2">
        <v>4.0999999999999996</v>
      </c>
      <c r="P435">
        <v>104</v>
      </c>
    </row>
    <row r="436" spans="1:16" x14ac:dyDescent="0.35">
      <c r="A436" s="4">
        <v>44136</v>
      </c>
      <c r="B436" t="s">
        <v>18</v>
      </c>
      <c r="C436" t="s">
        <v>12</v>
      </c>
      <c r="D436">
        <v>1</v>
      </c>
      <c r="E436" s="2">
        <v>2285</v>
      </c>
      <c r="F436" s="2">
        <f t="shared" si="69"/>
        <v>2325.5249999999996</v>
      </c>
      <c r="G436" s="3">
        <v>1</v>
      </c>
      <c r="H436">
        <v>3435</v>
      </c>
      <c r="I436">
        <v>1685</v>
      </c>
      <c r="J436">
        <v>22212</v>
      </c>
      <c r="K436">
        <v>26655</v>
      </c>
      <c r="L436" s="2">
        <v>26.305625000000003</v>
      </c>
      <c r="M436" s="5">
        <v>308.66300000000001</v>
      </c>
      <c r="N436" s="1">
        <v>184.78819999999999</v>
      </c>
      <c r="O436" s="2">
        <v>4.0999999999999996</v>
      </c>
      <c r="P436">
        <v>104</v>
      </c>
    </row>
    <row r="437" spans="1:16" x14ac:dyDescent="0.35">
      <c r="A437" s="4">
        <v>44136</v>
      </c>
      <c r="B437" t="s">
        <v>18</v>
      </c>
      <c r="C437" t="s">
        <v>13</v>
      </c>
      <c r="D437">
        <v>1</v>
      </c>
      <c r="E437" s="2">
        <v>2322.5</v>
      </c>
      <c r="F437" s="2">
        <f t="shared" si="69"/>
        <v>2325.5249999999996</v>
      </c>
      <c r="G437" s="3">
        <v>1</v>
      </c>
      <c r="H437">
        <v>3435</v>
      </c>
      <c r="I437">
        <v>1685</v>
      </c>
      <c r="J437">
        <v>22212</v>
      </c>
      <c r="K437">
        <v>26655</v>
      </c>
      <c r="L437" s="2">
        <v>26.305625000000003</v>
      </c>
      <c r="M437" s="5">
        <v>308.66300000000001</v>
      </c>
      <c r="N437" s="1">
        <v>184.78819999999999</v>
      </c>
      <c r="O437" s="2">
        <v>4.0999999999999996</v>
      </c>
      <c r="P437">
        <v>104</v>
      </c>
    </row>
    <row r="438" spans="1:16" x14ac:dyDescent="0.35">
      <c r="A438" s="4">
        <v>44136</v>
      </c>
      <c r="B438" t="s">
        <v>18</v>
      </c>
      <c r="C438" t="s">
        <v>14</v>
      </c>
      <c r="D438">
        <v>1</v>
      </c>
      <c r="E438" s="2">
        <f>(2300+2296+2398+2310)/4</f>
        <v>2326</v>
      </c>
      <c r="F438" s="2">
        <f t="shared" si="69"/>
        <v>2325.5249999999996</v>
      </c>
      <c r="G438" s="3">
        <v>1</v>
      </c>
      <c r="H438">
        <v>3435</v>
      </c>
      <c r="I438">
        <v>1685</v>
      </c>
      <c r="J438">
        <v>22212</v>
      </c>
      <c r="K438">
        <v>26655</v>
      </c>
      <c r="L438" s="2">
        <v>26.305625000000003</v>
      </c>
      <c r="M438" s="5">
        <v>308.66300000000001</v>
      </c>
      <c r="N438" s="1">
        <v>184.78819999999999</v>
      </c>
      <c r="O438" s="2">
        <v>4.0999999999999996</v>
      </c>
      <c r="P438">
        <v>104</v>
      </c>
    </row>
    <row r="439" spans="1:16" x14ac:dyDescent="0.35">
      <c r="A439" s="4">
        <v>44136</v>
      </c>
      <c r="B439" t="s">
        <v>18</v>
      </c>
      <c r="C439" t="s">
        <v>15</v>
      </c>
      <c r="D439">
        <v>1</v>
      </c>
      <c r="E439" s="2">
        <f>(2250*2+2300+2315)/4</f>
        <v>2278.75</v>
      </c>
      <c r="F439" s="2">
        <f t="shared" si="69"/>
        <v>2325.5249999999996</v>
      </c>
      <c r="G439" s="3">
        <v>1</v>
      </c>
      <c r="H439">
        <v>3435</v>
      </c>
      <c r="I439">
        <v>1685</v>
      </c>
      <c r="J439">
        <v>22212</v>
      </c>
      <c r="K439">
        <v>26655</v>
      </c>
      <c r="L439" s="2">
        <v>26.305625000000003</v>
      </c>
      <c r="M439" s="5">
        <v>308.66300000000001</v>
      </c>
      <c r="N439" s="1">
        <v>184.78819999999999</v>
      </c>
      <c r="O439" s="2">
        <v>4.0999999999999996</v>
      </c>
      <c r="P439">
        <v>104</v>
      </c>
    </row>
    <row r="440" spans="1:16" x14ac:dyDescent="0.35">
      <c r="A440" s="4">
        <v>44136</v>
      </c>
      <c r="B440" t="s">
        <v>19</v>
      </c>
      <c r="C440" t="s">
        <v>10</v>
      </c>
      <c r="D440">
        <v>1</v>
      </c>
      <c r="E440" s="2">
        <f>(2116+2133+2216+2183)/4</f>
        <v>2162</v>
      </c>
      <c r="F440" s="2">
        <f t="shared" ref="F440:F445" si="70">(2231.6+2241+2198.2+2199.5)/4</f>
        <v>2217.5749999999998</v>
      </c>
      <c r="G440" s="3">
        <v>1</v>
      </c>
      <c r="H440">
        <v>3435</v>
      </c>
      <c r="I440">
        <v>1685</v>
      </c>
      <c r="J440">
        <v>22212</v>
      </c>
      <c r="K440">
        <v>26655</v>
      </c>
      <c r="L440" s="2">
        <v>26.305625000000003</v>
      </c>
      <c r="M440" s="5">
        <v>308.66300000000001</v>
      </c>
      <c r="N440" s="1">
        <v>184.78819999999999</v>
      </c>
      <c r="O440" s="2">
        <v>4.0999999999999996</v>
      </c>
      <c r="P440">
        <v>104</v>
      </c>
    </row>
    <row r="441" spans="1:16" x14ac:dyDescent="0.35">
      <c r="A441" s="4">
        <v>44136</v>
      </c>
      <c r="B441" t="s">
        <v>19</v>
      </c>
      <c r="C441" t="s">
        <v>11</v>
      </c>
      <c r="D441">
        <v>1</v>
      </c>
      <c r="E441" s="2" t="s">
        <v>27</v>
      </c>
      <c r="F441" s="2">
        <f t="shared" si="70"/>
        <v>2217.5749999999998</v>
      </c>
      <c r="G441" s="3">
        <v>1</v>
      </c>
      <c r="H441">
        <v>3435</v>
      </c>
      <c r="I441">
        <v>1685</v>
      </c>
      <c r="J441">
        <v>22212</v>
      </c>
      <c r="K441">
        <v>26655</v>
      </c>
      <c r="L441" s="2">
        <v>26.305625000000003</v>
      </c>
      <c r="M441" s="5">
        <v>308.66300000000001</v>
      </c>
      <c r="N441" s="1">
        <v>184.78819999999999</v>
      </c>
      <c r="O441" s="2">
        <v>4.0999999999999996</v>
      </c>
      <c r="P441">
        <v>104</v>
      </c>
    </row>
    <row r="442" spans="1:16" x14ac:dyDescent="0.35">
      <c r="A442" s="4">
        <v>44136</v>
      </c>
      <c r="B442" t="s">
        <v>19</v>
      </c>
      <c r="C442" t="s">
        <v>12</v>
      </c>
      <c r="D442">
        <v>1</v>
      </c>
      <c r="E442" s="2">
        <v>2150</v>
      </c>
      <c r="F442" s="2">
        <f t="shared" si="70"/>
        <v>2217.5749999999998</v>
      </c>
      <c r="G442" s="3">
        <v>1</v>
      </c>
      <c r="H442">
        <v>3435</v>
      </c>
      <c r="I442">
        <v>1685</v>
      </c>
      <c r="J442">
        <v>22212</v>
      </c>
      <c r="K442">
        <v>26655</v>
      </c>
      <c r="L442" s="2">
        <v>26.305625000000003</v>
      </c>
      <c r="M442" s="5">
        <v>308.66300000000001</v>
      </c>
      <c r="N442" s="1">
        <v>184.78819999999999</v>
      </c>
      <c r="O442" s="2">
        <v>4.0999999999999996</v>
      </c>
      <c r="P442">
        <v>104</v>
      </c>
    </row>
    <row r="443" spans="1:16" x14ac:dyDescent="0.35">
      <c r="A443" s="4">
        <v>44136</v>
      </c>
      <c r="B443" t="s">
        <v>19</v>
      </c>
      <c r="C443" t="s">
        <v>13</v>
      </c>
      <c r="D443">
        <v>1</v>
      </c>
      <c r="E443" s="2">
        <v>2278.33</v>
      </c>
      <c r="F443" s="2">
        <f t="shared" si="70"/>
        <v>2217.5749999999998</v>
      </c>
      <c r="G443" s="3">
        <v>1</v>
      </c>
      <c r="H443">
        <v>3435</v>
      </c>
      <c r="I443">
        <v>1685</v>
      </c>
      <c r="J443">
        <v>22212</v>
      </c>
      <c r="K443">
        <v>26655</v>
      </c>
      <c r="L443" s="2">
        <v>26.305625000000003</v>
      </c>
      <c r="M443" s="5">
        <v>308.66300000000001</v>
      </c>
      <c r="N443" s="1">
        <v>184.78819999999999</v>
      </c>
      <c r="O443" s="2">
        <v>4.0999999999999996</v>
      </c>
      <c r="P443">
        <v>104</v>
      </c>
    </row>
    <row r="444" spans="1:16" x14ac:dyDescent="0.35">
      <c r="A444" s="4">
        <v>44136</v>
      </c>
      <c r="B444" t="s">
        <v>19</v>
      </c>
      <c r="C444" t="s">
        <v>14</v>
      </c>
      <c r="D444">
        <v>1</v>
      </c>
      <c r="E444" s="2">
        <f>(2270+2284+2243+2217)/4</f>
        <v>2253.5</v>
      </c>
      <c r="F444" s="2">
        <f t="shared" si="70"/>
        <v>2217.5749999999998</v>
      </c>
      <c r="G444" s="3">
        <v>1</v>
      </c>
      <c r="H444">
        <v>3435</v>
      </c>
      <c r="I444">
        <v>1685</v>
      </c>
      <c r="J444">
        <v>22212</v>
      </c>
      <c r="K444">
        <v>26655</v>
      </c>
      <c r="L444" s="2">
        <v>26.305625000000003</v>
      </c>
      <c r="M444" s="5">
        <v>308.66300000000001</v>
      </c>
      <c r="N444" s="1">
        <v>184.78819999999999</v>
      </c>
      <c r="O444" s="2">
        <v>4.0999999999999996</v>
      </c>
      <c r="P444">
        <v>104</v>
      </c>
    </row>
    <row r="445" spans="1:16" x14ac:dyDescent="0.35">
      <c r="A445" s="4">
        <v>44136</v>
      </c>
      <c r="B445" t="s">
        <v>19</v>
      </c>
      <c r="C445" t="s">
        <v>15</v>
      </c>
      <c r="D445">
        <v>1</v>
      </c>
      <c r="E445" s="2">
        <v>2235</v>
      </c>
      <c r="F445" s="2">
        <f t="shared" si="70"/>
        <v>2217.5749999999998</v>
      </c>
      <c r="G445" s="3">
        <v>1</v>
      </c>
      <c r="H445">
        <v>3435</v>
      </c>
      <c r="I445">
        <v>1685</v>
      </c>
      <c r="J445">
        <v>22212</v>
      </c>
      <c r="K445">
        <v>26655</v>
      </c>
      <c r="L445" s="2">
        <v>26.305625000000003</v>
      </c>
      <c r="M445" s="5">
        <v>308.66300000000001</v>
      </c>
      <c r="N445" s="1">
        <v>184.78819999999999</v>
      </c>
      <c r="O445" s="2">
        <v>4.0999999999999996</v>
      </c>
      <c r="P445">
        <v>104</v>
      </c>
    </row>
    <row r="446" spans="1:16" x14ac:dyDescent="0.35">
      <c r="A446" s="4">
        <v>44136</v>
      </c>
      <c r="B446" t="s">
        <v>20</v>
      </c>
      <c r="C446" t="s">
        <v>10</v>
      </c>
      <c r="D446">
        <v>1</v>
      </c>
      <c r="E446" s="2">
        <f>(1750+1966+2016+2000)/4</f>
        <v>1933</v>
      </c>
      <c r="F446" s="2">
        <f t="shared" ref="F446:F451" si="71">(2029+2041.8+2000.2+2028.25)/4</f>
        <v>2024.8125</v>
      </c>
      <c r="G446" s="3">
        <v>1</v>
      </c>
      <c r="H446">
        <v>3435</v>
      </c>
      <c r="I446">
        <v>1685</v>
      </c>
      <c r="J446">
        <v>22212</v>
      </c>
      <c r="K446">
        <v>26655</v>
      </c>
      <c r="L446" s="2">
        <v>26.305625000000003</v>
      </c>
      <c r="M446" s="5">
        <v>308.66300000000001</v>
      </c>
      <c r="N446" s="1">
        <v>184.78819999999999</v>
      </c>
      <c r="O446" s="2">
        <v>4.0999999999999996</v>
      </c>
      <c r="P446">
        <v>104</v>
      </c>
    </row>
    <row r="447" spans="1:16" x14ac:dyDescent="0.35">
      <c r="A447" s="4">
        <v>44136</v>
      </c>
      <c r="B447" t="s">
        <v>20</v>
      </c>
      <c r="C447" t="s">
        <v>11</v>
      </c>
      <c r="D447">
        <v>1</v>
      </c>
      <c r="E447" s="2" t="s">
        <v>27</v>
      </c>
      <c r="F447" s="2">
        <f t="shared" si="71"/>
        <v>2024.8125</v>
      </c>
      <c r="G447" s="3">
        <v>1</v>
      </c>
      <c r="H447">
        <v>3435</v>
      </c>
      <c r="I447">
        <v>1685</v>
      </c>
      <c r="J447">
        <v>22212</v>
      </c>
      <c r="K447">
        <v>26655</v>
      </c>
      <c r="L447" s="2">
        <v>26.305625000000003</v>
      </c>
      <c r="M447" s="5">
        <v>308.66300000000001</v>
      </c>
      <c r="N447" s="1">
        <v>184.78819999999999</v>
      </c>
      <c r="O447" s="2">
        <v>4.0999999999999996</v>
      </c>
      <c r="P447">
        <v>104</v>
      </c>
    </row>
    <row r="448" spans="1:16" x14ac:dyDescent="0.35">
      <c r="A448" s="4">
        <v>44136</v>
      </c>
      <c r="B448" t="s">
        <v>20</v>
      </c>
      <c r="C448" t="s">
        <v>12</v>
      </c>
      <c r="D448">
        <v>1</v>
      </c>
      <c r="E448" s="2">
        <f>(1825*2+1685)/3</f>
        <v>1778.3333333333333</v>
      </c>
      <c r="F448" s="2">
        <f t="shared" si="71"/>
        <v>2024.8125</v>
      </c>
      <c r="G448" s="3">
        <v>1</v>
      </c>
      <c r="H448">
        <v>3435</v>
      </c>
      <c r="I448">
        <v>1685</v>
      </c>
      <c r="J448">
        <v>22212</v>
      </c>
      <c r="K448">
        <v>26655</v>
      </c>
      <c r="L448" s="2">
        <v>26.305625000000003</v>
      </c>
      <c r="M448" s="5">
        <v>308.66300000000001</v>
      </c>
      <c r="N448" s="1">
        <v>184.78819999999999</v>
      </c>
      <c r="O448" s="2">
        <v>4.0999999999999996</v>
      </c>
      <c r="P448">
        <v>104</v>
      </c>
    </row>
    <row r="449" spans="1:16" x14ac:dyDescent="0.35">
      <c r="A449" s="4">
        <v>44136</v>
      </c>
      <c r="B449" t="s">
        <v>20</v>
      </c>
      <c r="C449" t="s">
        <v>13</v>
      </c>
      <c r="D449">
        <v>1</v>
      </c>
      <c r="E449" s="2">
        <f>(2125*2+2154+2090)/4</f>
        <v>2123.5</v>
      </c>
      <c r="F449" s="2">
        <f t="shared" si="71"/>
        <v>2024.8125</v>
      </c>
      <c r="G449" s="3">
        <v>1</v>
      </c>
      <c r="H449">
        <v>3435</v>
      </c>
      <c r="I449">
        <v>1685</v>
      </c>
      <c r="J449">
        <v>22212</v>
      </c>
      <c r="K449">
        <v>26655</v>
      </c>
      <c r="L449" s="2">
        <v>26.305625000000003</v>
      </c>
      <c r="M449" s="5">
        <v>308.66300000000001</v>
      </c>
      <c r="N449" s="1">
        <v>184.78819999999999</v>
      </c>
      <c r="O449" s="2">
        <v>4.0999999999999996</v>
      </c>
      <c r="P449">
        <v>104</v>
      </c>
    </row>
    <row r="450" spans="1:16" x14ac:dyDescent="0.35">
      <c r="A450" s="4">
        <v>44136</v>
      </c>
      <c r="B450" t="s">
        <v>20</v>
      </c>
      <c r="C450" t="s">
        <v>14</v>
      </c>
      <c r="D450">
        <v>1</v>
      </c>
      <c r="E450" s="2">
        <f>(2130+2123+2100+2113)/4</f>
        <v>2116.5</v>
      </c>
      <c r="F450" s="2">
        <f t="shared" si="71"/>
        <v>2024.8125</v>
      </c>
      <c r="G450" s="3">
        <v>1</v>
      </c>
      <c r="H450">
        <v>3435</v>
      </c>
      <c r="I450">
        <v>1685</v>
      </c>
      <c r="J450">
        <v>22212</v>
      </c>
      <c r="K450">
        <v>26655</v>
      </c>
      <c r="L450" s="2">
        <v>26.305625000000003</v>
      </c>
      <c r="M450" s="5">
        <v>308.66300000000001</v>
      </c>
      <c r="N450" s="1">
        <v>184.78819999999999</v>
      </c>
      <c r="O450" s="2">
        <v>4.0999999999999996</v>
      </c>
      <c r="P450">
        <v>104</v>
      </c>
    </row>
    <row r="451" spans="1:16" x14ac:dyDescent="0.35">
      <c r="A451" s="4">
        <v>44136</v>
      </c>
      <c r="B451" t="s">
        <v>20</v>
      </c>
      <c r="C451" t="s">
        <v>15</v>
      </c>
      <c r="D451">
        <v>1</v>
      </c>
      <c r="E451" s="2">
        <v>2112.5</v>
      </c>
      <c r="F451" s="2">
        <f t="shared" si="71"/>
        <v>2024.8125</v>
      </c>
      <c r="G451" s="3">
        <v>1</v>
      </c>
      <c r="H451">
        <v>3435</v>
      </c>
      <c r="I451">
        <v>1685</v>
      </c>
      <c r="J451">
        <v>22212</v>
      </c>
      <c r="K451">
        <v>26655</v>
      </c>
      <c r="L451" s="2">
        <v>26.305625000000003</v>
      </c>
      <c r="M451" s="5">
        <v>308.66300000000001</v>
      </c>
      <c r="N451" s="1">
        <v>184.78819999999999</v>
      </c>
      <c r="O451" s="2">
        <v>4.0999999999999996</v>
      </c>
      <c r="P451">
        <v>104</v>
      </c>
    </row>
    <row r="452" spans="1:16" x14ac:dyDescent="0.35">
      <c r="A452" s="4">
        <v>44136</v>
      </c>
      <c r="B452" t="s">
        <v>21</v>
      </c>
      <c r="C452" t="s">
        <v>10</v>
      </c>
      <c r="D452">
        <v>1</v>
      </c>
      <c r="E452" s="2">
        <f>(1533+1733+1583*2)/4</f>
        <v>1608</v>
      </c>
      <c r="F452" s="2">
        <f t="shared" ref="F452:F457" si="72">(1886.6+1886+1913.4+1943.25)/4</f>
        <v>1907.3125</v>
      </c>
      <c r="G452" s="3">
        <v>1</v>
      </c>
      <c r="H452">
        <v>3435</v>
      </c>
      <c r="I452">
        <v>1685</v>
      </c>
      <c r="J452">
        <v>22212</v>
      </c>
      <c r="K452">
        <v>26655</v>
      </c>
      <c r="L452" s="2">
        <v>26.305625000000003</v>
      </c>
      <c r="M452" s="5">
        <v>308.66300000000001</v>
      </c>
      <c r="N452" s="1">
        <v>184.78819999999999</v>
      </c>
      <c r="O452" s="2">
        <v>4.0999999999999996</v>
      </c>
      <c r="P452">
        <v>104</v>
      </c>
    </row>
    <row r="453" spans="1:16" x14ac:dyDescent="0.35">
      <c r="A453" s="4">
        <v>44136</v>
      </c>
      <c r="B453" t="s">
        <v>21</v>
      </c>
      <c r="C453" t="s">
        <v>11</v>
      </c>
      <c r="D453">
        <v>1</v>
      </c>
      <c r="E453" s="2" t="s">
        <v>27</v>
      </c>
      <c r="F453" s="2">
        <f t="shared" si="72"/>
        <v>1907.3125</v>
      </c>
      <c r="G453" s="3">
        <v>1</v>
      </c>
      <c r="H453">
        <v>3435</v>
      </c>
      <c r="I453">
        <v>1685</v>
      </c>
      <c r="J453">
        <v>22212</v>
      </c>
      <c r="K453">
        <v>26655</v>
      </c>
      <c r="L453" s="2">
        <v>26.305625000000003</v>
      </c>
      <c r="M453" s="5">
        <v>308.66300000000001</v>
      </c>
      <c r="N453" s="1">
        <v>184.78819999999999</v>
      </c>
      <c r="O453" s="2">
        <v>4.0999999999999996</v>
      </c>
      <c r="P453">
        <v>104</v>
      </c>
    </row>
    <row r="454" spans="1:16" x14ac:dyDescent="0.35">
      <c r="A454" s="4">
        <v>44136</v>
      </c>
      <c r="B454" t="s">
        <v>21</v>
      </c>
      <c r="C454" t="s">
        <v>12</v>
      </c>
      <c r="D454">
        <v>1</v>
      </c>
      <c r="E454" s="2">
        <f>1666.67</f>
        <v>1666.67</v>
      </c>
      <c r="F454" s="2">
        <f t="shared" si="72"/>
        <v>1907.3125</v>
      </c>
      <c r="G454" s="3">
        <v>1</v>
      </c>
      <c r="H454">
        <v>3435</v>
      </c>
      <c r="I454">
        <v>1685</v>
      </c>
      <c r="J454">
        <v>22212</v>
      </c>
      <c r="K454">
        <v>26655</v>
      </c>
      <c r="L454" s="2">
        <v>26.305625000000003</v>
      </c>
      <c r="M454" s="5">
        <v>308.66300000000001</v>
      </c>
      <c r="N454" s="1">
        <v>184.78819999999999</v>
      </c>
      <c r="O454" s="2">
        <v>4.0999999999999996</v>
      </c>
      <c r="P454">
        <v>104</v>
      </c>
    </row>
    <row r="455" spans="1:16" x14ac:dyDescent="0.35">
      <c r="A455" s="4">
        <v>44136</v>
      </c>
      <c r="B455" t="s">
        <v>21</v>
      </c>
      <c r="C455" t="s">
        <v>13</v>
      </c>
      <c r="D455">
        <v>1</v>
      </c>
      <c r="E455" s="2">
        <f>(2100*2+2030+2025)/4</f>
        <v>2063.75</v>
      </c>
      <c r="F455" s="2">
        <f t="shared" si="72"/>
        <v>1907.3125</v>
      </c>
      <c r="G455" s="3">
        <v>1</v>
      </c>
      <c r="H455">
        <v>3435</v>
      </c>
      <c r="I455">
        <v>1685</v>
      </c>
      <c r="J455">
        <v>22212</v>
      </c>
      <c r="K455">
        <v>26655</v>
      </c>
      <c r="L455" s="2">
        <v>26.305625000000003</v>
      </c>
      <c r="M455" s="5">
        <v>308.66300000000001</v>
      </c>
      <c r="N455" s="1">
        <v>184.78819999999999</v>
      </c>
      <c r="O455" s="2">
        <v>4.0999999999999996</v>
      </c>
      <c r="P455">
        <v>104</v>
      </c>
    </row>
    <row r="456" spans="1:16" x14ac:dyDescent="0.35">
      <c r="A456" s="4">
        <v>44136</v>
      </c>
      <c r="B456" t="s">
        <v>21</v>
      </c>
      <c r="C456" t="s">
        <v>14</v>
      </c>
      <c r="D456">
        <v>1</v>
      </c>
      <c r="E456" s="2">
        <f>(2075+2067+2034+2040)/4</f>
        <v>2054</v>
      </c>
      <c r="F456" s="2">
        <f t="shared" si="72"/>
        <v>1907.3125</v>
      </c>
      <c r="G456" s="3">
        <v>1</v>
      </c>
      <c r="H456">
        <v>3435</v>
      </c>
      <c r="I456">
        <v>1685</v>
      </c>
      <c r="J456">
        <v>22212</v>
      </c>
      <c r="K456">
        <v>26655</v>
      </c>
      <c r="L456" s="2">
        <v>26.305625000000003</v>
      </c>
      <c r="M456" s="5">
        <v>308.66300000000001</v>
      </c>
      <c r="N456" s="1">
        <v>184.78819999999999</v>
      </c>
      <c r="O456" s="2">
        <v>4.0999999999999996</v>
      </c>
      <c r="P456">
        <v>104</v>
      </c>
    </row>
    <row r="457" spans="1:16" x14ac:dyDescent="0.35">
      <c r="A457" s="4">
        <v>44136</v>
      </c>
      <c r="B457" t="s">
        <v>21</v>
      </c>
      <c r="C457" t="s">
        <v>15</v>
      </c>
      <c r="D457">
        <v>1</v>
      </c>
      <c r="E457" s="2">
        <v>2075</v>
      </c>
      <c r="F457" s="2">
        <f t="shared" si="72"/>
        <v>1907.3125</v>
      </c>
      <c r="G457" s="3">
        <v>1</v>
      </c>
      <c r="H457">
        <v>3435</v>
      </c>
      <c r="I457">
        <v>1685</v>
      </c>
      <c r="J457">
        <v>22212</v>
      </c>
      <c r="K457">
        <v>26655</v>
      </c>
      <c r="L457" s="2">
        <v>26.305625000000003</v>
      </c>
      <c r="M457" s="5">
        <v>308.66300000000001</v>
      </c>
      <c r="N457" s="1">
        <v>184.78819999999999</v>
      </c>
      <c r="O457" s="2">
        <v>4.0999999999999996</v>
      </c>
      <c r="P457">
        <v>104</v>
      </c>
    </row>
    <row r="458" spans="1:16" x14ac:dyDescent="0.35">
      <c r="A458" s="4">
        <v>44136</v>
      </c>
      <c r="B458" t="s">
        <v>22</v>
      </c>
      <c r="C458" t="s">
        <v>10</v>
      </c>
      <c r="D458">
        <v>0</v>
      </c>
      <c r="E458" s="2" t="s">
        <v>27</v>
      </c>
      <c r="F458" s="2">
        <f t="shared" ref="F458:F463" si="73">(1817*2+1800+1883)/4</f>
        <v>1829.25</v>
      </c>
      <c r="G458" s="3">
        <v>1</v>
      </c>
      <c r="H458">
        <v>3435</v>
      </c>
      <c r="I458">
        <v>1685</v>
      </c>
      <c r="J458">
        <v>22212</v>
      </c>
      <c r="K458">
        <v>26655</v>
      </c>
      <c r="L458" s="2">
        <v>26.305625000000003</v>
      </c>
      <c r="M458" s="5">
        <v>308.66300000000001</v>
      </c>
      <c r="N458" s="1">
        <v>184.78819999999999</v>
      </c>
      <c r="O458" s="2">
        <v>4.0999999999999996</v>
      </c>
      <c r="P458">
        <v>104</v>
      </c>
    </row>
    <row r="459" spans="1:16" x14ac:dyDescent="0.35">
      <c r="A459" s="4">
        <v>44136</v>
      </c>
      <c r="B459" t="s">
        <v>22</v>
      </c>
      <c r="C459" t="s">
        <v>11</v>
      </c>
      <c r="D459">
        <v>0</v>
      </c>
      <c r="E459" s="2" t="s">
        <v>27</v>
      </c>
      <c r="F459" s="2">
        <f t="shared" si="73"/>
        <v>1829.25</v>
      </c>
      <c r="G459" s="3">
        <v>1</v>
      </c>
      <c r="H459">
        <v>3435</v>
      </c>
      <c r="I459">
        <v>1685</v>
      </c>
      <c r="J459">
        <v>22212</v>
      </c>
      <c r="K459">
        <v>26655</v>
      </c>
      <c r="L459" s="2">
        <v>26.305625000000003</v>
      </c>
      <c r="M459" s="5">
        <v>308.66300000000001</v>
      </c>
      <c r="N459" s="1">
        <v>184.78819999999999</v>
      </c>
      <c r="O459" s="2">
        <v>4.0999999999999996</v>
      </c>
      <c r="P459">
        <v>104</v>
      </c>
    </row>
    <row r="460" spans="1:16" x14ac:dyDescent="0.35">
      <c r="A460" s="4">
        <v>44136</v>
      </c>
      <c r="B460" t="s">
        <v>22</v>
      </c>
      <c r="C460" t="s">
        <v>12</v>
      </c>
      <c r="D460">
        <v>0</v>
      </c>
      <c r="E460" s="2" t="s">
        <v>27</v>
      </c>
      <c r="F460" s="2">
        <f t="shared" si="73"/>
        <v>1829.25</v>
      </c>
      <c r="G460" s="3">
        <v>1</v>
      </c>
      <c r="H460">
        <v>3435</v>
      </c>
      <c r="I460">
        <v>1685</v>
      </c>
      <c r="J460">
        <v>22212</v>
      </c>
      <c r="K460">
        <v>26655</v>
      </c>
      <c r="L460" s="2">
        <v>26.305625000000003</v>
      </c>
      <c r="M460" s="5">
        <v>308.66300000000001</v>
      </c>
      <c r="N460" s="1">
        <v>184.78819999999999</v>
      </c>
      <c r="O460" s="2">
        <v>4.0999999999999996</v>
      </c>
      <c r="P460">
        <v>104</v>
      </c>
    </row>
    <row r="461" spans="1:16" x14ac:dyDescent="0.35">
      <c r="A461" s="4">
        <v>44136</v>
      </c>
      <c r="B461" t="s">
        <v>22</v>
      </c>
      <c r="C461" t="s">
        <v>13</v>
      </c>
      <c r="D461">
        <v>0</v>
      </c>
      <c r="E461" s="2" t="s">
        <v>27</v>
      </c>
      <c r="F461" s="2">
        <f t="shared" si="73"/>
        <v>1829.25</v>
      </c>
      <c r="G461" s="3">
        <v>1</v>
      </c>
      <c r="H461">
        <v>3435</v>
      </c>
      <c r="I461">
        <v>1685</v>
      </c>
      <c r="J461">
        <v>22212</v>
      </c>
      <c r="K461">
        <v>26655</v>
      </c>
      <c r="L461" s="2">
        <v>26.305625000000003</v>
      </c>
      <c r="M461" s="5">
        <v>308.66300000000001</v>
      </c>
      <c r="N461" s="1">
        <v>184.78819999999999</v>
      </c>
      <c r="O461" s="2">
        <v>4.0999999999999996</v>
      </c>
      <c r="P461">
        <v>104</v>
      </c>
    </row>
    <row r="462" spans="1:16" x14ac:dyDescent="0.35">
      <c r="A462" s="4">
        <v>44136</v>
      </c>
      <c r="B462" t="s">
        <v>22</v>
      </c>
      <c r="C462" t="s">
        <v>14</v>
      </c>
      <c r="D462">
        <v>1</v>
      </c>
      <c r="E462" s="2">
        <f>(1817*2+1800+1883)/4</f>
        <v>1829.25</v>
      </c>
      <c r="F462" s="2">
        <f t="shared" si="73"/>
        <v>1829.25</v>
      </c>
      <c r="G462" s="3">
        <v>1</v>
      </c>
      <c r="H462">
        <v>3435</v>
      </c>
      <c r="I462">
        <v>1685</v>
      </c>
      <c r="J462">
        <v>22212</v>
      </c>
      <c r="K462">
        <v>26655</v>
      </c>
      <c r="L462" s="2">
        <v>26.305625000000003</v>
      </c>
      <c r="M462" s="5">
        <v>308.66300000000001</v>
      </c>
      <c r="N462" s="1">
        <v>184.78819999999999</v>
      </c>
      <c r="O462" s="2">
        <v>4.0999999999999996</v>
      </c>
      <c r="P462">
        <v>104</v>
      </c>
    </row>
    <row r="463" spans="1:16" x14ac:dyDescent="0.35">
      <c r="A463" s="4">
        <v>44136</v>
      </c>
      <c r="B463" t="s">
        <v>22</v>
      </c>
      <c r="C463" t="s">
        <v>15</v>
      </c>
      <c r="D463">
        <v>0</v>
      </c>
      <c r="E463" s="2" t="s">
        <v>27</v>
      </c>
      <c r="F463" s="2">
        <f t="shared" si="73"/>
        <v>1829.25</v>
      </c>
      <c r="G463" s="3">
        <v>1</v>
      </c>
      <c r="H463">
        <v>3435</v>
      </c>
      <c r="I463">
        <v>1685</v>
      </c>
      <c r="J463">
        <v>22212</v>
      </c>
      <c r="K463">
        <v>26655</v>
      </c>
      <c r="L463" s="2">
        <v>26.305625000000003</v>
      </c>
      <c r="M463" s="5">
        <v>308.66300000000001</v>
      </c>
      <c r="N463" s="1">
        <v>184.78819999999999</v>
      </c>
      <c r="O463" s="2">
        <v>4.0999999999999996</v>
      </c>
      <c r="P463">
        <v>104</v>
      </c>
    </row>
    <row r="464" spans="1:16" x14ac:dyDescent="0.35">
      <c r="A464" s="4">
        <v>44166</v>
      </c>
      <c r="B464" t="s">
        <v>16</v>
      </c>
      <c r="C464" t="s">
        <v>10</v>
      </c>
      <c r="D464">
        <v>1</v>
      </c>
      <c r="E464" s="2">
        <f>(2950+2966+2900*2+3066)/5</f>
        <v>2956.4</v>
      </c>
      <c r="F464" s="2">
        <f t="shared" ref="F464:F469" si="74">(2982.25+2956.25+2968.75+2985.25+2993.75)/5</f>
        <v>2977.25</v>
      </c>
      <c r="G464" s="3">
        <v>1</v>
      </c>
      <c r="H464">
        <v>3435</v>
      </c>
      <c r="I464">
        <v>1497.7</v>
      </c>
      <c r="J464">
        <v>19364</v>
      </c>
      <c r="K464">
        <v>35539</v>
      </c>
      <c r="L464" s="2">
        <v>25.624375000000001</v>
      </c>
      <c r="M464" s="5">
        <v>301.84750000000003</v>
      </c>
      <c r="N464" s="1">
        <v>187.18219999999999</v>
      </c>
      <c r="O464" s="2">
        <v>4.2</v>
      </c>
      <c r="P464">
        <v>104</v>
      </c>
    </row>
    <row r="465" spans="1:16" x14ac:dyDescent="0.35">
      <c r="A465" s="4">
        <v>44166</v>
      </c>
      <c r="B465" t="s">
        <v>16</v>
      </c>
      <c r="C465" t="s">
        <v>11</v>
      </c>
      <c r="D465">
        <v>0</v>
      </c>
      <c r="E465" s="2" t="s">
        <v>27</v>
      </c>
      <c r="F465" s="2">
        <f t="shared" si="74"/>
        <v>2977.25</v>
      </c>
      <c r="G465" s="3">
        <v>1</v>
      </c>
      <c r="H465">
        <v>3435</v>
      </c>
      <c r="I465">
        <v>1497.7</v>
      </c>
      <c r="J465">
        <v>19364</v>
      </c>
      <c r="K465">
        <v>35539</v>
      </c>
      <c r="L465" s="2">
        <v>25.624375000000001</v>
      </c>
      <c r="M465" s="5">
        <v>301.84750000000003</v>
      </c>
      <c r="N465" s="1">
        <v>187.18219999999999</v>
      </c>
      <c r="O465" s="2">
        <v>4.2</v>
      </c>
      <c r="P465">
        <v>104</v>
      </c>
    </row>
    <row r="466" spans="1:16" x14ac:dyDescent="0.35">
      <c r="A466" s="4">
        <v>44166</v>
      </c>
      <c r="B466" t="s">
        <v>16</v>
      </c>
      <c r="C466" t="s">
        <v>12</v>
      </c>
      <c r="D466">
        <v>1</v>
      </c>
      <c r="E466" s="2">
        <f>(2925+3000*4)/5</f>
        <v>2985</v>
      </c>
      <c r="F466" s="2">
        <f t="shared" si="74"/>
        <v>2977.25</v>
      </c>
      <c r="G466" s="3">
        <v>1</v>
      </c>
      <c r="H466">
        <v>3435</v>
      </c>
      <c r="I466">
        <v>1497.7</v>
      </c>
      <c r="J466">
        <v>19364</v>
      </c>
      <c r="K466">
        <v>35539</v>
      </c>
      <c r="L466" s="2">
        <v>25.624375000000001</v>
      </c>
      <c r="M466" s="5">
        <v>301.84750000000003</v>
      </c>
      <c r="N466" s="1">
        <v>187.18219999999999</v>
      </c>
      <c r="O466" s="2">
        <v>4.2</v>
      </c>
      <c r="P466">
        <v>104</v>
      </c>
    </row>
    <row r="467" spans="1:16" x14ac:dyDescent="0.35">
      <c r="A467" s="4">
        <v>44166</v>
      </c>
      <c r="B467" t="s">
        <v>16</v>
      </c>
      <c r="C467" t="s">
        <v>13</v>
      </c>
      <c r="D467">
        <v>1</v>
      </c>
      <c r="E467" s="2">
        <v>3050</v>
      </c>
      <c r="F467" s="2">
        <f t="shared" si="74"/>
        <v>2977.25</v>
      </c>
      <c r="G467" s="3">
        <v>1</v>
      </c>
      <c r="H467">
        <v>3435</v>
      </c>
      <c r="I467">
        <v>1497.7</v>
      </c>
      <c r="J467">
        <v>19364</v>
      </c>
      <c r="K467">
        <v>35539</v>
      </c>
      <c r="L467" s="2">
        <v>25.624375000000001</v>
      </c>
      <c r="M467" s="5">
        <v>301.84750000000003</v>
      </c>
      <c r="N467" s="1">
        <v>187.18219999999999</v>
      </c>
      <c r="O467" s="2">
        <v>4.2</v>
      </c>
      <c r="P467">
        <v>104</v>
      </c>
    </row>
    <row r="468" spans="1:16" x14ac:dyDescent="0.35">
      <c r="A468" s="4">
        <v>44166</v>
      </c>
      <c r="B468" t="s">
        <v>16</v>
      </c>
      <c r="C468" t="s">
        <v>14</v>
      </c>
      <c r="D468">
        <v>1</v>
      </c>
      <c r="E468" s="2">
        <f>(2925+2975+2925+2875+2888)/5</f>
        <v>2917.6</v>
      </c>
      <c r="F468" s="2">
        <f t="shared" si="74"/>
        <v>2977.25</v>
      </c>
      <c r="G468" s="3">
        <v>1</v>
      </c>
      <c r="H468">
        <v>3435</v>
      </c>
      <c r="I468">
        <v>1497.7</v>
      </c>
      <c r="J468">
        <v>19364</v>
      </c>
      <c r="K468">
        <v>35539</v>
      </c>
      <c r="L468" s="2">
        <v>25.624375000000001</v>
      </c>
      <c r="M468" s="5">
        <v>301.84750000000003</v>
      </c>
      <c r="N468" s="1">
        <v>187.18219999999999</v>
      </c>
      <c r="O468" s="2">
        <v>4.2</v>
      </c>
      <c r="P468">
        <v>104</v>
      </c>
    </row>
    <row r="469" spans="1:16" x14ac:dyDescent="0.35">
      <c r="A469" s="4">
        <v>44166</v>
      </c>
      <c r="B469" t="s">
        <v>16</v>
      </c>
      <c r="C469" t="s">
        <v>15</v>
      </c>
      <c r="D469">
        <v>0</v>
      </c>
      <c r="E469" s="2" t="s">
        <v>27</v>
      </c>
      <c r="F469" s="2">
        <f t="shared" si="74"/>
        <v>2977.25</v>
      </c>
      <c r="G469" s="3">
        <v>1</v>
      </c>
      <c r="H469">
        <v>3435</v>
      </c>
      <c r="I469">
        <v>1497.7</v>
      </c>
      <c r="J469">
        <v>19364</v>
      </c>
      <c r="K469">
        <v>35539</v>
      </c>
      <c r="L469" s="2">
        <v>25.624375000000001</v>
      </c>
      <c r="M469" s="5">
        <v>301.84750000000003</v>
      </c>
      <c r="N469" s="1">
        <v>187.18219999999999</v>
      </c>
      <c r="O469" s="2">
        <v>4.2</v>
      </c>
      <c r="P469">
        <v>104</v>
      </c>
    </row>
    <row r="470" spans="1:16" x14ac:dyDescent="0.35">
      <c r="A470" s="4">
        <v>44166</v>
      </c>
      <c r="B470" t="s">
        <v>17</v>
      </c>
      <c r="C470" t="s">
        <v>10</v>
      </c>
      <c r="D470">
        <v>1</v>
      </c>
      <c r="E470" s="2">
        <f>(2583+2450+2483+2516+2660)/5</f>
        <v>2538.4</v>
      </c>
      <c r="F470" s="2">
        <f t="shared" ref="F470:F475" si="75">(2570+2540+2520+2523.2+2535.75)/5</f>
        <v>2537.79</v>
      </c>
      <c r="G470" s="3">
        <v>1</v>
      </c>
      <c r="H470">
        <v>3435</v>
      </c>
      <c r="I470">
        <v>1497.7</v>
      </c>
      <c r="J470">
        <v>19364</v>
      </c>
      <c r="K470">
        <v>35539</v>
      </c>
      <c r="L470" s="2">
        <v>25.624375000000001</v>
      </c>
      <c r="M470" s="5">
        <v>301.84750000000003</v>
      </c>
      <c r="N470" s="1">
        <v>187.18219999999999</v>
      </c>
      <c r="O470" s="2">
        <v>4.2</v>
      </c>
      <c r="P470">
        <v>104</v>
      </c>
    </row>
    <row r="471" spans="1:16" x14ac:dyDescent="0.35">
      <c r="A471" s="4">
        <v>44166</v>
      </c>
      <c r="B471" t="s">
        <v>17</v>
      </c>
      <c r="C471" t="s">
        <v>11</v>
      </c>
      <c r="D471">
        <v>1</v>
      </c>
      <c r="E471" s="2">
        <v>2600</v>
      </c>
      <c r="F471" s="2">
        <f t="shared" si="75"/>
        <v>2537.79</v>
      </c>
      <c r="G471" s="3">
        <v>1</v>
      </c>
      <c r="H471">
        <v>3435</v>
      </c>
      <c r="I471">
        <v>1497.7</v>
      </c>
      <c r="J471">
        <v>19364</v>
      </c>
      <c r="K471">
        <v>35539</v>
      </c>
      <c r="L471" s="2">
        <v>25.624375000000001</v>
      </c>
      <c r="M471" s="5">
        <v>301.84750000000003</v>
      </c>
      <c r="N471" s="1">
        <v>187.18219999999999</v>
      </c>
      <c r="O471" s="2">
        <v>4.2</v>
      </c>
      <c r="P471">
        <v>104</v>
      </c>
    </row>
    <row r="472" spans="1:16" x14ac:dyDescent="0.35">
      <c r="A472" s="4">
        <v>44166</v>
      </c>
      <c r="B472" t="s">
        <v>17</v>
      </c>
      <c r="C472" t="s">
        <v>12</v>
      </c>
      <c r="D472">
        <v>1</v>
      </c>
      <c r="E472" s="2">
        <v>2575</v>
      </c>
      <c r="F472" s="2">
        <f t="shared" si="75"/>
        <v>2537.79</v>
      </c>
      <c r="G472" s="3">
        <v>1</v>
      </c>
      <c r="H472">
        <v>3435</v>
      </c>
      <c r="I472">
        <v>1497.7</v>
      </c>
      <c r="J472">
        <v>19364</v>
      </c>
      <c r="K472">
        <v>35539</v>
      </c>
      <c r="L472" s="2">
        <v>25.624375000000001</v>
      </c>
      <c r="M472" s="5">
        <v>301.84750000000003</v>
      </c>
      <c r="N472" s="1">
        <v>187.18219999999999</v>
      </c>
      <c r="O472" s="2">
        <v>4.2</v>
      </c>
      <c r="P472">
        <v>104</v>
      </c>
    </row>
    <row r="473" spans="1:16" x14ac:dyDescent="0.35">
      <c r="A473" s="4">
        <v>44166</v>
      </c>
      <c r="B473" t="s">
        <v>17</v>
      </c>
      <c r="C473" t="s">
        <v>13</v>
      </c>
      <c r="D473">
        <v>1</v>
      </c>
      <c r="E473" s="2">
        <v>2465</v>
      </c>
      <c r="F473" s="2">
        <f t="shared" si="75"/>
        <v>2537.79</v>
      </c>
      <c r="G473" s="3">
        <v>1</v>
      </c>
      <c r="H473">
        <v>3435</v>
      </c>
      <c r="I473">
        <v>1497.7</v>
      </c>
      <c r="J473">
        <v>19364</v>
      </c>
      <c r="K473">
        <v>35539</v>
      </c>
      <c r="L473" s="2">
        <v>25.624375000000001</v>
      </c>
      <c r="M473" s="5">
        <v>301.84750000000003</v>
      </c>
      <c r="N473" s="1">
        <v>187.18219999999999</v>
      </c>
      <c r="O473" s="2">
        <v>4.2</v>
      </c>
      <c r="P473">
        <v>104</v>
      </c>
    </row>
    <row r="474" spans="1:16" x14ac:dyDescent="0.35">
      <c r="A474" s="4">
        <v>44166</v>
      </c>
      <c r="B474" t="s">
        <v>17</v>
      </c>
      <c r="C474" t="s">
        <v>14</v>
      </c>
      <c r="D474">
        <v>1</v>
      </c>
      <c r="E474" s="2">
        <f>(2483+2500+2517+2550+2567)/5</f>
        <v>2523.4</v>
      </c>
      <c r="F474" s="2">
        <f t="shared" si="75"/>
        <v>2537.79</v>
      </c>
      <c r="G474" s="3">
        <v>1</v>
      </c>
      <c r="H474">
        <v>3435</v>
      </c>
      <c r="I474">
        <v>1497.7</v>
      </c>
      <c r="J474">
        <v>19364</v>
      </c>
      <c r="K474">
        <v>35539</v>
      </c>
      <c r="L474" s="2">
        <v>25.624375000000001</v>
      </c>
      <c r="M474" s="5">
        <v>301.84750000000003</v>
      </c>
      <c r="N474" s="1">
        <v>187.18219999999999</v>
      </c>
      <c r="O474" s="2">
        <v>4.2</v>
      </c>
      <c r="P474">
        <v>104</v>
      </c>
    </row>
    <row r="475" spans="1:16" x14ac:dyDescent="0.35">
      <c r="A475" s="4">
        <v>44166</v>
      </c>
      <c r="B475" t="s">
        <v>17</v>
      </c>
      <c r="C475" t="s">
        <v>15</v>
      </c>
      <c r="D475">
        <v>0</v>
      </c>
      <c r="E475" s="2" t="s">
        <v>27</v>
      </c>
      <c r="F475" s="2">
        <f t="shared" si="75"/>
        <v>2537.79</v>
      </c>
      <c r="G475" s="3">
        <v>1</v>
      </c>
      <c r="H475">
        <v>3435</v>
      </c>
      <c r="I475">
        <v>1497.7</v>
      </c>
      <c r="J475">
        <v>19364</v>
      </c>
      <c r="K475">
        <v>35539</v>
      </c>
      <c r="L475" s="2">
        <v>25.624375000000001</v>
      </c>
      <c r="M475" s="5">
        <v>301.84750000000003</v>
      </c>
      <c r="N475" s="1">
        <v>187.18219999999999</v>
      </c>
      <c r="O475" s="2">
        <v>4.2</v>
      </c>
      <c r="P475">
        <v>104</v>
      </c>
    </row>
    <row r="476" spans="1:16" x14ac:dyDescent="0.35">
      <c r="A476" s="4">
        <v>44166</v>
      </c>
      <c r="B476" t="s">
        <v>18</v>
      </c>
      <c r="C476" t="s">
        <v>10</v>
      </c>
      <c r="D476">
        <v>1</v>
      </c>
      <c r="E476" s="2">
        <f>(2416+2333+2283+2333+2433)/5</f>
        <v>2359.6</v>
      </c>
      <c r="F476" s="2">
        <f t="shared" ref="F476:F481" si="76">(2380.71+2330.71+2323.71+2360.71+2350.6)/5</f>
        <v>2349.288</v>
      </c>
      <c r="G476" s="3">
        <v>1</v>
      </c>
      <c r="H476">
        <v>3435</v>
      </c>
      <c r="I476">
        <v>1497.7</v>
      </c>
      <c r="J476">
        <v>19364</v>
      </c>
      <c r="K476">
        <v>35539</v>
      </c>
      <c r="L476" s="2">
        <v>25.624375000000001</v>
      </c>
      <c r="M476" s="5">
        <v>301.84750000000003</v>
      </c>
      <c r="N476" s="1">
        <v>187.18219999999999</v>
      </c>
      <c r="O476" s="2">
        <v>4.2</v>
      </c>
      <c r="P476">
        <v>104</v>
      </c>
    </row>
    <row r="477" spans="1:16" x14ac:dyDescent="0.35">
      <c r="A477" s="4">
        <v>44166</v>
      </c>
      <c r="B477" t="s">
        <v>18</v>
      </c>
      <c r="C477" t="s">
        <v>11</v>
      </c>
      <c r="D477">
        <v>1</v>
      </c>
      <c r="E477" s="2">
        <v>2450</v>
      </c>
      <c r="F477" s="2">
        <f t="shared" si="76"/>
        <v>2349.288</v>
      </c>
      <c r="G477" s="3">
        <v>1</v>
      </c>
      <c r="H477">
        <v>3435</v>
      </c>
      <c r="I477">
        <v>1497.7</v>
      </c>
      <c r="J477">
        <v>19364</v>
      </c>
      <c r="K477">
        <v>35539</v>
      </c>
      <c r="L477" s="2">
        <v>25.624375000000001</v>
      </c>
      <c r="M477" s="5">
        <v>301.84750000000003</v>
      </c>
      <c r="N477" s="1">
        <v>187.18219999999999</v>
      </c>
      <c r="O477" s="2">
        <v>4.2</v>
      </c>
      <c r="P477">
        <v>104</v>
      </c>
    </row>
    <row r="478" spans="1:16" x14ac:dyDescent="0.35">
      <c r="A478" s="4">
        <v>44166</v>
      </c>
      <c r="B478" t="s">
        <v>18</v>
      </c>
      <c r="C478" t="s">
        <v>12</v>
      </c>
      <c r="D478">
        <v>1</v>
      </c>
      <c r="E478" s="2">
        <v>2368</v>
      </c>
      <c r="F478" s="2">
        <f t="shared" si="76"/>
        <v>2349.288</v>
      </c>
      <c r="G478" s="3">
        <v>1</v>
      </c>
      <c r="H478">
        <v>3435</v>
      </c>
      <c r="I478">
        <v>1497.7</v>
      </c>
      <c r="J478">
        <v>19364</v>
      </c>
      <c r="K478">
        <v>35539</v>
      </c>
      <c r="L478" s="2">
        <v>25.624375000000001</v>
      </c>
      <c r="M478" s="5">
        <v>301.84750000000003</v>
      </c>
      <c r="N478" s="1">
        <v>187.18219999999999</v>
      </c>
      <c r="O478" s="2">
        <v>4.2</v>
      </c>
      <c r="P478">
        <v>104</v>
      </c>
    </row>
    <row r="479" spans="1:16" x14ac:dyDescent="0.35">
      <c r="A479" s="4">
        <v>44166</v>
      </c>
      <c r="B479" t="s">
        <v>18</v>
      </c>
      <c r="C479" t="s">
        <v>13</v>
      </c>
      <c r="D479">
        <v>1</v>
      </c>
      <c r="E479" s="2">
        <v>2327</v>
      </c>
      <c r="F479" s="2">
        <f t="shared" si="76"/>
        <v>2349.288</v>
      </c>
      <c r="G479" s="3">
        <v>1</v>
      </c>
      <c r="H479">
        <v>3435</v>
      </c>
      <c r="I479">
        <v>1497.7</v>
      </c>
      <c r="J479">
        <v>19364</v>
      </c>
      <c r="K479">
        <v>35539</v>
      </c>
      <c r="L479" s="2">
        <v>25.624375000000001</v>
      </c>
      <c r="M479" s="5">
        <v>301.84750000000003</v>
      </c>
      <c r="N479" s="1">
        <v>187.18219999999999</v>
      </c>
      <c r="O479" s="2">
        <v>4.2</v>
      </c>
      <c r="P479">
        <v>104</v>
      </c>
    </row>
    <row r="480" spans="1:16" x14ac:dyDescent="0.35">
      <c r="A480" s="4">
        <v>44166</v>
      </c>
      <c r="B480" t="s">
        <v>18</v>
      </c>
      <c r="C480" t="s">
        <v>14</v>
      </c>
      <c r="D480">
        <v>1</v>
      </c>
      <c r="E480" s="2">
        <f>(2367+2367+2383+2367*2)/5</f>
        <v>2370.1999999999998</v>
      </c>
      <c r="F480" s="2">
        <f t="shared" si="76"/>
        <v>2349.288</v>
      </c>
      <c r="G480" s="3">
        <v>1</v>
      </c>
      <c r="H480">
        <v>3435</v>
      </c>
      <c r="I480">
        <v>1497.7</v>
      </c>
      <c r="J480">
        <v>19364</v>
      </c>
      <c r="K480">
        <v>35539</v>
      </c>
      <c r="L480" s="2">
        <v>25.624375000000001</v>
      </c>
      <c r="M480" s="5">
        <v>301.84750000000003</v>
      </c>
      <c r="N480" s="1">
        <v>187.18219999999999</v>
      </c>
      <c r="O480" s="2">
        <v>4.2</v>
      </c>
      <c r="P480">
        <v>104</v>
      </c>
    </row>
    <row r="481" spans="1:16" x14ac:dyDescent="0.35">
      <c r="A481" s="4">
        <v>44166</v>
      </c>
      <c r="B481" t="s">
        <v>18</v>
      </c>
      <c r="C481" t="s">
        <v>15</v>
      </c>
      <c r="D481">
        <v>1</v>
      </c>
      <c r="E481" s="2">
        <v>2340</v>
      </c>
      <c r="F481" s="2">
        <f t="shared" si="76"/>
        <v>2349.288</v>
      </c>
      <c r="G481" s="3">
        <v>1</v>
      </c>
      <c r="H481">
        <v>3435</v>
      </c>
      <c r="I481">
        <v>1497.7</v>
      </c>
      <c r="J481">
        <v>19364</v>
      </c>
      <c r="K481">
        <v>35539</v>
      </c>
      <c r="L481" s="2">
        <v>25.624375000000001</v>
      </c>
      <c r="M481" s="5">
        <v>301.84750000000003</v>
      </c>
      <c r="N481" s="1">
        <v>187.18219999999999</v>
      </c>
      <c r="O481" s="2">
        <v>4.2</v>
      </c>
      <c r="P481">
        <v>104</v>
      </c>
    </row>
    <row r="482" spans="1:16" x14ac:dyDescent="0.35">
      <c r="A482" s="4">
        <v>44166</v>
      </c>
      <c r="B482" t="s">
        <v>19</v>
      </c>
      <c r="C482" t="s">
        <v>10</v>
      </c>
      <c r="D482">
        <v>1</v>
      </c>
      <c r="E482" s="2">
        <f>(2200+2150+2166+2200+2066)/5</f>
        <v>2156.4</v>
      </c>
      <c r="F482" s="2">
        <f t="shared" ref="F482:F487" si="77">(2251.4+2198.14+2175.43+2194.86+2178.43)/5</f>
        <v>2199.652</v>
      </c>
      <c r="G482" s="3">
        <v>1</v>
      </c>
      <c r="H482">
        <v>3435</v>
      </c>
      <c r="I482">
        <v>1497.7</v>
      </c>
      <c r="J482">
        <v>19364</v>
      </c>
      <c r="K482">
        <v>35539</v>
      </c>
      <c r="L482" s="2">
        <v>25.624375000000001</v>
      </c>
      <c r="M482" s="5">
        <v>301.84750000000003</v>
      </c>
      <c r="N482" s="1">
        <v>187.18219999999999</v>
      </c>
      <c r="O482" s="2">
        <v>4.2</v>
      </c>
      <c r="P482">
        <v>104</v>
      </c>
    </row>
    <row r="483" spans="1:16" x14ac:dyDescent="0.35">
      <c r="A483" s="4">
        <v>44166</v>
      </c>
      <c r="B483" t="s">
        <v>19</v>
      </c>
      <c r="C483" t="s">
        <v>11</v>
      </c>
      <c r="D483">
        <v>1</v>
      </c>
      <c r="E483" s="2">
        <v>2337.5</v>
      </c>
      <c r="F483" s="2">
        <f t="shared" si="77"/>
        <v>2199.652</v>
      </c>
      <c r="G483" s="3">
        <v>1</v>
      </c>
      <c r="H483">
        <v>3435</v>
      </c>
      <c r="I483">
        <v>1497.7</v>
      </c>
      <c r="J483">
        <v>19364</v>
      </c>
      <c r="K483">
        <v>35539</v>
      </c>
      <c r="L483" s="2">
        <v>25.624375000000001</v>
      </c>
      <c r="M483" s="5">
        <v>301.84750000000003</v>
      </c>
      <c r="N483" s="1">
        <v>187.18219999999999</v>
      </c>
      <c r="O483" s="2">
        <v>4.2</v>
      </c>
      <c r="P483">
        <v>104</v>
      </c>
    </row>
    <row r="484" spans="1:16" x14ac:dyDescent="0.35">
      <c r="A484" s="4">
        <v>44166</v>
      </c>
      <c r="B484" t="s">
        <v>19</v>
      </c>
      <c r="C484" t="s">
        <v>12</v>
      </c>
      <c r="D484">
        <v>1</v>
      </c>
      <c r="E484" s="2">
        <v>2270</v>
      </c>
      <c r="F484" s="2">
        <f t="shared" si="77"/>
        <v>2199.652</v>
      </c>
      <c r="G484" s="3">
        <v>1</v>
      </c>
      <c r="H484">
        <v>3435</v>
      </c>
      <c r="I484">
        <v>1497.7</v>
      </c>
      <c r="J484">
        <v>19364</v>
      </c>
      <c r="K484">
        <v>35539</v>
      </c>
      <c r="L484" s="2">
        <v>25.624375000000001</v>
      </c>
      <c r="M484" s="5">
        <v>301.84750000000003</v>
      </c>
      <c r="N484" s="1">
        <v>187.18219999999999</v>
      </c>
      <c r="O484" s="2">
        <v>4.2</v>
      </c>
      <c r="P484">
        <v>104</v>
      </c>
    </row>
    <row r="485" spans="1:16" x14ac:dyDescent="0.35">
      <c r="A485" s="4">
        <v>44166</v>
      </c>
      <c r="B485" t="s">
        <v>19</v>
      </c>
      <c r="C485" t="s">
        <v>13</v>
      </c>
      <c r="D485">
        <v>1</v>
      </c>
      <c r="E485" s="2">
        <v>2294</v>
      </c>
      <c r="F485" s="2">
        <f t="shared" si="77"/>
        <v>2199.652</v>
      </c>
      <c r="G485" s="3">
        <v>1</v>
      </c>
      <c r="H485">
        <v>3435</v>
      </c>
      <c r="I485">
        <v>1497.7</v>
      </c>
      <c r="J485">
        <v>19364</v>
      </c>
      <c r="K485">
        <v>35539</v>
      </c>
      <c r="L485" s="2">
        <v>25.624375000000001</v>
      </c>
      <c r="M485" s="5">
        <v>301.84750000000003</v>
      </c>
      <c r="N485" s="1">
        <v>187.18219999999999</v>
      </c>
      <c r="O485" s="2">
        <v>4.2</v>
      </c>
      <c r="P485">
        <v>104</v>
      </c>
    </row>
    <row r="486" spans="1:16" x14ac:dyDescent="0.35">
      <c r="A486" s="4">
        <v>44166</v>
      </c>
      <c r="B486" t="s">
        <v>19</v>
      </c>
      <c r="C486" t="s">
        <v>14</v>
      </c>
      <c r="D486">
        <v>1</v>
      </c>
      <c r="E486" s="2">
        <f>(2257+2262+2287+2264+2283)/5</f>
        <v>2270.6</v>
      </c>
      <c r="F486" s="2">
        <f t="shared" si="77"/>
        <v>2199.652</v>
      </c>
      <c r="G486" s="3">
        <v>1</v>
      </c>
      <c r="H486">
        <v>3435</v>
      </c>
      <c r="I486">
        <v>1497.7</v>
      </c>
      <c r="J486">
        <v>19364</v>
      </c>
      <c r="K486">
        <v>35539</v>
      </c>
      <c r="L486" s="2">
        <v>25.624375000000001</v>
      </c>
      <c r="M486" s="5">
        <v>301.84750000000003</v>
      </c>
      <c r="N486" s="1">
        <v>187.18219999999999</v>
      </c>
      <c r="O486" s="2">
        <v>4.2</v>
      </c>
      <c r="P486">
        <v>104</v>
      </c>
    </row>
    <row r="487" spans="1:16" x14ac:dyDescent="0.35">
      <c r="A487" s="4">
        <v>44166</v>
      </c>
      <c r="B487" t="s">
        <v>19</v>
      </c>
      <c r="C487" t="s">
        <v>15</v>
      </c>
      <c r="D487">
        <v>1</v>
      </c>
      <c r="E487" s="2">
        <v>2250</v>
      </c>
      <c r="F487" s="2">
        <f t="shared" si="77"/>
        <v>2199.652</v>
      </c>
      <c r="G487" s="3">
        <v>1</v>
      </c>
      <c r="H487">
        <v>3435</v>
      </c>
      <c r="I487">
        <v>1497.7</v>
      </c>
      <c r="J487">
        <v>19364</v>
      </c>
      <c r="K487">
        <v>35539</v>
      </c>
      <c r="L487" s="2">
        <v>25.624375000000001</v>
      </c>
      <c r="M487" s="5">
        <v>301.84750000000003</v>
      </c>
      <c r="N487" s="1">
        <v>187.18219999999999</v>
      </c>
      <c r="O487" s="2">
        <v>4.2</v>
      </c>
      <c r="P487">
        <v>104</v>
      </c>
    </row>
    <row r="488" spans="1:16" x14ac:dyDescent="0.35">
      <c r="A488" s="4">
        <v>44166</v>
      </c>
      <c r="B488" t="s">
        <v>20</v>
      </c>
      <c r="C488" t="s">
        <v>10</v>
      </c>
      <c r="D488">
        <v>1</v>
      </c>
      <c r="E488" s="2">
        <f>(1983+1950+2000+2050+1900)/5</f>
        <v>1976.6</v>
      </c>
      <c r="F488" s="2">
        <f t="shared" ref="F488:F493" si="78">(2006+2049+2025.83+2017.5+2020)/5</f>
        <v>2023.6659999999999</v>
      </c>
      <c r="G488" s="3">
        <v>1</v>
      </c>
      <c r="H488">
        <v>3435</v>
      </c>
      <c r="I488">
        <v>1497.7</v>
      </c>
      <c r="J488">
        <v>19364</v>
      </c>
      <c r="K488">
        <v>35539</v>
      </c>
      <c r="L488" s="2">
        <v>25.624375000000001</v>
      </c>
      <c r="M488" s="5">
        <v>301.84750000000003</v>
      </c>
      <c r="N488" s="1">
        <v>187.18219999999999</v>
      </c>
      <c r="O488" s="2">
        <v>4.2</v>
      </c>
      <c r="P488">
        <v>104</v>
      </c>
    </row>
    <row r="489" spans="1:16" x14ac:dyDescent="0.35">
      <c r="A489" s="4">
        <v>44166</v>
      </c>
      <c r="B489" t="s">
        <v>20</v>
      </c>
      <c r="C489" t="s">
        <v>11</v>
      </c>
      <c r="D489">
        <v>1</v>
      </c>
      <c r="E489" s="2">
        <f>2100</f>
        <v>2100</v>
      </c>
      <c r="F489" s="2">
        <f t="shared" si="78"/>
        <v>2023.6659999999999</v>
      </c>
      <c r="G489" s="3">
        <v>1</v>
      </c>
      <c r="H489">
        <v>3435</v>
      </c>
      <c r="I489">
        <v>1497.7</v>
      </c>
      <c r="J489">
        <v>19364</v>
      </c>
      <c r="K489">
        <v>35539</v>
      </c>
      <c r="L489" s="2">
        <v>25.624375000000001</v>
      </c>
      <c r="M489" s="5">
        <v>301.84750000000003</v>
      </c>
      <c r="N489" s="1">
        <v>187.18219999999999</v>
      </c>
      <c r="O489" s="2">
        <v>4.2</v>
      </c>
      <c r="P489">
        <v>104</v>
      </c>
    </row>
    <row r="490" spans="1:16" x14ac:dyDescent="0.35">
      <c r="A490" s="4">
        <v>44166</v>
      </c>
      <c r="B490" t="s">
        <v>20</v>
      </c>
      <c r="C490" t="s">
        <v>12</v>
      </c>
      <c r="D490">
        <v>1</v>
      </c>
      <c r="E490" s="2">
        <v>1887</v>
      </c>
      <c r="F490" s="2">
        <f t="shared" si="78"/>
        <v>2023.6659999999999</v>
      </c>
      <c r="G490" s="3">
        <v>1</v>
      </c>
      <c r="H490">
        <v>3435</v>
      </c>
      <c r="I490">
        <v>1497.7</v>
      </c>
      <c r="J490">
        <v>19364</v>
      </c>
      <c r="K490">
        <v>35539</v>
      </c>
      <c r="L490" s="2">
        <v>25.624375000000001</v>
      </c>
      <c r="M490" s="5">
        <v>301.84750000000003</v>
      </c>
      <c r="N490" s="1">
        <v>187.18219999999999</v>
      </c>
      <c r="O490" s="2">
        <v>4.2</v>
      </c>
      <c r="P490">
        <v>104</v>
      </c>
    </row>
    <row r="491" spans="1:16" x14ac:dyDescent="0.35">
      <c r="A491" s="4">
        <v>44166</v>
      </c>
      <c r="B491" t="s">
        <v>20</v>
      </c>
      <c r="C491" t="s">
        <v>13</v>
      </c>
      <c r="D491">
        <v>1</v>
      </c>
      <c r="E491" s="2">
        <f>(2040*2+2025+2090*2)/5</f>
        <v>2057</v>
      </c>
      <c r="F491" s="2">
        <f t="shared" si="78"/>
        <v>2023.6659999999999</v>
      </c>
      <c r="G491" s="3">
        <v>1</v>
      </c>
      <c r="H491">
        <v>3435</v>
      </c>
      <c r="I491">
        <v>1497.7</v>
      </c>
      <c r="J491">
        <v>19364</v>
      </c>
      <c r="K491">
        <v>35539</v>
      </c>
      <c r="L491" s="2">
        <v>25.624375000000001</v>
      </c>
      <c r="M491" s="5">
        <v>301.84750000000003</v>
      </c>
      <c r="N491" s="1">
        <v>187.18219999999999</v>
      </c>
      <c r="O491" s="2">
        <v>4.2</v>
      </c>
      <c r="P491">
        <v>104</v>
      </c>
    </row>
    <row r="492" spans="1:16" x14ac:dyDescent="0.35">
      <c r="A492" s="4">
        <v>44166</v>
      </c>
      <c r="B492" t="s">
        <v>20</v>
      </c>
      <c r="C492" t="s">
        <v>14</v>
      </c>
      <c r="D492">
        <v>1</v>
      </c>
      <c r="E492" s="2">
        <f>(2100+2114+2120+2080+2112)/5</f>
        <v>2105.1999999999998</v>
      </c>
      <c r="F492" s="2">
        <f t="shared" si="78"/>
        <v>2023.6659999999999</v>
      </c>
      <c r="G492" s="3">
        <v>1</v>
      </c>
      <c r="H492">
        <v>3435</v>
      </c>
      <c r="I492">
        <v>1497.7</v>
      </c>
      <c r="J492">
        <v>19364</v>
      </c>
      <c r="K492">
        <v>35539</v>
      </c>
      <c r="L492" s="2">
        <v>25.624375000000001</v>
      </c>
      <c r="M492" s="5">
        <v>301.84750000000003</v>
      </c>
      <c r="N492" s="1">
        <v>187.18219999999999</v>
      </c>
      <c r="O492" s="2">
        <v>4.2</v>
      </c>
      <c r="P492">
        <v>104</v>
      </c>
    </row>
    <row r="493" spans="1:16" x14ac:dyDescent="0.35">
      <c r="A493" s="4">
        <v>44166</v>
      </c>
      <c r="B493" t="s">
        <v>20</v>
      </c>
      <c r="C493" t="s">
        <v>15</v>
      </c>
      <c r="D493">
        <v>1</v>
      </c>
      <c r="E493" s="2">
        <v>2045</v>
      </c>
      <c r="F493" s="2">
        <f t="shared" si="78"/>
        <v>2023.6659999999999</v>
      </c>
      <c r="G493" s="3">
        <v>1</v>
      </c>
      <c r="H493">
        <v>3435</v>
      </c>
      <c r="I493">
        <v>1497.7</v>
      </c>
      <c r="J493">
        <v>19364</v>
      </c>
      <c r="K493">
        <v>35539</v>
      </c>
      <c r="L493" s="2">
        <v>25.624375000000001</v>
      </c>
      <c r="M493" s="5">
        <v>301.84750000000003</v>
      </c>
      <c r="N493" s="1">
        <v>187.18219999999999</v>
      </c>
      <c r="O493" s="2">
        <v>4.2</v>
      </c>
      <c r="P493">
        <v>104</v>
      </c>
    </row>
    <row r="494" spans="1:16" x14ac:dyDescent="0.35">
      <c r="A494" s="4">
        <v>44166</v>
      </c>
      <c r="B494" t="s">
        <v>21</v>
      </c>
      <c r="C494" t="s">
        <v>10</v>
      </c>
      <c r="D494">
        <v>1</v>
      </c>
      <c r="E494" s="2">
        <f>(1816+1783+1800+1716+1550)/5</f>
        <v>1733</v>
      </c>
      <c r="F494" s="2">
        <f t="shared" ref="F494:F499" si="79">(1890+1938.17+1929.17+1927.17+1940.5)/5</f>
        <v>1925.002</v>
      </c>
      <c r="G494" s="3">
        <v>1</v>
      </c>
      <c r="H494">
        <v>3435</v>
      </c>
      <c r="I494">
        <v>1497.7</v>
      </c>
      <c r="J494">
        <v>19364</v>
      </c>
      <c r="K494">
        <v>35539</v>
      </c>
      <c r="L494" s="2">
        <v>25.624375000000001</v>
      </c>
      <c r="M494" s="5">
        <v>301.84750000000003</v>
      </c>
      <c r="N494" s="1">
        <v>187.18219999999999</v>
      </c>
      <c r="O494" s="2">
        <v>4.2</v>
      </c>
      <c r="P494">
        <v>104</v>
      </c>
    </row>
    <row r="495" spans="1:16" x14ac:dyDescent="0.35">
      <c r="A495" s="4">
        <v>44166</v>
      </c>
      <c r="B495" t="s">
        <v>21</v>
      </c>
      <c r="C495" t="s">
        <v>11</v>
      </c>
      <c r="D495">
        <v>1</v>
      </c>
      <c r="E495" s="2">
        <v>2012.5</v>
      </c>
      <c r="F495" s="2">
        <f t="shared" si="79"/>
        <v>1925.002</v>
      </c>
      <c r="G495" s="3">
        <v>1</v>
      </c>
      <c r="H495">
        <v>3435</v>
      </c>
      <c r="I495">
        <v>1497.7</v>
      </c>
      <c r="J495">
        <v>19364</v>
      </c>
      <c r="K495">
        <v>35539</v>
      </c>
      <c r="L495" s="2">
        <v>25.624375000000001</v>
      </c>
      <c r="M495" s="5">
        <v>301.84750000000003</v>
      </c>
      <c r="N495" s="1">
        <v>187.18219999999999</v>
      </c>
      <c r="O495" s="2">
        <v>4.2</v>
      </c>
      <c r="P495">
        <v>104</v>
      </c>
    </row>
    <row r="496" spans="1:16" x14ac:dyDescent="0.35">
      <c r="A496" s="4">
        <v>44166</v>
      </c>
      <c r="B496" t="s">
        <v>21</v>
      </c>
      <c r="C496" t="s">
        <v>12</v>
      </c>
      <c r="D496">
        <v>1</v>
      </c>
      <c r="E496" s="2">
        <v>1800</v>
      </c>
      <c r="F496" s="2">
        <f t="shared" si="79"/>
        <v>1925.002</v>
      </c>
      <c r="G496" s="3">
        <v>1</v>
      </c>
      <c r="H496">
        <v>3435</v>
      </c>
      <c r="I496">
        <v>1497.7</v>
      </c>
      <c r="J496">
        <v>19364</v>
      </c>
      <c r="K496">
        <v>35539</v>
      </c>
      <c r="L496" s="2">
        <v>25.624375000000001</v>
      </c>
      <c r="M496" s="5">
        <v>301.84750000000003</v>
      </c>
      <c r="N496" s="1">
        <v>187.18219999999999</v>
      </c>
      <c r="O496" s="2">
        <v>4.2</v>
      </c>
      <c r="P496">
        <v>104</v>
      </c>
    </row>
    <row r="497" spans="1:16" x14ac:dyDescent="0.35">
      <c r="A497" s="4">
        <v>44166</v>
      </c>
      <c r="B497" t="s">
        <v>21</v>
      </c>
      <c r="C497" t="s">
        <v>13</v>
      </c>
      <c r="D497">
        <v>1</v>
      </c>
      <c r="E497" s="2">
        <f>(1980+1987+1950+2025+2050)/5</f>
        <v>1998.4</v>
      </c>
      <c r="F497" s="2">
        <f t="shared" si="79"/>
        <v>1925.002</v>
      </c>
      <c r="G497" s="3">
        <v>1</v>
      </c>
      <c r="H497">
        <v>3435</v>
      </c>
      <c r="I497">
        <v>1497.7</v>
      </c>
      <c r="J497">
        <v>19364</v>
      </c>
      <c r="K497">
        <v>35539</v>
      </c>
      <c r="L497" s="2">
        <v>25.624375000000001</v>
      </c>
      <c r="M497" s="5">
        <v>301.84750000000003</v>
      </c>
      <c r="N497" s="1">
        <v>187.18219999999999</v>
      </c>
      <c r="O497" s="2">
        <v>4.2</v>
      </c>
      <c r="P497">
        <v>104</v>
      </c>
    </row>
    <row r="498" spans="1:16" x14ac:dyDescent="0.35">
      <c r="A498" s="4">
        <v>44166</v>
      </c>
      <c r="B498" t="s">
        <v>21</v>
      </c>
      <c r="C498" t="s">
        <v>14</v>
      </c>
      <c r="D498">
        <v>1</v>
      </c>
      <c r="E498" s="2">
        <f>(2050+2038+2025+1993+2047)/5</f>
        <v>2030.6</v>
      </c>
      <c r="F498" s="2">
        <f t="shared" si="79"/>
        <v>1925.002</v>
      </c>
      <c r="G498" s="3">
        <v>1</v>
      </c>
      <c r="H498">
        <v>3435</v>
      </c>
      <c r="I498">
        <v>1497.7</v>
      </c>
      <c r="J498">
        <v>19364</v>
      </c>
      <c r="K498">
        <v>35539</v>
      </c>
      <c r="L498" s="2">
        <v>25.624375000000001</v>
      </c>
      <c r="M498" s="5">
        <v>301.84750000000003</v>
      </c>
      <c r="N498" s="1">
        <v>187.18219999999999</v>
      </c>
      <c r="O498" s="2">
        <v>4.2</v>
      </c>
      <c r="P498">
        <v>104</v>
      </c>
    </row>
    <row r="499" spans="1:16" x14ac:dyDescent="0.35">
      <c r="A499" s="4">
        <v>44166</v>
      </c>
      <c r="B499" t="s">
        <v>21</v>
      </c>
      <c r="C499" t="s">
        <v>15</v>
      </c>
      <c r="D499">
        <v>1</v>
      </c>
      <c r="E499" s="2">
        <v>2000</v>
      </c>
      <c r="F499" s="2">
        <f t="shared" si="79"/>
        <v>1925.002</v>
      </c>
      <c r="G499" s="3">
        <v>1</v>
      </c>
      <c r="H499">
        <v>3435</v>
      </c>
      <c r="I499">
        <v>1497.7</v>
      </c>
      <c r="J499">
        <v>19364</v>
      </c>
      <c r="K499">
        <v>35539</v>
      </c>
      <c r="L499" s="2">
        <v>25.624375000000001</v>
      </c>
      <c r="M499" s="5">
        <v>301.84750000000003</v>
      </c>
      <c r="N499" s="1">
        <v>187.18219999999999</v>
      </c>
      <c r="O499" s="2">
        <v>4.2</v>
      </c>
      <c r="P499">
        <v>104</v>
      </c>
    </row>
    <row r="500" spans="1:16" x14ac:dyDescent="0.35">
      <c r="A500" s="4">
        <v>44166</v>
      </c>
      <c r="B500" t="s">
        <v>22</v>
      </c>
      <c r="C500" t="s">
        <v>10</v>
      </c>
      <c r="D500">
        <v>0</v>
      </c>
      <c r="E500" s="2" t="s">
        <v>27</v>
      </c>
      <c r="F500" s="2">
        <f t="shared" ref="F500:F505" si="80">(1788+1740+1738+1762+1775)/5</f>
        <v>1760.6</v>
      </c>
      <c r="G500" s="3">
        <v>1</v>
      </c>
      <c r="H500">
        <v>3435</v>
      </c>
      <c r="I500">
        <v>1497.7</v>
      </c>
      <c r="J500">
        <v>19364</v>
      </c>
      <c r="K500">
        <v>35539</v>
      </c>
      <c r="L500" s="2">
        <v>25.624375000000001</v>
      </c>
      <c r="M500" s="5">
        <v>301.84750000000003</v>
      </c>
      <c r="N500" s="1">
        <v>187.18219999999999</v>
      </c>
      <c r="O500" s="2">
        <v>4.2</v>
      </c>
      <c r="P500">
        <v>104</v>
      </c>
    </row>
    <row r="501" spans="1:16" x14ac:dyDescent="0.35">
      <c r="A501" s="4">
        <v>44166</v>
      </c>
      <c r="B501" t="s">
        <v>22</v>
      </c>
      <c r="C501" t="s">
        <v>11</v>
      </c>
      <c r="D501">
        <v>0</v>
      </c>
      <c r="E501" s="2" t="s">
        <v>27</v>
      </c>
      <c r="F501" s="2">
        <f t="shared" si="80"/>
        <v>1760.6</v>
      </c>
      <c r="G501" s="3">
        <v>1</v>
      </c>
      <c r="H501">
        <v>3435</v>
      </c>
      <c r="I501">
        <v>1497.7</v>
      </c>
      <c r="J501">
        <v>19364</v>
      </c>
      <c r="K501">
        <v>35539</v>
      </c>
      <c r="L501" s="2">
        <v>25.624375000000001</v>
      </c>
      <c r="M501" s="5">
        <v>301.84750000000003</v>
      </c>
      <c r="N501" s="1">
        <v>187.18219999999999</v>
      </c>
      <c r="O501" s="2">
        <v>4.2</v>
      </c>
      <c r="P501">
        <v>104</v>
      </c>
    </row>
    <row r="502" spans="1:16" x14ac:dyDescent="0.35">
      <c r="A502" s="4">
        <v>44166</v>
      </c>
      <c r="B502" t="s">
        <v>22</v>
      </c>
      <c r="C502" t="s">
        <v>12</v>
      </c>
      <c r="D502">
        <v>0</v>
      </c>
      <c r="E502" s="2" t="s">
        <v>27</v>
      </c>
      <c r="F502" s="2">
        <f t="shared" si="80"/>
        <v>1760.6</v>
      </c>
      <c r="G502" s="3">
        <v>1</v>
      </c>
      <c r="H502">
        <v>3435</v>
      </c>
      <c r="I502">
        <v>1497.7</v>
      </c>
      <c r="J502">
        <v>19364</v>
      </c>
      <c r="K502">
        <v>35539</v>
      </c>
      <c r="L502" s="2">
        <v>25.624375000000001</v>
      </c>
      <c r="M502" s="5">
        <v>301.84750000000003</v>
      </c>
      <c r="N502" s="1">
        <v>187.18219999999999</v>
      </c>
      <c r="O502" s="2">
        <v>4.2</v>
      </c>
      <c r="P502">
        <v>104</v>
      </c>
    </row>
    <row r="503" spans="1:16" x14ac:dyDescent="0.35">
      <c r="A503" s="4">
        <v>44166</v>
      </c>
      <c r="B503" t="s">
        <v>22</v>
      </c>
      <c r="C503" t="s">
        <v>13</v>
      </c>
      <c r="D503">
        <v>0</v>
      </c>
      <c r="E503" s="2" t="s">
        <v>27</v>
      </c>
      <c r="F503" s="2">
        <f t="shared" si="80"/>
        <v>1760.6</v>
      </c>
      <c r="G503" s="3">
        <v>1</v>
      </c>
      <c r="H503">
        <v>3435</v>
      </c>
      <c r="I503">
        <v>1497.7</v>
      </c>
      <c r="J503">
        <v>19364</v>
      </c>
      <c r="K503">
        <v>35539</v>
      </c>
      <c r="L503" s="2">
        <v>25.624375000000001</v>
      </c>
      <c r="M503" s="5">
        <v>301.84750000000003</v>
      </c>
      <c r="N503" s="1">
        <v>187.18219999999999</v>
      </c>
      <c r="O503" s="2">
        <v>4.2</v>
      </c>
      <c r="P503">
        <v>104</v>
      </c>
    </row>
    <row r="504" spans="1:16" x14ac:dyDescent="0.35">
      <c r="A504" s="4">
        <v>44166</v>
      </c>
      <c r="B504" t="s">
        <v>22</v>
      </c>
      <c r="C504" t="s">
        <v>14</v>
      </c>
      <c r="D504">
        <v>1</v>
      </c>
      <c r="E504" s="2">
        <f>(1788+1740+1738+1762+1775)/5</f>
        <v>1760.6</v>
      </c>
      <c r="F504" s="2">
        <f t="shared" si="80"/>
        <v>1760.6</v>
      </c>
      <c r="G504" s="3">
        <v>1</v>
      </c>
      <c r="H504">
        <v>3435</v>
      </c>
      <c r="I504">
        <v>1497.7</v>
      </c>
      <c r="J504">
        <v>19364</v>
      </c>
      <c r="K504">
        <v>35539</v>
      </c>
      <c r="L504" s="2">
        <v>25.624375000000001</v>
      </c>
      <c r="M504" s="5">
        <v>301.84750000000003</v>
      </c>
      <c r="N504" s="1">
        <v>187.18219999999999</v>
      </c>
      <c r="O504" s="2">
        <v>4.2</v>
      </c>
      <c r="P504">
        <v>104</v>
      </c>
    </row>
    <row r="505" spans="1:16" x14ac:dyDescent="0.35">
      <c r="A505" s="4">
        <v>44166</v>
      </c>
      <c r="B505" t="s">
        <v>22</v>
      </c>
      <c r="C505" t="s">
        <v>15</v>
      </c>
      <c r="D505">
        <v>0</v>
      </c>
      <c r="E505" s="2" t="s">
        <v>27</v>
      </c>
      <c r="F505" s="2">
        <f t="shared" si="80"/>
        <v>1760.6</v>
      </c>
      <c r="G505" s="3">
        <v>1</v>
      </c>
      <c r="H505">
        <v>3435</v>
      </c>
      <c r="I505">
        <v>1497.7</v>
      </c>
      <c r="J505">
        <v>19364</v>
      </c>
      <c r="K505">
        <v>35539</v>
      </c>
      <c r="L505" s="2">
        <v>25.624375000000001</v>
      </c>
      <c r="M505" s="5">
        <v>301.84750000000003</v>
      </c>
      <c r="N505" s="1">
        <v>187.18219999999999</v>
      </c>
      <c r="O505" s="2">
        <v>4.2</v>
      </c>
      <c r="P505">
        <v>104</v>
      </c>
    </row>
    <row r="506" spans="1:16" x14ac:dyDescent="0.35">
      <c r="A506" s="4">
        <v>44197</v>
      </c>
      <c r="B506" t="s">
        <v>16</v>
      </c>
      <c r="C506" t="s">
        <v>10</v>
      </c>
      <c r="D506">
        <v>1</v>
      </c>
      <c r="E506" s="2">
        <f>(2833+2850+2816+2916)/4</f>
        <v>2853.75</v>
      </c>
      <c r="F506" s="2">
        <f t="shared" ref="F506:F511" si="81">(2960.75+2959.5+2946.5+3021.5)/4</f>
        <v>2972.0625</v>
      </c>
      <c r="G506" s="3">
        <v>0</v>
      </c>
      <c r="H506">
        <v>0</v>
      </c>
      <c r="I506">
        <v>1317</v>
      </c>
      <c r="J506">
        <v>21474</v>
      </c>
      <c r="K506">
        <v>12450</v>
      </c>
      <c r="L506" s="2">
        <v>25.203125</v>
      </c>
      <c r="M506" s="5">
        <v>261.92349999999999</v>
      </c>
      <c r="N506" s="1">
        <v>190.49180000000001</v>
      </c>
      <c r="O506" s="2">
        <v>3</v>
      </c>
      <c r="P506">
        <v>104</v>
      </c>
    </row>
    <row r="507" spans="1:16" x14ac:dyDescent="0.35">
      <c r="A507" s="4">
        <v>44197</v>
      </c>
      <c r="B507" t="s">
        <v>16</v>
      </c>
      <c r="C507" t="s">
        <v>11</v>
      </c>
      <c r="D507">
        <v>0</v>
      </c>
      <c r="E507" s="2" t="s">
        <v>27</v>
      </c>
      <c r="F507" s="2">
        <f t="shared" si="81"/>
        <v>2972.0625</v>
      </c>
      <c r="G507" s="3">
        <v>0</v>
      </c>
      <c r="H507">
        <v>0</v>
      </c>
      <c r="I507">
        <v>1317</v>
      </c>
      <c r="J507">
        <v>21474</v>
      </c>
      <c r="K507">
        <v>12450</v>
      </c>
      <c r="L507" s="2">
        <v>25.203125</v>
      </c>
      <c r="M507" s="5">
        <v>261.92349999999999</v>
      </c>
      <c r="N507" s="1">
        <v>190.49180000000001</v>
      </c>
      <c r="O507" s="2">
        <v>3</v>
      </c>
      <c r="P507">
        <v>104</v>
      </c>
    </row>
    <row r="508" spans="1:16" x14ac:dyDescent="0.35">
      <c r="A508" s="4">
        <v>44197</v>
      </c>
      <c r="B508" t="s">
        <v>16</v>
      </c>
      <c r="C508" t="s">
        <v>12</v>
      </c>
      <c r="D508">
        <v>1</v>
      </c>
      <c r="E508" s="2">
        <v>3000</v>
      </c>
      <c r="F508" s="2">
        <f t="shared" si="81"/>
        <v>2972.0625</v>
      </c>
      <c r="G508" s="3">
        <v>0</v>
      </c>
      <c r="H508">
        <v>0</v>
      </c>
      <c r="I508">
        <v>1317</v>
      </c>
      <c r="J508">
        <v>21474</v>
      </c>
      <c r="K508">
        <v>12450</v>
      </c>
      <c r="L508" s="2">
        <v>25.203125</v>
      </c>
      <c r="M508" s="5">
        <v>261.92349999999999</v>
      </c>
      <c r="N508" s="1">
        <v>190.49180000000001</v>
      </c>
      <c r="O508" s="2">
        <v>3</v>
      </c>
      <c r="P508">
        <v>104</v>
      </c>
    </row>
    <row r="509" spans="1:16" x14ac:dyDescent="0.35">
      <c r="A509" s="4">
        <v>44197</v>
      </c>
      <c r="B509" t="s">
        <v>16</v>
      </c>
      <c r="C509" t="s">
        <v>13</v>
      </c>
      <c r="D509">
        <v>1</v>
      </c>
      <c r="E509" s="2">
        <v>3050</v>
      </c>
      <c r="F509" s="2">
        <f t="shared" si="81"/>
        <v>2972.0625</v>
      </c>
      <c r="G509" s="3">
        <v>0</v>
      </c>
      <c r="H509">
        <v>0</v>
      </c>
      <c r="I509">
        <v>1317</v>
      </c>
      <c r="J509">
        <v>21474</v>
      </c>
      <c r="K509">
        <v>12450</v>
      </c>
      <c r="L509" s="2">
        <v>25.203125</v>
      </c>
      <c r="M509" s="5">
        <v>261.92349999999999</v>
      </c>
      <c r="N509" s="1">
        <v>190.49180000000001</v>
      </c>
      <c r="O509" s="2">
        <v>3</v>
      </c>
      <c r="P509">
        <v>104</v>
      </c>
    </row>
    <row r="510" spans="1:16" x14ac:dyDescent="0.35">
      <c r="A510" s="4">
        <v>44197</v>
      </c>
      <c r="B510" t="s">
        <v>16</v>
      </c>
      <c r="C510" t="s">
        <v>14</v>
      </c>
      <c r="D510">
        <v>1</v>
      </c>
      <c r="E510" s="2">
        <f>(3120+2920+2938+2960)/4</f>
        <v>2984.5</v>
      </c>
      <c r="F510" s="2">
        <f t="shared" si="81"/>
        <v>2972.0625</v>
      </c>
      <c r="G510" s="3">
        <v>0</v>
      </c>
      <c r="H510">
        <v>0</v>
      </c>
      <c r="I510">
        <v>1317</v>
      </c>
      <c r="J510">
        <v>21474</v>
      </c>
      <c r="K510">
        <v>12450</v>
      </c>
      <c r="L510" s="2">
        <v>25.203125</v>
      </c>
      <c r="M510" s="5">
        <v>261.92349999999999</v>
      </c>
      <c r="N510" s="1">
        <v>190.49180000000001</v>
      </c>
      <c r="O510" s="2">
        <v>3</v>
      </c>
      <c r="P510">
        <v>104</v>
      </c>
    </row>
    <row r="511" spans="1:16" x14ac:dyDescent="0.35">
      <c r="A511" s="4">
        <v>44197</v>
      </c>
      <c r="B511" t="s">
        <v>16</v>
      </c>
      <c r="C511" t="s">
        <v>15</v>
      </c>
      <c r="D511">
        <v>0</v>
      </c>
      <c r="E511" s="2" t="s">
        <v>27</v>
      </c>
      <c r="F511" s="2">
        <f t="shared" si="81"/>
        <v>2972.0625</v>
      </c>
      <c r="G511" s="3">
        <v>0</v>
      </c>
      <c r="H511">
        <v>0</v>
      </c>
      <c r="I511">
        <v>1317</v>
      </c>
      <c r="J511">
        <v>21474</v>
      </c>
      <c r="K511">
        <v>12450</v>
      </c>
      <c r="L511" s="2">
        <v>25.203125</v>
      </c>
      <c r="M511" s="5">
        <v>261.92349999999999</v>
      </c>
      <c r="N511" s="1">
        <v>190.49180000000001</v>
      </c>
      <c r="O511" s="2">
        <v>3</v>
      </c>
      <c r="P511">
        <v>104</v>
      </c>
    </row>
    <row r="512" spans="1:16" x14ac:dyDescent="0.35">
      <c r="A512" s="4">
        <v>44197</v>
      </c>
      <c r="B512" t="s">
        <v>17</v>
      </c>
      <c r="C512" t="s">
        <v>10</v>
      </c>
      <c r="D512">
        <v>1</v>
      </c>
      <c r="E512" s="2">
        <f>(2566+2550+2516+2583)/4</f>
        <v>2553.75</v>
      </c>
      <c r="F512" s="2">
        <f t="shared" ref="F512:F517" si="82">(2534.6+2533.6*2+2545.2)/4</f>
        <v>2536.75</v>
      </c>
      <c r="G512" s="3">
        <v>0</v>
      </c>
      <c r="H512">
        <v>0</v>
      </c>
      <c r="I512">
        <v>1317</v>
      </c>
      <c r="J512">
        <v>21474</v>
      </c>
      <c r="K512">
        <v>12450</v>
      </c>
      <c r="L512" s="2">
        <v>25.203125</v>
      </c>
      <c r="M512" s="5">
        <v>261.92349999999999</v>
      </c>
      <c r="N512" s="1">
        <v>190.49180000000001</v>
      </c>
      <c r="O512" s="2">
        <v>3</v>
      </c>
      <c r="P512">
        <v>104</v>
      </c>
    </row>
    <row r="513" spans="1:16" x14ac:dyDescent="0.35">
      <c r="A513" s="4">
        <v>44197</v>
      </c>
      <c r="B513" t="s">
        <v>17</v>
      </c>
      <c r="C513" t="s">
        <v>11</v>
      </c>
      <c r="D513">
        <v>1</v>
      </c>
      <c r="E513" s="2">
        <v>2550</v>
      </c>
      <c r="F513" s="2">
        <f t="shared" si="82"/>
        <v>2536.75</v>
      </c>
      <c r="G513" s="3">
        <v>0</v>
      </c>
      <c r="H513">
        <v>0</v>
      </c>
      <c r="I513">
        <v>1317</v>
      </c>
      <c r="J513">
        <v>21474</v>
      </c>
      <c r="K513">
        <v>12450</v>
      </c>
      <c r="L513" s="2">
        <v>25.203125</v>
      </c>
      <c r="M513" s="5">
        <v>261.92349999999999</v>
      </c>
      <c r="N513" s="1">
        <v>190.49180000000001</v>
      </c>
      <c r="O513" s="2">
        <v>3</v>
      </c>
      <c r="P513">
        <v>104</v>
      </c>
    </row>
    <row r="514" spans="1:16" x14ac:dyDescent="0.35">
      <c r="A514" s="4">
        <v>44197</v>
      </c>
      <c r="B514" t="s">
        <v>17</v>
      </c>
      <c r="C514" t="s">
        <v>12</v>
      </c>
      <c r="D514">
        <v>1</v>
      </c>
      <c r="E514" s="2">
        <v>2585</v>
      </c>
      <c r="F514" s="2">
        <f t="shared" si="82"/>
        <v>2536.75</v>
      </c>
      <c r="G514" s="3">
        <v>0</v>
      </c>
      <c r="H514">
        <v>0</v>
      </c>
      <c r="I514">
        <v>1317</v>
      </c>
      <c r="J514">
        <v>21474</v>
      </c>
      <c r="K514">
        <v>12450</v>
      </c>
      <c r="L514" s="2">
        <v>25.203125</v>
      </c>
      <c r="M514" s="5">
        <v>261.92349999999999</v>
      </c>
      <c r="N514" s="1">
        <v>190.49180000000001</v>
      </c>
      <c r="O514" s="2">
        <v>3</v>
      </c>
      <c r="P514">
        <v>104</v>
      </c>
    </row>
    <row r="515" spans="1:16" x14ac:dyDescent="0.35">
      <c r="A515" s="4">
        <v>44197</v>
      </c>
      <c r="B515" t="s">
        <v>17</v>
      </c>
      <c r="C515" t="s">
        <v>13</v>
      </c>
      <c r="D515">
        <v>1</v>
      </c>
      <c r="E515" s="2">
        <v>2450</v>
      </c>
      <c r="F515" s="2">
        <f t="shared" si="82"/>
        <v>2536.75</v>
      </c>
      <c r="G515" s="3">
        <v>0</v>
      </c>
      <c r="H515">
        <v>0</v>
      </c>
      <c r="I515">
        <v>1317</v>
      </c>
      <c r="J515">
        <v>21474</v>
      </c>
      <c r="K515">
        <v>12450</v>
      </c>
      <c r="L515" s="2">
        <v>25.203125</v>
      </c>
      <c r="M515" s="5">
        <v>261.92349999999999</v>
      </c>
      <c r="N515" s="1">
        <v>190.49180000000001</v>
      </c>
      <c r="O515" s="2">
        <v>3</v>
      </c>
      <c r="P515">
        <v>104</v>
      </c>
    </row>
    <row r="516" spans="1:16" x14ac:dyDescent="0.35">
      <c r="A516" s="4">
        <v>44197</v>
      </c>
      <c r="B516" t="s">
        <v>17</v>
      </c>
      <c r="C516" t="s">
        <v>14</v>
      </c>
      <c r="D516">
        <v>1</v>
      </c>
      <c r="E516" s="2">
        <f>(2500+2533+2567+2550)/4</f>
        <v>2537.5</v>
      </c>
      <c r="F516" s="2">
        <f t="shared" si="82"/>
        <v>2536.75</v>
      </c>
      <c r="G516" s="3">
        <v>0</v>
      </c>
      <c r="H516">
        <v>0</v>
      </c>
      <c r="I516">
        <v>1317</v>
      </c>
      <c r="J516">
        <v>21474</v>
      </c>
      <c r="K516">
        <v>12450</v>
      </c>
      <c r="L516" s="2">
        <v>25.203125</v>
      </c>
      <c r="M516" s="5">
        <v>261.92349999999999</v>
      </c>
      <c r="N516" s="1">
        <v>190.49180000000001</v>
      </c>
      <c r="O516" s="2">
        <v>3</v>
      </c>
      <c r="P516">
        <v>104</v>
      </c>
    </row>
    <row r="517" spans="1:16" x14ac:dyDescent="0.35">
      <c r="A517" s="4">
        <v>44197</v>
      </c>
      <c r="B517" t="s">
        <v>17</v>
      </c>
      <c r="C517" t="s">
        <v>15</v>
      </c>
      <c r="D517">
        <v>0</v>
      </c>
      <c r="E517" s="2" t="s">
        <v>27</v>
      </c>
      <c r="F517" s="2">
        <f t="shared" si="82"/>
        <v>2536.75</v>
      </c>
      <c r="G517" s="3">
        <v>0</v>
      </c>
      <c r="H517">
        <v>0</v>
      </c>
      <c r="I517">
        <v>1317</v>
      </c>
      <c r="J517">
        <v>21474</v>
      </c>
      <c r="K517">
        <v>12450</v>
      </c>
      <c r="L517" s="2">
        <v>25.203125</v>
      </c>
      <c r="M517" s="5">
        <v>261.92349999999999</v>
      </c>
      <c r="N517" s="1">
        <v>190.49180000000001</v>
      </c>
      <c r="O517" s="2">
        <v>3</v>
      </c>
      <c r="P517">
        <v>104</v>
      </c>
    </row>
    <row r="518" spans="1:16" x14ac:dyDescent="0.35">
      <c r="A518" s="4">
        <v>44197</v>
      </c>
      <c r="B518" t="s">
        <v>18</v>
      </c>
      <c r="C518" t="s">
        <v>10</v>
      </c>
      <c r="D518">
        <v>1</v>
      </c>
      <c r="E518" s="2">
        <f>(2316+2416+2366+2350)/4</f>
        <v>2362</v>
      </c>
      <c r="F518" s="2">
        <f t="shared" ref="F518:F523" si="83">(2320.57+2327.29+2319.86+2334)/4</f>
        <v>2325.4300000000003</v>
      </c>
      <c r="G518" s="3">
        <v>0</v>
      </c>
      <c r="H518">
        <v>0</v>
      </c>
      <c r="I518">
        <v>1317</v>
      </c>
      <c r="J518">
        <v>21474</v>
      </c>
      <c r="K518">
        <v>12450</v>
      </c>
      <c r="L518" s="2">
        <v>25.203125</v>
      </c>
      <c r="M518" s="5">
        <v>261.92349999999999</v>
      </c>
      <c r="N518" s="1">
        <v>190.49180000000001</v>
      </c>
      <c r="O518" s="2">
        <v>3</v>
      </c>
      <c r="P518">
        <v>104</v>
      </c>
    </row>
    <row r="519" spans="1:16" x14ac:dyDescent="0.35">
      <c r="A519" s="4">
        <v>44197</v>
      </c>
      <c r="B519" t="s">
        <v>18</v>
      </c>
      <c r="C519" t="s">
        <v>11</v>
      </c>
      <c r="D519">
        <v>1</v>
      </c>
      <c r="E519" s="2">
        <v>2400</v>
      </c>
      <c r="F519" s="2">
        <f t="shared" si="83"/>
        <v>2325.4300000000003</v>
      </c>
      <c r="G519" s="3">
        <v>0</v>
      </c>
      <c r="H519">
        <v>0</v>
      </c>
      <c r="I519">
        <v>1317</v>
      </c>
      <c r="J519">
        <v>21474</v>
      </c>
      <c r="K519">
        <v>12450</v>
      </c>
      <c r="L519" s="2">
        <v>25.203125</v>
      </c>
      <c r="M519" s="5">
        <v>261.92349999999999</v>
      </c>
      <c r="N519" s="1">
        <v>190.49180000000001</v>
      </c>
      <c r="O519" s="2">
        <v>3</v>
      </c>
      <c r="P519">
        <v>104</v>
      </c>
    </row>
    <row r="520" spans="1:16" x14ac:dyDescent="0.35">
      <c r="A520" s="4">
        <v>44197</v>
      </c>
      <c r="B520" t="s">
        <v>18</v>
      </c>
      <c r="C520" t="s">
        <v>12</v>
      </c>
      <c r="D520">
        <v>1</v>
      </c>
      <c r="E520" s="2">
        <f>(2390*2+2393+2483)/4</f>
        <v>2414</v>
      </c>
      <c r="F520" s="2">
        <f t="shared" si="83"/>
        <v>2325.4300000000003</v>
      </c>
      <c r="G520" s="3">
        <v>0</v>
      </c>
      <c r="H520">
        <v>0</v>
      </c>
      <c r="I520">
        <v>1317</v>
      </c>
      <c r="J520">
        <v>21474</v>
      </c>
      <c r="K520">
        <v>12450</v>
      </c>
      <c r="L520" s="2">
        <v>25.203125</v>
      </c>
      <c r="M520" s="5">
        <v>261.92349999999999</v>
      </c>
      <c r="N520" s="1">
        <v>190.49180000000001</v>
      </c>
      <c r="O520" s="2">
        <v>3</v>
      </c>
      <c r="P520">
        <v>104</v>
      </c>
    </row>
    <row r="521" spans="1:16" x14ac:dyDescent="0.35">
      <c r="A521" s="4">
        <v>44197</v>
      </c>
      <c r="B521" t="s">
        <v>18</v>
      </c>
      <c r="C521" t="s">
        <v>13</v>
      </c>
      <c r="D521">
        <v>1</v>
      </c>
      <c r="E521" s="2">
        <v>2345</v>
      </c>
      <c r="F521" s="2">
        <f t="shared" si="83"/>
        <v>2325.4300000000003</v>
      </c>
      <c r="G521" s="3">
        <v>0</v>
      </c>
      <c r="H521">
        <v>0</v>
      </c>
      <c r="I521">
        <v>1317</v>
      </c>
      <c r="J521">
        <v>21474</v>
      </c>
      <c r="K521">
        <v>12450</v>
      </c>
      <c r="L521" s="2">
        <v>25.203125</v>
      </c>
      <c r="M521" s="5">
        <v>261.92349999999999</v>
      </c>
      <c r="N521" s="1">
        <v>190.49180000000001</v>
      </c>
      <c r="O521" s="2">
        <v>3</v>
      </c>
      <c r="P521">
        <v>104</v>
      </c>
    </row>
    <row r="522" spans="1:16" x14ac:dyDescent="0.35">
      <c r="A522" s="4">
        <v>44197</v>
      </c>
      <c r="B522" t="s">
        <v>18</v>
      </c>
      <c r="C522" t="s">
        <v>14</v>
      </c>
      <c r="D522">
        <v>1</v>
      </c>
      <c r="E522" s="2">
        <f>(2340+2390+2388+2390)/4</f>
        <v>2377</v>
      </c>
      <c r="F522" s="2">
        <f t="shared" si="83"/>
        <v>2325.4300000000003</v>
      </c>
      <c r="G522" s="3">
        <v>0</v>
      </c>
      <c r="H522">
        <v>0</v>
      </c>
      <c r="I522">
        <v>1317</v>
      </c>
      <c r="J522">
        <v>21474</v>
      </c>
      <c r="K522">
        <v>12450</v>
      </c>
      <c r="L522" s="2">
        <v>25.203125</v>
      </c>
      <c r="M522" s="5">
        <v>261.92349999999999</v>
      </c>
      <c r="N522" s="1">
        <v>190.49180000000001</v>
      </c>
      <c r="O522" s="2">
        <v>3</v>
      </c>
      <c r="P522">
        <v>104</v>
      </c>
    </row>
    <row r="523" spans="1:16" x14ac:dyDescent="0.35">
      <c r="A523" s="4">
        <v>44197</v>
      </c>
      <c r="B523" t="s">
        <v>18</v>
      </c>
      <c r="C523" t="s">
        <v>15</v>
      </c>
      <c r="D523">
        <v>1</v>
      </c>
      <c r="E523" s="2">
        <v>2350</v>
      </c>
      <c r="F523" s="2">
        <f t="shared" si="83"/>
        <v>2325.4300000000003</v>
      </c>
      <c r="G523" s="3">
        <v>0</v>
      </c>
      <c r="H523">
        <v>0</v>
      </c>
      <c r="I523">
        <v>1317</v>
      </c>
      <c r="J523">
        <v>21474</v>
      </c>
      <c r="K523">
        <v>12450</v>
      </c>
      <c r="L523" s="2">
        <v>25.203125</v>
      </c>
      <c r="M523" s="5">
        <v>261.92349999999999</v>
      </c>
      <c r="N523" s="1">
        <v>190.49180000000001</v>
      </c>
      <c r="O523" s="2">
        <v>3</v>
      </c>
      <c r="P523">
        <v>104</v>
      </c>
    </row>
    <row r="524" spans="1:16" x14ac:dyDescent="0.35">
      <c r="A524" s="4">
        <v>44197</v>
      </c>
      <c r="B524" t="s">
        <v>19</v>
      </c>
      <c r="C524" t="s">
        <v>10</v>
      </c>
      <c r="D524">
        <v>1</v>
      </c>
      <c r="E524" s="2">
        <f>(2183+2216+2216+2133)/4</f>
        <v>2187</v>
      </c>
      <c r="F524" s="2">
        <f t="shared" ref="F524:F529" si="84">(2186.57+2190.29+2190.71+2174.29)/4</f>
        <v>2185.4650000000001</v>
      </c>
      <c r="G524" s="3">
        <v>0</v>
      </c>
      <c r="H524">
        <v>0</v>
      </c>
      <c r="I524">
        <v>1317</v>
      </c>
      <c r="J524">
        <v>21474</v>
      </c>
      <c r="K524">
        <v>12450</v>
      </c>
      <c r="L524" s="2">
        <v>25.203125</v>
      </c>
      <c r="M524" s="5">
        <v>261.92349999999999</v>
      </c>
      <c r="N524" s="1">
        <v>190.49180000000001</v>
      </c>
      <c r="O524" s="2">
        <v>3</v>
      </c>
      <c r="P524">
        <v>104</v>
      </c>
    </row>
    <row r="525" spans="1:16" x14ac:dyDescent="0.35">
      <c r="A525" s="4">
        <v>44197</v>
      </c>
      <c r="B525" t="s">
        <v>19</v>
      </c>
      <c r="C525" t="s">
        <v>11</v>
      </c>
      <c r="D525">
        <v>1</v>
      </c>
      <c r="E525" s="2">
        <v>2275</v>
      </c>
      <c r="F525" s="2">
        <f t="shared" si="84"/>
        <v>2185.4650000000001</v>
      </c>
      <c r="G525" s="3">
        <v>0</v>
      </c>
      <c r="H525">
        <v>0</v>
      </c>
      <c r="I525">
        <v>1317</v>
      </c>
      <c r="J525">
        <v>21474</v>
      </c>
      <c r="K525">
        <v>12450</v>
      </c>
      <c r="L525" s="2">
        <v>25.203125</v>
      </c>
      <c r="M525" s="5">
        <v>261.92349999999999</v>
      </c>
      <c r="N525" s="1">
        <v>190.49180000000001</v>
      </c>
      <c r="O525" s="2">
        <v>3</v>
      </c>
      <c r="P525">
        <v>104</v>
      </c>
    </row>
    <row r="526" spans="1:16" x14ac:dyDescent="0.35">
      <c r="A526" s="4">
        <v>44197</v>
      </c>
      <c r="B526" t="s">
        <v>19</v>
      </c>
      <c r="C526" t="s">
        <v>12</v>
      </c>
      <c r="D526">
        <v>1</v>
      </c>
      <c r="E526" s="2">
        <v>2265</v>
      </c>
      <c r="F526" s="2">
        <f t="shared" si="84"/>
        <v>2185.4650000000001</v>
      </c>
      <c r="G526" s="3">
        <v>0</v>
      </c>
      <c r="H526">
        <v>0</v>
      </c>
      <c r="I526">
        <v>1317</v>
      </c>
      <c r="J526">
        <v>21474</v>
      </c>
      <c r="K526">
        <v>12450</v>
      </c>
      <c r="L526" s="2">
        <v>25.203125</v>
      </c>
      <c r="M526" s="5">
        <v>261.92349999999999</v>
      </c>
      <c r="N526" s="1">
        <v>190.49180000000001</v>
      </c>
      <c r="O526" s="2">
        <v>3</v>
      </c>
      <c r="P526">
        <v>104</v>
      </c>
    </row>
    <row r="527" spans="1:16" x14ac:dyDescent="0.35">
      <c r="A527" s="4">
        <v>44197</v>
      </c>
      <c r="B527" t="s">
        <v>19</v>
      </c>
      <c r="C527" t="s">
        <v>13</v>
      </c>
      <c r="D527">
        <v>1</v>
      </c>
      <c r="E527" s="2">
        <v>2303.5</v>
      </c>
      <c r="F527" s="2">
        <f t="shared" si="84"/>
        <v>2185.4650000000001</v>
      </c>
      <c r="G527" s="3">
        <v>0</v>
      </c>
      <c r="H527">
        <v>0</v>
      </c>
      <c r="I527">
        <v>1317</v>
      </c>
      <c r="J527">
        <v>21474</v>
      </c>
      <c r="K527">
        <v>12450</v>
      </c>
      <c r="L527" s="2">
        <v>25.203125</v>
      </c>
      <c r="M527" s="5">
        <v>261.92349999999999</v>
      </c>
      <c r="N527" s="1">
        <v>190.49180000000001</v>
      </c>
      <c r="O527" s="2">
        <v>3</v>
      </c>
      <c r="P527">
        <v>104</v>
      </c>
    </row>
    <row r="528" spans="1:16" x14ac:dyDescent="0.35">
      <c r="A528" s="4">
        <v>44197</v>
      </c>
      <c r="B528" t="s">
        <v>19</v>
      </c>
      <c r="C528" t="s">
        <v>14</v>
      </c>
      <c r="D528">
        <v>1</v>
      </c>
      <c r="E528" s="2">
        <f>(2296+2286+2289+2221)/4</f>
        <v>2273</v>
      </c>
      <c r="F528" s="2">
        <f t="shared" si="84"/>
        <v>2185.4650000000001</v>
      </c>
      <c r="G528" s="3">
        <v>0</v>
      </c>
      <c r="H528">
        <v>0</v>
      </c>
      <c r="I528">
        <v>1317</v>
      </c>
      <c r="J528">
        <v>21474</v>
      </c>
      <c r="K528">
        <v>12450</v>
      </c>
      <c r="L528" s="2">
        <v>25.203125</v>
      </c>
      <c r="M528" s="5">
        <v>261.92349999999999</v>
      </c>
      <c r="N528" s="1">
        <v>190.49180000000001</v>
      </c>
      <c r="O528" s="2">
        <v>3</v>
      </c>
      <c r="P528">
        <v>104</v>
      </c>
    </row>
    <row r="529" spans="1:16" x14ac:dyDescent="0.35">
      <c r="A529" s="4">
        <v>44197</v>
      </c>
      <c r="B529" t="s">
        <v>19</v>
      </c>
      <c r="C529" t="s">
        <v>15</v>
      </c>
      <c r="D529">
        <v>1</v>
      </c>
      <c r="E529" s="2">
        <v>2295</v>
      </c>
      <c r="F529" s="2">
        <f t="shared" si="84"/>
        <v>2185.4650000000001</v>
      </c>
      <c r="G529" s="3">
        <v>0</v>
      </c>
      <c r="H529">
        <v>0</v>
      </c>
      <c r="I529">
        <v>1317</v>
      </c>
      <c r="J529">
        <v>21474</v>
      </c>
      <c r="K529">
        <v>12450</v>
      </c>
      <c r="L529" s="2">
        <v>25.203125</v>
      </c>
      <c r="M529" s="5">
        <v>261.92349999999999</v>
      </c>
      <c r="N529" s="1">
        <v>190.49180000000001</v>
      </c>
      <c r="O529" s="2">
        <v>3</v>
      </c>
      <c r="P529">
        <v>104</v>
      </c>
    </row>
    <row r="530" spans="1:16" x14ac:dyDescent="0.35">
      <c r="A530" s="4">
        <v>44197</v>
      </c>
      <c r="B530" t="s">
        <v>20</v>
      </c>
      <c r="C530" t="s">
        <v>10</v>
      </c>
      <c r="D530">
        <v>1</v>
      </c>
      <c r="E530" s="2">
        <f>(1950+1883*2+1783)/4</f>
        <v>1874.75</v>
      </c>
      <c r="F530" s="2">
        <f t="shared" ref="F530:F535" si="85">(2006.33+1860.14+2023+2025.83)/4</f>
        <v>1978.825</v>
      </c>
      <c r="G530" s="3">
        <v>0</v>
      </c>
      <c r="H530">
        <v>0</v>
      </c>
      <c r="I530">
        <v>1317</v>
      </c>
      <c r="J530">
        <v>21474</v>
      </c>
      <c r="K530">
        <v>12450</v>
      </c>
      <c r="L530" s="2">
        <v>25.203125</v>
      </c>
      <c r="M530" s="5">
        <v>261.92349999999999</v>
      </c>
      <c r="N530" s="1">
        <v>190.49180000000001</v>
      </c>
      <c r="O530" s="2">
        <v>3</v>
      </c>
      <c r="P530">
        <v>104</v>
      </c>
    </row>
    <row r="531" spans="1:16" x14ac:dyDescent="0.35">
      <c r="A531" s="4">
        <v>44197</v>
      </c>
      <c r="B531" t="s">
        <v>20</v>
      </c>
      <c r="C531" t="s">
        <v>11</v>
      </c>
      <c r="D531">
        <v>1</v>
      </c>
      <c r="E531" s="2">
        <v>2050</v>
      </c>
      <c r="F531" s="2">
        <f t="shared" si="85"/>
        <v>1978.825</v>
      </c>
      <c r="G531" s="3">
        <v>0</v>
      </c>
      <c r="H531">
        <v>0</v>
      </c>
      <c r="I531">
        <v>1317</v>
      </c>
      <c r="J531">
        <v>21474</v>
      </c>
      <c r="K531">
        <v>12450</v>
      </c>
      <c r="L531" s="2">
        <v>25.203125</v>
      </c>
      <c r="M531" s="5">
        <v>261.92349999999999</v>
      </c>
      <c r="N531" s="1">
        <v>190.49180000000001</v>
      </c>
      <c r="O531" s="2">
        <v>3</v>
      </c>
      <c r="P531">
        <v>104</v>
      </c>
    </row>
    <row r="532" spans="1:16" x14ac:dyDescent="0.35">
      <c r="A532" s="4">
        <v>44197</v>
      </c>
      <c r="B532" t="s">
        <v>20</v>
      </c>
      <c r="C532" t="s">
        <v>12</v>
      </c>
      <c r="D532">
        <v>1</v>
      </c>
      <c r="E532" s="2">
        <v>1885</v>
      </c>
      <c r="F532" s="2">
        <f t="shared" si="85"/>
        <v>1978.825</v>
      </c>
      <c r="G532" s="3">
        <v>0</v>
      </c>
      <c r="H532">
        <v>0</v>
      </c>
      <c r="I532">
        <v>1317</v>
      </c>
      <c r="J532">
        <v>21474</v>
      </c>
      <c r="K532">
        <v>12450</v>
      </c>
      <c r="L532" s="2">
        <v>25.203125</v>
      </c>
      <c r="M532" s="5">
        <v>261.92349999999999</v>
      </c>
      <c r="N532" s="1">
        <v>190.49180000000001</v>
      </c>
      <c r="O532" s="2">
        <v>3</v>
      </c>
      <c r="P532">
        <v>104</v>
      </c>
    </row>
    <row r="533" spans="1:16" x14ac:dyDescent="0.35">
      <c r="A533" s="4">
        <v>44197</v>
      </c>
      <c r="B533" t="s">
        <v>20</v>
      </c>
      <c r="C533" t="s">
        <v>13</v>
      </c>
      <c r="D533">
        <v>1</v>
      </c>
      <c r="E533" s="2">
        <v>2085</v>
      </c>
      <c r="F533" s="2">
        <f t="shared" si="85"/>
        <v>1978.825</v>
      </c>
      <c r="G533" s="3">
        <v>0</v>
      </c>
      <c r="H533">
        <v>0</v>
      </c>
      <c r="I533">
        <v>1317</v>
      </c>
      <c r="J533">
        <v>21474</v>
      </c>
      <c r="K533">
        <v>12450</v>
      </c>
      <c r="L533" s="2">
        <v>25.203125</v>
      </c>
      <c r="M533" s="5">
        <v>261.92349999999999</v>
      </c>
      <c r="N533" s="1">
        <v>190.49180000000001</v>
      </c>
      <c r="O533" s="2">
        <v>3</v>
      </c>
      <c r="P533">
        <v>104</v>
      </c>
    </row>
    <row r="534" spans="1:16" x14ac:dyDescent="0.35">
      <c r="A534" s="4">
        <v>44197</v>
      </c>
      <c r="B534" t="s">
        <v>20</v>
      </c>
      <c r="C534" t="s">
        <v>14</v>
      </c>
      <c r="D534">
        <v>1</v>
      </c>
      <c r="E534" s="2">
        <f>(2110*2+2090+2120)/4</f>
        <v>2107.5</v>
      </c>
      <c r="F534" s="2">
        <f t="shared" si="85"/>
        <v>1978.825</v>
      </c>
      <c r="G534" s="3">
        <v>0</v>
      </c>
      <c r="H534">
        <v>0</v>
      </c>
      <c r="I534">
        <v>1317</v>
      </c>
      <c r="J534">
        <v>21474</v>
      </c>
      <c r="K534">
        <v>12450</v>
      </c>
      <c r="L534" s="2">
        <v>25.203125</v>
      </c>
      <c r="M534" s="5">
        <v>261.92349999999999</v>
      </c>
      <c r="N534" s="1">
        <v>190.49180000000001</v>
      </c>
      <c r="O534" s="2">
        <v>3</v>
      </c>
      <c r="P534">
        <v>104</v>
      </c>
    </row>
    <row r="535" spans="1:16" x14ac:dyDescent="0.35">
      <c r="A535" s="4">
        <v>44197</v>
      </c>
      <c r="B535" t="s">
        <v>20</v>
      </c>
      <c r="C535" t="s">
        <v>15</v>
      </c>
      <c r="D535">
        <v>1</v>
      </c>
      <c r="E535" s="2">
        <v>2075</v>
      </c>
      <c r="F535" s="2">
        <f t="shared" si="85"/>
        <v>1978.825</v>
      </c>
      <c r="G535" s="3">
        <v>0</v>
      </c>
      <c r="H535">
        <v>0</v>
      </c>
      <c r="I535">
        <v>1317</v>
      </c>
      <c r="J535">
        <v>21474</v>
      </c>
      <c r="K535">
        <v>12450</v>
      </c>
      <c r="L535" s="2">
        <v>25.203125</v>
      </c>
      <c r="M535" s="5">
        <v>261.92349999999999</v>
      </c>
      <c r="N535" s="1">
        <v>190.49180000000001</v>
      </c>
      <c r="O535" s="2">
        <v>3</v>
      </c>
      <c r="P535">
        <v>104</v>
      </c>
    </row>
    <row r="536" spans="1:16" x14ac:dyDescent="0.35">
      <c r="A536" s="4">
        <v>44197</v>
      </c>
      <c r="B536" t="s">
        <v>21</v>
      </c>
      <c r="C536" t="s">
        <v>10</v>
      </c>
      <c r="D536">
        <v>1</v>
      </c>
      <c r="E536" s="2">
        <f>(1816+1616+1583+1550)/4</f>
        <v>1641.25</v>
      </c>
      <c r="F536" s="2">
        <f t="shared" ref="F536:F541" si="86">(1942.33+1910+1901.33+1885.5)/4</f>
        <v>1909.79</v>
      </c>
      <c r="G536" s="3">
        <v>0</v>
      </c>
      <c r="H536">
        <v>0</v>
      </c>
      <c r="I536">
        <v>1317</v>
      </c>
      <c r="J536">
        <v>21474</v>
      </c>
      <c r="K536">
        <v>12450</v>
      </c>
      <c r="L536" s="2">
        <v>25.203125</v>
      </c>
      <c r="M536" s="5">
        <v>261.92349999999999</v>
      </c>
      <c r="N536" s="1">
        <v>190.49180000000001</v>
      </c>
      <c r="O536" s="2">
        <v>3</v>
      </c>
      <c r="P536">
        <v>104</v>
      </c>
    </row>
    <row r="537" spans="1:16" x14ac:dyDescent="0.35">
      <c r="A537" s="4">
        <v>44197</v>
      </c>
      <c r="B537" t="s">
        <v>21</v>
      </c>
      <c r="C537" t="s">
        <v>11</v>
      </c>
      <c r="D537">
        <v>1</v>
      </c>
      <c r="E537" s="2">
        <v>2000</v>
      </c>
      <c r="F537" s="2">
        <f t="shared" si="86"/>
        <v>1909.79</v>
      </c>
      <c r="G537" s="3">
        <v>0</v>
      </c>
      <c r="H537">
        <v>0</v>
      </c>
      <c r="I537">
        <v>1317</v>
      </c>
      <c r="J537">
        <v>21474</v>
      </c>
      <c r="K537">
        <v>12450</v>
      </c>
      <c r="L537" s="2">
        <v>25.203125</v>
      </c>
      <c r="M537" s="5">
        <v>261.92349999999999</v>
      </c>
      <c r="N537" s="1">
        <v>190.49180000000001</v>
      </c>
      <c r="O537" s="2">
        <v>3</v>
      </c>
      <c r="P537">
        <v>104</v>
      </c>
    </row>
    <row r="538" spans="1:16" x14ac:dyDescent="0.35">
      <c r="A538" s="4">
        <v>44197</v>
      </c>
      <c r="B538" t="s">
        <v>21</v>
      </c>
      <c r="C538" t="s">
        <v>12</v>
      </c>
      <c r="D538">
        <v>1</v>
      </c>
      <c r="E538" s="2">
        <v>1800</v>
      </c>
      <c r="F538" s="2">
        <f t="shared" si="86"/>
        <v>1909.79</v>
      </c>
      <c r="G538" s="3">
        <v>0</v>
      </c>
      <c r="H538">
        <v>0</v>
      </c>
      <c r="I538">
        <v>1317</v>
      </c>
      <c r="J538">
        <v>21474</v>
      </c>
      <c r="K538">
        <v>12450</v>
      </c>
      <c r="L538" s="2">
        <v>25.203125</v>
      </c>
      <c r="M538" s="5">
        <v>261.92349999999999</v>
      </c>
      <c r="N538" s="1">
        <v>190.49180000000001</v>
      </c>
      <c r="O538" s="2">
        <v>3</v>
      </c>
      <c r="P538">
        <v>104</v>
      </c>
    </row>
    <row r="539" spans="1:16" x14ac:dyDescent="0.35">
      <c r="A539" s="4">
        <v>44197</v>
      </c>
      <c r="B539" t="s">
        <v>21</v>
      </c>
      <c r="C539" t="s">
        <v>13</v>
      </c>
      <c r="D539">
        <v>1</v>
      </c>
      <c r="E539" s="2">
        <v>2000</v>
      </c>
      <c r="F539" s="2">
        <f t="shared" si="86"/>
        <v>1909.79</v>
      </c>
      <c r="G539" s="3">
        <v>0</v>
      </c>
      <c r="H539">
        <v>0</v>
      </c>
      <c r="I539">
        <v>1317</v>
      </c>
      <c r="J539">
        <v>21474</v>
      </c>
      <c r="K539">
        <v>12450</v>
      </c>
      <c r="L539" s="2">
        <v>25.203125</v>
      </c>
      <c r="M539" s="5">
        <v>261.92349999999999</v>
      </c>
      <c r="N539" s="1">
        <v>190.49180000000001</v>
      </c>
      <c r="O539" s="2">
        <v>3</v>
      </c>
      <c r="P539">
        <v>104</v>
      </c>
    </row>
    <row r="540" spans="1:16" x14ac:dyDescent="0.35">
      <c r="A540" s="4">
        <v>44197</v>
      </c>
      <c r="B540" t="s">
        <v>21</v>
      </c>
      <c r="C540" t="s">
        <v>14</v>
      </c>
      <c r="D540">
        <v>1</v>
      </c>
      <c r="E540" s="2">
        <f>(2013+2019+2000+1988)/4</f>
        <v>2005</v>
      </c>
      <c r="F540" s="2">
        <f t="shared" si="86"/>
        <v>1909.79</v>
      </c>
      <c r="G540" s="3">
        <v>0</v>
      </c>
      <c r="H540">
        <v>0</v>
      </c>
      <c r="I540">
        <v>1317</v>
      </c>
      <c r="J540">
        <v>21474</v>
      </c>
      <c r="K540">
        <v>12450</v>
      </c>
      <c r="L540" s="2">
        <v>25.203125</v>
      </c>
      <c r="M540" s="5">
        <v>261.92349999999999</v>
      </c>
      <c r="N540" s="1">
        <v>190.49180000000001</v>
      </c>
      <c r="O540" s="2">
        <v>3</v>
      </c>
      <c r="P540">
        <v>104</v>
      </c>
    </row>
    <row r="541" spans="1:16" x14ac:dyDescent="0.35">
      <c r="A541" s="4">
        <v>44197</v>
      </c>
      <c r="B541" t="s">
        <v>21</v>
      </c>
      <c r="C541" t="s">
        <v>15</v>
      </c>
      <c r="D541">
        <v>1</v>
      </c>
      <c r="E541" s="2">
        <v>2025</v>
      </c>
      <c r="F541" s="2">
        <f t="shared" si="86"/>
        <v>1909.79</v>
      </c>
      <c r="G541" s="3">
        <v>0</v>
      </c>
      <c r="H541">
        <v>0</v>
      </c>
      <c r="I541">
        <v>1317</v>
      </c>
      <c r="J541">
        <v>21474</v>
      </c>
      <c r="K541">
        <v>12450</v>
      </c>
      <c r="L541" s="2">
        <v>25.203125</v>
      </c>
      <c r="M541" s="5">
        <v>261.92349999999999</v>
      </c>
      <c r="N541" s="1">
        <v>190.49180000000001</v>
      </c>
      <c r="O541" s="2">
        <v>3</v>
      </c>
      <c r="P541">
        <v>104</v>
      </c>
    </row>
    <row r="542" spans="1:16" x14ac:dyDescent="0.35">
      <c r="A542" s="4">
        <v>44197</v>
      </c>
      <c r="B542" t="s">
        <v>22</v>
      </c>
      <c r="C542" t="s">
        <v>10</v>
      </c>
      <c r="D542">
        <v>0</v>
      </c>
      <c r="E542" s="2" t="s">
        <v>27</v>
      </c>
      <c r="F542" s="2">
        <f t="shared" ref="F542:F547" si="87">(1780+1775+1820+1790)/4</f>
        <v>1791.25</v>
      </c>
      <c r="G542" s="3">
        <v>0</v>
      </c>
      <c r="H542">
        <v>0</v>
      </c>
      <c r="I542">
        <v>1317</v>
      </c>
      <c r="J542">
        <v>21474</v>
      </c>
      <c r="K542">
        <v>12450</v>
      </c>
      <c r="L542" s="2">
        <v>25.203125</v>
      </c>
      <c r="M542" s="5">
        <v>261.92349999999999</v>
      </c>
      <c r="N542" s="1">
        <v>190.49180000000001</v>
      </c>
      <c r="O542" s="2">
        <v>3</v>
      </c>
      <c r="P542">
        <v>104</v>
      </c>
    </row>
    <row r="543" spans="1:16" x14ac:dyDescent="0.35">
      <c r="A543" s="4">
        <v>44197</v>
      </c>
      <c r="B543" t="s">
        <v>22</v>
      </c>
      <c r="C543" t="s">
        <v>11</v>
      </c>
      <c r="D543">
        <v>0</v>
      </c>
      <c r="E543" s="2" t="s">
        <v>27</v>
      </c>
      <c r="F543" s="2">
        <f t="shared" si="87"/>
        <v>1791.25</v>
      </c>
      <c r="G543" s="3">
        <v>0</v>
      </c>
      <c r="H543">
        <v>0</v>
      </c>
      <c r="I543">
        <v>1317</v>
      </c>
      <c r="J543">
        <v>21474</v>
      </c>
      <c r="K543">
        <v>12450</v>
      </c>
      <c r="L543" s="2">
        <v>25.203125</v>
      </c>
      <c r="M543" s="5">
        <v>261.92349999999999</v>
      </c>
      <c r="N543" s="1">
        <v>190.49180000000001</v>
      </c>
      <c r="O543" s="2">
        <v>3</v>
      </c>
      <c r="P543">
        <v>104</v>
      </c>
    </row>
    <row r="544" spans="1:16" x14ac:dyDescent="0.35">
      <c r="A544" s="4">
        <v>44197</v>
      </c>
      <c r="B544" t="s">
        <v>22</v>
      </c>
      <c r="C544" t="s">
        <v>12</v>
      </c>
      <c r="D544">
        <v>0</v>
      </c>
      <c r="E544" s="2" t="s">
        <v>27</v>
      </c>
      <c r="F544" s="2">
        <f t="shared" si="87"/>
        <v>1791.25</v>
      </c>
      <c r="G544" s="3">
        <v>0</v>
      </c>
      <c r="H544">
        <v>0</v>
      </c>
      <c r="I544">
        <v>1317</v>
      </c>
      <c r="J544">
        <v>21474</v>
      </c>
      <c r="K544">
        <v>12450</v>
      </c>
      <c r="L544" s="2">
        <v>25.203125</v>
      </c>
      <c r="M544" s="5">
        <v>261.92349999999999</v>
      </c>
      <c r="N544" s="1">
        <v>190.49180000000001</v>
      </c>
      <c r="O544" s="2">
        <v>3</v>
      </c>
      <c r="P544">
        <v>104</v>
      </c>
    </row>
    <row r="545" spans="1:16" x14ac:dyDescent="0.35">
      <c r="A545" s="4">
        <v>44197</v>
      </c>
      <c r="B545" t="s">
        <v>22</v>
      </c>
      <c r="C545" t="s">
        <v>13</v>
      </c>
      <c r="D545">
        <v>0</v>
      </c>
      <c r="E545" s="2" t="s">
        <v>27</v>
      </c>
      <c r="F545" s="2">
        <f t="shared" si="87"/>
        <v>1791.25</v>
      </c>
      <c r="G545" s="3">
        <v>0</v>
      </c>
      <c r="H545">
        <v>0</v>
      </c>
      <c r="I545">
        <v>1317</v>
      </c>
      <c r="J545">
        <v>21474</v>
      </c>
      <c r="K545">
        <v>12450</v>
      </c>
      <c r="L545" s="2">
        <v>25.203125</v>
      </c>
      <c r="M545" s="5">
        <v>261.92349999999999</v>
      </c>
      <c r="N545" s="1">
        <v>190.49180000000001</v>
      </c>
      <c r="O545" s="2">
        <v>3</v>
      </c>
      <c r="P545">
        <v>104</v>
      </c>
    </row>
    <row r="546" spans="1:16" x14ac:dyDescent="0.35">
      <c r="A546" s="4">
        <v>44197</v>
      </c>
      <c r="B546" t="s">
        <v>22</v>
      </c>
      <c r="C546" t="s">
        <v>14</v>
      </c>
      <c r="D546">
        <v>1</v>
      </c>
      <c r="E546" s="2">
        <f>(1780+1775+1820+1790)/4</f>
        <v>1791.25</v>
      </c>
      <c r="F546" s="2">
        <f t="shared" si="87"/>
        <v>1791.25</v>
      </c>
      <c r="G546" s="3">
        <v>0</v>
      </c>
      <c r="H546">
        <v>0</v>
      </c>
      <c r="I546">
        <v>1317</v>
      </c>
      <c r="J546">
        <v>21474</v>
      </c>
      <c r="K546">
        <v>12450</v>
      </c>
      <c r="L546" s="2">
        <v>25.203125</v>
      </c>
      <c r="M546" s="5">
        <v>261.92349999999999</v>
      </c>
      <c r="N546" s="1">
        <v>190.49180000000001</v>
      </c>
      <c r="O546" s="2">
        <v>3</v>
      </c>
      <c r="P546">
        <v>104</v>
      </c>
    </row>
    <row r="547" spans="1:16" x14ac:dyDescent="0.35">
      <c r="A547" s="4">
        <v>44197</v>
      </c>
      <c r="B547" t="s">
        <v>22</v>
      </c>
      <c r="C547" t="s">
        <v>15</v>
      </c>
      <c r="D547">
        <v>0</v>
      </c>
      <c r="E547" s="2" t="s">
        <v>27</v>
      </c>
      <c r="F547" s="2">
        <f t="shared" si="87"/>
        <v>1791.25</v>
      </c>
      <c r="G547" s="3">
        <v>0</v>
      </c>
      <c r="H547">
        <v>0</v>
      </c>
      <c r="I547">
        <v>1317</v>
      </c>
      <c r="J547">
        <v>21474</v>
      </c>
      <c r="K547">
        <v>12450</v>
      </c>
      <c r="L547" s="2">
        <v>25.203125</v>
      </c>
      <c r="M547" s="5">
        <v>261.92349999999999</v>
      </c>
      <c r="N547" s="1">
        <v>190.49180000000001</v>
      </c>
      <c r="O547" s="2">
        <v>3</v>
      </c>
      <c r="P547">
        <v>104</v>
      </c>
    </row>
    <row r="548" spans="1:16" x14ac:dyDescent="0.35">
      <c r="A548" s="4">
        <v>44228</v>
      </c>
      <c r="B548" t="s">
        <v>16</v>
      </c>
      <c r="C548" t="s">
        <v>10</v>
      </c>
      <c r="D548">
        <v>1</v>
      </c>
      <c r="E548" s="2">
        <f>(2900+2933+2966+2850)/4</f>
        <v>2912.25</v>
      </c>
      <c r="F548" s="2">
        <f t="shared" ref="F548:F553" si="88">(2981.25+3003.25+2985.25+3055.25)/4</f>
        <v>3006.25</v>
      </c>
      <c r="G548" s="3">
        <v>0</v>
      </c>
      <c r="H548">
        <v>0</v>
      </c>
      <c r="I548">
        <v>1317</v>
      </c>
      <c r="J548">
        <v>17664</v>
      </c>
      <c r="K548">
        <v>17430</v>
      </c>
      <c r="L548" s="2">
        <v>25.576875000000001</v>
      </c>
      <c r="M548" s="5">
        <v>57.900999999999996</v>
      </c>
      <c r="N548" s="1">
        <v>194.06649999999999</v>
      </c>
      <c r="O548" s="2">
        <v>3.3</v>
      </c>
      <c r="P548">
        <v>104</v>
      </c>
    </row>
    <row r="549" spans="1:16" x14ac:dyDescent="0.35">
      <c r="A549" s="4">
        <v>44228</v>
      </c>
      <c r="B549" t="s">
        <v>16</v>
      </c>
      <c r="C549" t="s">
        <v>11</v>
      </c>
      <c r="D549">
        <v>0</v>
      </c>
      <c r="E549" s="2" t="s">
        <v>27</v>
      </c>
      <c r="F549" s="2">
        <f t="shared" si="88"/>
        <v>3006.25</v>
      </c>
      <c r="G549" s="3">
        <v>0</v>
      </c>
      <c r="H549">
        <v>0</v>
      </c>
      <c r="I549">
        <v>1317</v>
      </c>
      <c r="J549">
        <v>17664</v>
      </c>
      <c r="K549">
        <v>17430</v>
      </c>
      <c r="L549" s="2">
        <v>25.576875000000005</v>
      </c>
      <c r="M549" s="5">
        <v>57.900999999999996</v>
      </c>
      <c r="N549" s="1">
        <v>194.06649999999999</v>
      </c>
      <c r="O549" s="2">
        <v>3.3</v>
      </c>
      <c r="P549">
        <v>104</v>
      </c>
    </row>
    <row r="550" spans="1:16" x14ac:dyDescent="0.35">
      <c r="A550" s="4">
        <v>44228</v>
      </c>
      <c r="B550" t="s">
        <v>16</v>
      </c>
      <c r="C550" t="s">
        <v>12</v>
      </c>
      <c r="D550">
        <v>1</v>
      </c>
      <c r="E550" s="2">
        <v>3000</v>
      </c>
      <c r="F550" s="2">
        <f t="shared" si="88"/>
        <v>3006.25</v>
      </c>
      <c r="G550" s="3">
        <v>0</v>
      </c>
      <c r="H550">
        <v>0</v>
      </c>
      <c r="I550">
        <v>1317</v>
      </c>
      <c r="J550">
        <v>17664</v>
      </c>
      <c r="K550">
        <v>17430</v>
      </c>
      <c r="L550" s="2">
        <v>25.576875000000005</v>
      </c>
      <c r="M550" s="5">
        <v>57.900999999999996</v>
      </c>
      <c r="N550" s="1">
        <v>194.06649999999999</v>
      </c>
      <c r="O550" s="2">
        <v>3.3</v>
      </c>
      <c r="P550">
        <v>104</v>
      </c>
    </row>
    <row r="551" spans="1:16" x14ac:dyDescent="0.35">
      <c r="A551" s="4">
        <v>44228</v>
      </c>
      <c r="B551" t="s">
        <v>16</v>
      </c>
      <c r="C551" t="s">
        <v>13</v>
      </c>
      <c r="D551">
        <v>1</v>
      </c>
      <c r="E551" s="2">
        <f>(3100+3150+3000+3300)/4</f>
        <v>3137.5</v>
      </c>
      <c r="F551" s="2">
        <f t="shared" si="88"/>
        <v>3006.25</v>
      </c>
      <c r="G551" s="3">
        <v>0</v>
      </c>
      <c r="H551">
        <v>0</v>
      </c>
      <c r="I551">
        <v>1317</v>
      </c>
      <c r="J551">
        <v>17664</v>
      </c>
      <c r="K551">
        <v>17430</v>
      </c>
      <c r="L551" s="2">
        <v>25.576875000000005</v>
      </c>
      <c r="M551" s="5">
        <v>57.900999999999996</v>
      </c>
      <c r="N551" s="1">
        <v>194.06649999999999</v>
      </c>
      <c r="O551" s="2">
        <v>3.3</v>
      </c>
      <c r="P551">
        <v>104</v>
      </c>
    </row>
    <row r="552" spans="1:16" x14ac:dyDescent="0.35">
      <c r="A552" s="4">
        <v>44228</v>
      </c>
      <c r="B552" t="s">
        <v>16</v>
      </c>
      <c r="C552" t="s">
        <v>14</v>
      </c>
      <c r="D552">
        <v>1</v>
      </c>
      <c r="E552" s="2">
        <f>(2988+2975+2963+2975)/4</f>
        <v>2975.25</v>
      </c>
      <c r="F552" s="2">
        <f t="shared" si="88"/>
        <v>3006.25</v>
      </c>
      <c r="G552" s="3">
        <v>0</v>
      </c>
      <c r="H552">
        <v>0</v>
      </c>
      <c r="I552">
        <v>1317</v>
      </c>
      <c r="J552">
        <v>17664</v>
      </c>
      <c r="K552">
        <v>17430</v>
      </c>
      <c r="L552" s="2">
        <v>25.576875000000005</v>
      </c>
      <c r="M552" s="5">
        <v>57.900999999999996</v>
      </c>
      <c r="N552" s="1">
        <v>194.06649999999999</v>
      </c>
      <c r="O552" s="2">
        <v>3.3</v>
      </c>
      <c r="P552">
        <v>104</v>
      </c>
    </row>
    <row r="553" spans="1:16" x14ac:dyDescent="0.35">
      <c r="A553" s="4">
        <v>44228</v>
      </c>
      <c r="B553" t="s">
        <v>16</v>
      </c>
      <c r="C553" t="s">
        <v>15</v>
      </c>
      <c r="D553">
        <v>0</v>
      </c>
      <c r="E553" s="2" t="s">
        <v>27</v>
      </c>
      <c r="F553" s="2">
        <f t="shared" si="88"/>
        <v>3006.25</v>
      </c>
      <c r="G553" s="3">
        <v>0</v>
      </c>
      <c r="H553">
        <v>0</v>
      </c>
      <c r="I553">
        <v>1317</v>
      </c>
      <c r="J553">
        <v>17664</v>
      </c>
      <c r="K553">
        <v>17430</v>
      </c>
      <c r="L553" s="2">
        <v>25.576875000000005</v>
      </c>
      <c r="M553" s="5">
        <v>57.900999999999996</v>
      </c>
      <c r="N553" s="1">
        <v>194.06649999999999</v>
      </c>
      <c r="O553" s="2">
        <v>3.3</v>
      </c>
      <c r="P553">
        <v>104</v>
      </c>
    </row>
    <row r="554" spans="1:16" x14ac:dyDescent="0.35">
      <c r="A554" s="4">
        <v>44228</v>
      </c>
      <c r="B554" t="s">
        <v>17</v>
      </c>
      <c r="C554" t="s">
        <v>10</v>
      </c>
      <c r="D554">
        <v>1</v>
      </c>
      <c r="E554" s="2">
        <f>(2616+2666+2550+2450)/4</f>
        <v>2570.5</v>
      </c>
      <c r="F554" s="2">
        <f t="shared" ref="F554:F559" si="89">(2588.8+2603.8+2549.4+2542.4)/4</f>
        <v>2571.1</v>
      </c>
      <c r="G554" s="3">
        <v>0</v>
      </c>
      <c r="H554">
        <v>0</v>
      </c>
      <c r="I554">
        <v>1317</v>
      </c>
      <c r="J554">
        <v>17664</v>
      </c>
      <c r="K554">
        <v>17430</v>
      </c>
      <c r="L554" s="2">
        <v>25.576875000000005</v>
      </c>
      <c r="M554" s="5">
        <v>57.900999999999996</v>
      </c>
      <c r="N554" s="1">
        <v>194.06649999999999</v>
      </c>
      <c r="O554" s="2">
        <v>3.3</v>
      </c>
      <c r="P554">
        <v>104</v>
      </c>
    </row>
    <row r="555" spans="1:16" x14ac:dyDescent="0.35">
      <c r="A555" s="4">
        <v>44228</v>
      </c>
      <c r="B555" t="s">
        <v>17</v>
      </c>
      <c r="C555" t="s">
        <v>11</v>
      </c>
      <c r="D555">
        <v>1</v>
      </c>
      <c r="E555" s="2">
        <f>(2600)</f>
        <v>2600</v>
      </c>
      <c r="F555" s="2">
        <f t="shared" si="89"/>
        <v>2571.1</v>
      </c>
      <c r="G555" s="3">
        <v>0</v>
      </c>
      <c r="H555">
        <v>0</v>
      </c>
      <c r="I555">
        <v>1317</v>
      </c>
      <c r="J555">
        <v>17664</v>
      </c>
      <c r="K555">
        <v>17430</v>
      </c>
      <c r="L555" s="2">
        <v>25.576875000000005</v>
      </c>
      <c r="M555" s="5">
        <v>57.900999999999996</v>
      </c>
      <c r="N555" s="1">
        <v>194.06649999999999</v>
      </c>
      <c r="O555" s="2">
        <v>3.3</v>
      </c>
      <c r="P555">
        <v>104</v>
      </c>
    </row>
    <row r="556" spans="1:16" x14ac:dyDescent="0.35">
      <c r="A556" s="4">
        <v>44228</v>
      </c>
      <c r="B556" t="s">
        <v>17</v>
      </c>
      <c r="C556" t="s">
        <v>12</v>
      </c>
      <c r="D556">
        <v>1</v>
      </c>
      <c r="E556" s="2">
        <v>2595</v>
      </c>
      <c r="F556" s="2">
        <f t="shared" si="89"/>
        <v>2571.1</v>
      </c>
      <c r="G556" s="3">
        <v>0</v>
      </c>
      <c r="H556">
        <v>0</v>
      </c>
      <c r="I556">
        <v>1317</v>
      </c>
      <c r="J556">
        <v>17664</v>
      </c>
      <c r="K556">
        <v>17430</v>
      </c>
      <c r="L556" s="2">
        <v>25.576875000000005</v>
      </c>
      <c r="M556" s="5">
        <v>57.900999999999996</v>
      </c>
      <c r="N556" s="1">
        <v>194.06649999999999</v>
      </c>
      <c r="O556" s="2">
        <v>3.3</v>
      </c>
      <c r="P556">
        <v>104</v>
      </c>
    </row>
    <row r="557" spans="1:16" x14ac:dyDescent="0.35">
      <c r="A557" s="4">
        <v>44228</v>
      </c>
      <c r="B557" t="s">
        <v>17</v>
      </c>
      <c r="C557" t="s">
        <v>13</v>
      </c>
      <c r="D557">
        <v>1</v>
      </c>
      <c r="E557" s="2">
        <f>(2600+2575+2435+2500)/4</f>
        <v>2527.5</v>
      </c>
      <c r="F557" s="2">
        <f t="shared" si="89"/>
        <v>2571.1</v>
      </c>
      <c r="G557" s="3">
        <v>0</v>
      </c>
      <c r="H557">
        <v>0</v>
      </c>
      <c r="I557">
        <v>1317</v>
      </c>
      <c r="J557">
        <v>17664</v>
      </c>
      <c r="K557">
        <v>17430</v>
      </c>
      <c r="L557" s="2">
        <v>25.576875000000005</v>
      </c>
      <c r="M557" s="5">
        <v>57.900999999999996</v>
      </c>
      <c r="N557" s="1">
        <v>194.06649999999999</v>
      </c>
      <c r="O557" s="2">
        <v>3.3</v>
      </c>
      <c r="P557">
        <v>104</v>
      </c>
    </row>
    <row r="558" spans="1:16" x14ac:dyDescent="0.35">
      <c r="A558" s="4">
        <v>44228</v>
      </c>
      <c r="B558" t="s">
        <v>17</v>
      </c>
      <c r="C558" t="s">
        <v>14</v>
      </c>
      <c r="D558">
        <v>1</v>
      </c>
      <c r="E558" s="2">
        <f>(2567+2517+2583+2533)/4</f>
        <v>2550</v>
      </c>
      <c r="F558" s="2">
        <f t="shared" si="89"/>
        <v>2571.1</v>
      </c>
      <c r="G558" s="3">
        <v>0</v>
      </c>
      <c r="H558">
        <v>0</v>
      </c>
      <c r="I558">
        <v>1317</v>
      </c>
      <c r="J558">
        <v>17664</v>
      </c>
      <c r="K558">
        <v>17430</v>
      </c>
      <c r="L558" s="2">
        <v>25.576875000000005</v>
      </c>
      <c r="M558" s="5">
        <v>57.900999999999996</v>
      </c>
      <c r="N558" s="1">
        <v>194.06649999999999</v>
      </c>
      <c r="O558" s="2">
        <v>3.3</v>
      </c>
      <c r="P558">
        <v>104</v>
      </c>
    </row>
    <row r="559" spans="1:16" x14ac:dyDescent="0.35">
      <c r="A559" s="4">
        <v>44228</v>
      </c>
      <c r="B559" t="s">
        <v>17</v>
      </c>
      <c r="C559" t="s">
        <v>15</v>
      </c>
      <c r="D559">
        <v>0</v>
      </c>
      <c r="E559" s="2" t="s">
        <v>27</v>
      </c>
      <c r="F559" s="2">
        <f t="shared" si="89"/>
        <v>2571.1</v>
      </c>
      <c r="G559" s="3">
        <v>0</v>
      </c>
      <c r="H559">
        <v>0</v>
      </c>
      <c r="I559">
        <v>1317</v>
      </c>
      <c r="J559">
        <v>17664</v>
      </c>
      <c r="K559">
        <v>17430</v>
      </c>
      <c r="L559" s="2">
        <v>25.576875000000005</v>
      </c>
      <c r="M559" s="5">
        <v>57.900999999999996</v>
      </c>
      <c r="N559" s="1">
        <v>194.06649999999999</v>
      </c>
      <c r="O559" s="2">
        <v>3.3</v>
      </c>
      <c r="P559">
        <v>104</v>
      </c>
    </row>
    <row r="560" spans="1:16" x14ac:dyDescent="0.35">
      <c r="A560" s="4">
        <v>44228</v>
      </c>
      <c r="B560" t="s">
        <v>18</v>
      </c>
      <c r="C560" t="s">
        <v>10</v>
      </c>
      <c r="D560">
        <v>1</v>
      </c>
      <c r="E560" s="2">
        <f>(2333+2383+2450*2)/4</f>
        <v>2404</v>
      </c>
      <c r="F560" s="2">
        <f t="shared" ref="F560:F565" si="90">(2351.29+2365.14+2371.43+2385.29)/4</f>
        <v>2368.2875000000004</v>
      </c>
      <c r="G560" s="3">
        <v>0</v>
      </c>
      <c r="H560">
        <v>0</v>
      </c>
      <c r="I560">
        <v>1317</v>
      </c>
      <c r="J560">
        <v>17664</v>
      </c>
      <c r="K560">
        <v>17430</v>
      </c>
      <c r="L560" s="2">
        <v>25.576875000000005</v>
      </c>
      <c r="M560" s="5">
        <v>57.900999999999996</v>
      </c>
      <c r="N560" s="1">
        <v>194.06649999999999</v>
      </c>
      <c r="O560" s="2">
        <v>3.3</v>
      </c>
      <c r="P560">
        <v>104</v>
      </c>
    </row>
    <row r="561" spans="1:16" x14ac:dyDescent="0.35">
      <c r="A561" s="4">
        <v>44228</v>
      </c>
      <c r="B561" t="s">
        <v>18</v>
      </c>
      <c r="C561" t="s">
        <v>11</v>
      </c>
      <c r="D561">
        <v>1</v>
      </c>
      <c r="E561" s="2">
        <v>2475</v>
      </c>
      <c r="F561" s="2">
        <f t="shared" si="90"/>
        <v>2368.2875000000004</v>
      </c>
      <c r="G561" s="3">
        <v>0</v>
      </c>
      <c r="H561">
        <v>0</v>
      </c>
      <c r="I561">
        <v>1317</v>
      </c>
      <c r="J561">
        <v>17664</v>
      </c>
      <c r="K561">
        <v>17430</v>
      </c>
      <c r="L561" s="2">
        <v>25.576875000000005</v>
      </c>
      <c r="M561" s="5">
        <v>57.900999999999996</v>
      </c>
      <c r="N561" s="1">
        <v>194.06649999999999</v>
      </c>
      <c r="O561" s="2">
        <v>3.3</v>
      </c>
      <c r="P561">
        <v>104</v>
      </c>
    </row>
    <row r="562" spans="1:16" x14ac:dyDescent="0.35">
      <c r="A562" s="4">
        <v>44228</v>
      </c>
      <c r="B562" t="s">
        <v>18</v>
      </c>
      <c r="C562" t="s">
        <v>12</v>
      </c>
      <c r="D562">
        <v>1</v>
      </c>
      <c r="E562" s="2">
        <f>(2480+2485+2488+2483)/4</f>
        <v>2484</v>
      </c>
      <c r="F562" s="2">
        <f t="shared" si="90"/>
        <v>2368.2875000000004</v>
      </c>
      <c r="G562" s="3">
        <v>0</v>
      </c>
      <c r="H562">
        <v>0</v>
      </c>
      <c r="I562">
        <v>1317</v>
      </c>
      <c r="J562">
        <v>17664</v>
      </c>
      <c r="K562">
        <v>17430</v>
      </c>
      <c r="L562" s="2">
        <v>25.576875000000005</v>
      </c>
      <c r="M562" s="5">
        <v>57.900999999999996</v>
      </c>
      <c r="N562" s="1">
        <v>194.06649999999999</v>
      </c>
      <c r="O562" s="2">
        <v>3.3</v>
      </c>
      <c r="P562">
        <v>104</v>
      </c>
    </row>
    <row r="563" spans="1:16" x14ac:dyDescent="0.35">
      <c r="A563" s="4">
        <v>44228</v>
      </c>
      <c r="B563" t="s">
        <v>18</v>
      </c>
      <c r="C563" t="s">
        <v>13</v>
      </c>
      <c r="D563">
        <v>1</v>
      </c>
      <c r="E563" s="2">
        <f>(2425+2340+2360+2385)/4</f>
        <v>2377.5</v>
      </c>
      <c r="F563" s="2">
        <f t="shared" si="90"/>
        <v>2368.2875000000004</v>
      </c>
      <c r="G563" s="3">
        <v>0</v>
      </c>
      <c r="H563">
        <v>0</v>
      </c>
      <c r="I563">
        <v>1317</v>
      </c>
      <c r="J563">
        <v>17664</v>
      </c>
      <c r="K563">
        <v>17430</v>
      </c>
      <c r="L563" s="2">
        <v>25.576875000000005</v>
      </c>
      <c r="M563" s="5">
        <v>57.900999999999996</v>
      </c>
      <c r="N563" s="1">
        <v>194.06649999999999</v>
      </c>
      <c r="O563" s="2">
        <v>3.3</v>
      </c>
      <c r="P563">
        <v>104</v>
      </c>
    </row>
    <row r="564" spans="1:16" x14ac:dyDescent="0.35">
      <c r="A564" s="4">
        <v>44228</v>
      </c>
      <c r="B564" t="s">
        <v>18</v>
      </c>
      <c r="C564" t="s">
        <v>14</v>
      </c>
      <c r="D564">
        <v>1</v>
      </c>
      <c r="E564" s="2">
        <f>(2433+2417+2400*2)/4</f>
        <v>2412.5</v>
      </c>
      <c r="F564" s="2">
        <f t="shared" si="90"/>
        <v>2368.2875000000004</v>
      </c>
      <c r="G564" s="3">
        <v>0</v>
      </c>
      <c r="H564">
        <v>0</v>
      </c>
      <c r="I564">
        <v>1317</v>
      </c>
      <c r="J564">
        <v>17664</v>
      </c>
      <c r="K564">
        <v>17430</v>
      </c>
      <c r="L564" s="2">
        <v>25.576875000000005</v>
      </c>
      <c r="M564" s="5">
        <v>57.900999999999996</v>
      </c>
      <c r="N564" s="1">
        <v>194.06649999999999</v>
      </c>
      <c r="O564" s="2">
        <v>3.3</v>
      </c>
      <c r="P564">
        <v>104</v>
      </c>
    </row>
    <row r="565" spans="1:16" x14ac:dyDescent="0.35">
      <c r="A565" s="4">
        <v>44228</v>
      </c>
      <c r="B565" t="s">
        <v>18</v>
      </c>
      <c r="C565" t="s">
        <v>15</v>
      </c>
      <c r="D565">
        <v>1</v>
      </c>
      <c r="E565" s="2">
        <v>2425</v>
      </c>
      <c r="F565" s="2">
        <f t="shared" si="90"/>
        <v>2368.2875000000004</v>
      </c>
      <c r="G565" s="3">
        <v>0</v>
      </c>
      <c r="H565">
        <v>0</v>
      </c>
      <c r="I565">
        <v>1317</v>
      </c>
      <c r="J565">
        <v>17664</v>
      </c>
      <c r="K565">
        <v>17430</v>
      </c>
      <c r="L565" s="2">
        <v>25.576875000000005</v>
      </c>
      <c r="M565" s="5">
        <v>57.900999999999996</v>
      </c>
      <c r="N565" s="1">
        <v>194.06649999999999</v>
      </c>
      <c r="O565" s="2">
        <v>3.3</v>
      </c>
      <c r="P565">
        <v>104</v>
      </c>
    </row>
    <row r="566" spans="1:16" x14ac:dyDescent="0.35">
      <c r="A566" s="4">
        <v>44228</v>
      </c>
      <c r="B566" t="s">
        <v>19</v>
      </c>
      <c r="C566" t="s">
        <v>10</v>
      </c>
      <c r="D566">
        <v>1</v>
      </c>
      <c r="E566" s="2">
        <f>(2283+2250+2083+2250)/4</f>
        <v>2216.5</v>
      </c>
      <c r="F566" s="2">
        <f t="shared" ref="F566:F571" si="91">(2195.43+2182.14+2216.29+2217.57)/4</f>
        <v>2202.8575000000001</v>
      </c>
      <c r="G566" s="3">
        <v>0</v>
      </c>
      <c r="H566">
        <v>0</v>
      </c>
      <c r="I566">
        <v>1317</v>
      </c>
      <c r="J566">
        <v>17664</v>
      </c>
      <c r="K566">
        <v>17430</v>
      </c>
      <c r="L566" s="2">
        <v>25.576875000000005</v>
      </c>
      <c r="M566" s="5">
        <v>57.900999999999996</v>
      </c>
      <c r="N566" s="1">
        <v>194.06649999999999</v>
      </c>
      <c r="O566" s="2">
        <v>3.3</v>
      </c>
      <c r="P566">
        <v>104</v>
      </c>
    </row>
    <row r="567" spans="1:16" x14ac:dyDescent="0.35">
      <c r="A567" s="4">
        <v>44228</v>
      </c>
      <c r="B567" t="s">
        <v>19</v>
      </c>
      <c r="C567" t="s">
        <v>11</v>
      </c>
      <c r="D567">
        <v>1</v>
      </c>
      <c r="E567" s="2">
        <v>2350</v>
      </c>
      <c r="F567" s="2">
        <f t="shared" si="91"/>
        <v>2202.8575000000001</v>
      </c>
      <c r="G567" s="3">
        <v>0</v>
      </c>
      <c r="H567">
        <v>0</v>
      </c>
      <c r="I567">
        <v>1317</v>
      </c>
      <c r="J567">
        <v>17664</v>
      </c>
      <c r="K567">
        <v>17430</v>
      </c>
      <c r="L567" s="2">
        <v>25.576875000000005</v>
      </c>
      <c r="M567" s="5">
        <v>57.900999999999996</v>
      </c>
      <c r="N567" s="1">
        <v>194.06649999999999</v>
      </c>
      <c r="O567" s="2">
        <v>3.3</v>
      </c>
      <c r="P567">
        <v>104</v>
      </c>
    </row>
    <row r="568" spans="1:16" x14ac:dyDescent="0.35">
      <c r="A568" s="4">
        <v>44228</v>
      </c>
      <c r="B568" t="s">
        <v>19</v>
      </c>
      <c r="C568" t="s">
        <v>12</v>
      </c>
      <c r="D568">
        <v>1</v>
      </c>
      <c r="E568" s="2">
        <v>2267</v>
      </c>
      <c r="F568" s="2">
        <f t="shared" si="91"/>
        <v>2202.8575000000001</v>
      </c>
      <c r="G568" s="3">
        <v>0</v>
      </c>
      <c r="H568">
        <v>0</v>
      </c>
      <c r="I568">
        <v>1317</v>
      </c>
      <c r="J568">
        <v>17664</v>
      </c>
      <c r="K568">
        <v>17430</v>
      </c>
      <c r="L568" s="2">
        <v>25.576875000000005</v>
      </c>
      <c r="M568" s="5">
        <v>57.900999999999996</v>
      </c>
      <c r="N568" s="1">
        <v>194.06649999999999</v>
      </c>
      <c r="O568" s="2">
        <v>3.3</v>
      </c>
      <c r="P568">
        <v>104</v>
      </c>
    </row>
    <row r="569" spans="1:16" x14ac:dyDescent="0.35">
      <c r="A569" s="4">
        <v>44228</v>
      </c>
      <c r="B569" t="s">
        <v>19</v>
      </c>
      <c r="C569" t="s">
        <v>13</v>
      </c>
      <c r="D569">
        <v>1</v>
      </c>
      <c r="E569" s="2">
        <v>2318.25</v>
      </c>
      <c r="F569" s="2">
        <f t="shared" si="91"/>
        <v>2202.8575000000001</v>
      </c>
      <c r="G569" s="3">
        <v>0</v>
      </c>
      <c r="H569">
        <v>0</v>
      </c>
      <c r="I569">
        <v>1317</v>
      </c>
      <c r="J569">
        <v>17664</v>
      </c>
      <c r="K569">
        <v>17430</v>
      </c>
      <c r="L569" s="2">
        <v>25.576875000000005</v>
      </c>
      <c r="M569" s="5">
        <v>57.900999999999996</v>
      </c>
      <c r="N569" s="1">
        <v>194.06649999999999</v>
      </c>
      <c r="O569" s="2">
        <v>3.3</v>
      </c>
      <c r="P569">
        <v>104</v>
      </c>
    </row>
    <row r="570" spans="1:16" x14ac:dyDescent="0.35">
      <c r="A570" s="4">
        <v>44228</v>
      </c>
      <c r="B570" t="s">
        <v>19</v>
      </c>
      <c r="C570" t="s">
        <v>14</v>
      </c>
      <c r="D570">
        <v>1</v>
      </c>
      <c r="E570" s="2">
        <f>(2296+2310+2307+2325)/4</f>
        <v>2309.5</v>
      </c>
      <c r="F570" s="2">
        <f t="shared" si="91"/>
        <v>2202.8575000000001</v>
      </c>
      <c r="G570" s="3">
        <v>0</v>
      </c>
      <c r="H570">
        <v>0</v>
      </c>
      <c r="I570">
        <v>1317</v>
      </c>
      <c r="J570">
        <v>17664</v>
      </c>
      <c r="K570">
        <v>17430</v>
      </c>
      <c r="L570" s="2">
        <v>25.576875000000005</v>
      </c>
      <c r="M570" s="5">
        <v>57.900999999999996</v>
      </c>
      <c r="N570" s="1">
        <v>194.06649999999999</v>
      </c>
      <c r="O570" s="2">
        <v>3.3</v>
      </c>
      <c r="P570">
        <v>104</v>
      </c>
    </row>
    <row r="571" spans="1:16" x14ac:dyDescent="0.35">
      <c r="A571" s="4">
        <v>44228</v>
      </c>
      <c r="B571" t="s">
        <v>19</v>
      </c>
      <c r="C571" t="s">
        <v>15</v>
      </c>
      <c r="D571">
        <v>1</v>
      </c>
      <c r="E571" s="2">
        <v>2340</v>
      </c>
      <c r="F571" s="2">
        <f t="shared" si="91"/>
        <v>2202.8575000000001</v>
      </c>
      <c r="G571" s="3">
        <v>0</v>
      </c>
      <c r="H571">
        <v>0</v>
      </c>
      <c r="I571">
        <v>1317</v>
      </c>
      <c r="J571">
        <v>17664</v>
      </c>
      <c r="K571">
        <v>17430</v>
      </c>
      <c r="L571" s="2">
        <v>25.576875000000005</v>
      </c>
      <c r="M571" s="5">
        <v>57.900999999999996</v>
      </c>
      <c r="N571" s="1">
        <v>194.06649999999999</v>
      </c>
      <c r="O571" s="2">
        <v>3.3</v>
      </c>
      <c r="P571">
        <v>104</v>
      </c>
    </row>
    <row r="572" spans="1:16" x14ac:dyDescent="0.35">
      <c r="A572" s="4">
        <v>44228</v>
      </c>
      <c r="B572" t="s">
        <v>20</v>
      </c>
      <c r="C572" t="s">
        <v>10</v>
      </c>
      <c r="D572">
        <v>1</v>
      </c>
      <c r="E572" s="2">
        <f>(1850+1966+1950+1900)/4</f>
        <v>1916.5</v>
      </c>
      <c r="F572" s="2">
        <f t="shared" ref="F572:F577" si="92">(2009.67+2035+2049.33+2031.67)/4</f>
        <v>2031.4175</v>
      </c>
      <c r="G572" s="3">
        <v>0</v>
      </c>
      <c r="H572">
        <v>0</v>
      </c>
      <c r="I572">
        <v>1317</v>
      </c>
      <c r="J572">
        <v>17664</v>
      </c>
      <c r="K572">
        <v>17430</v>
      </c>
      <c r="L572" s="2">
        <v>25.576875000000005</v>
      </c>
      <c r="M572" s="5">
        <v>57.900999999999996</v>
      </c>
      <c r="N572" s="1">
        <v>194.06649999999999</v>
      </c>
      <c r="O572" s="2">
        <v>3.3</v>
      </c>
      <c r="P572">
        <v>104</v>
      </c>
    </row>
    <row r="573" spans="1:16" x14ac:dyDescent="0.35">
      <c r="A573" s="4">
        <v>44228</v>
      </c>
      <c r="B573" t="s">
        <v>20</v>
      </c>
      <c r="C573" t="s">
        <v>11</v>
      </c>
      <c r="D573">
        <v>1</v>
      </c>
      <c r="E573" s="2">
        <v>2075</v>
      </c>
      <c r="F573" s="2">
        <f t="shared" si="92"/>
        <v>2031.4175</v>
      </c>
      <c r="G573" s="3">
        <v>0</v>
      </c>
      <c r="H573">
        <v>0</v>
      </c>
      <c r="I573">
        <v>1317</v>
      </c>
      <c r="J573">
        <v>17664</v>
      </c>
      <c r="K573">
        <v>17430</v>
      </c>
      <c r="L573" s="2">
        <v>25.576875000000005</v>
      </c>
      <c r="M573" s="5">
        <v>57.900999999999996</v>
      </c>
      <c r="N573" s="1">
        <v>194.06649999999999</v>
      </c>
      <c r="O573" s="2">
        <v>3.3</v>
      </c>
      <c r="P573">
        <v>104</v>
      </c>
    </row>
    <row r="574" spans="1:16" x14ac:dyDescent="0.35">
      <c r="A574" s="4">
        <v>44228</v>
      </c>
      <c r="B574" t="s">
        <v>20</v>
      </c>
      <c r="C574" t="s">
        <v>12</v>
      </c>
      <c r="D574">
        <v>1</v>
      </c>
      <c r="E574" s="2">
        <v>1885</v>
      </c>
      <c r="F574" s="2">
        <f t="shared" si="92"/>
        <v>2031.4175</v>
      </c>
      <c r="G574" s="3">
        <v>0</v>
      </c>
      <c r="H574">
        <v>0</v>
      </c>
      <c r="I574">
        <v>1317</v>
      </c>
      <c r="J574">
        <v>17664</v>
      </c>
      <c r="K574">
        <v>17430</v>
      </c>
      <c r="L574" s="2">
        <v>25.576875000000005</v>
      </c>
      <c r="M574" s="5">
        <v>57.900999999999996</v>
      </c>
      <c r="N574" s="1">
        <v>194.06649999999999</v>
      </c>
      <c r="O574" s="2">
        <v>3.3</v>
      </c>
      <c r="P574">
        <v>104</v>
      </c>
    </row>
    <row r="575" spans="1:16" x14ac:dyDescent="0.35">
      <c r="A575" s="4">
        <v>44228</v>
      </c>
      <c r="B575" t="s">
        <v>20</v>
      </c>
      <c r="C575" t="s">
        <v>13</v>
      </c>
      <c r="D575">
        <v>1</v>
      </c>
      <c r="E575" s="2">
        <f>(2125*2+2090+2080)/4</f>
        <v>2105</v>
      </c>
      <c r="F575" s="2">
        <f t="shared" si="92"/>
        <v>2031.4175</v>
      </c>
      <c r="G575" s="3">
        <v>0</v>
      </c>
      <c r="H575">
        <v>0</v>
      </c>
      <c r="I575">
        <v>1317</v>
      </c>
      <c r="J575">
        <v>17664</v>
      </c>
      <c r="K575">
        <v>17430</v>
      </c>
      <c r="L575" s="2">
        <v>25.576875000000005</v>
      </c>
      <c r="M575" s="5">
        <v>57.900999999999996</v>
      </c>
      <c r="N575" s="1">
        <v>194.06649999999999</v>
      </c>
      <c r="O575" s="2">
        <v>3.3</v>
      </c>
      <c r="P575">
        <v>104</v>
      </c>
    </row>
    <row r="576" spans="1:16" x14ac:dyDescent="0.35">
      <c r="A576" s="4">
        <v>44228</v>
      </c>
      <c r="B576" t="s">
        <v>20</v>
      </c>
      <c r="C576" t="s">
        <v>14</v>
      </c>
      <c r="D576">
        <v>1</v>
      </c>
      <c r="E576" s="2">
        <f>(2088+2080+2125+2130)/4</f>
        <v>2105.75</v>
      </c>
      <c r="F576" s="2">
        <f t="shared" si="92"/>
        <v>2031.4175</v>
      </c>
      <c r="G576" s="3">
        <v>0</v>
      </c>
      <c r="H576">
        <v>0</v>
      </c>
      <c r="I576">
        <v>1317</v>
      </c>
      <c r="J576">
        <v>17664</v>
      </c>
      <c r="K576">
        <v>17430</v>
      </c>
      <c r="L576" s="2">
        <v>25.576875000000005</v>
      </c>
      <c r="M576" s="5">
        <v>57.900999999999996</v>
      </c>
      <c r="N576" s="1">
        <v>194.06649999999999</v>
      </c>
      <c r="O576" s="2">
        <v>3.3</v>
      </c>
      <c r="P576">
        <v>104</v>
      </c>
    </row>
    <row r="577" spans="1:16" x14ac:dyDescent="0.35">
      <c r="A577" s="4">
        <v>44228</v>
      </c>
      <c r="B577" t="s">
        <v>20</v>
      </c>
      <c r="C577" t="s">
        <v>15</v>
      </c>
      <c r="D577">
        <v>1</v>
      </c>
      <c r="E577" s="2">
        <f>2100</f>
        <v>2100</v>
      </c>
      <c r="F577" s="2">
        <f t="shared" si="92"/>
        <v>2031.4175</v>
      </c>
      <c r="G577" s="3">
        <v>0</v>
      </c>
      <c r="H577">
        <v>0</v>
      </c>
      <c r="I577">
        <v>1317</v>
      </c>
      <c r="J577">
        <v>17664</v>
      </c>
      <c r="K577">
        <v>17430</v>
      </c>
      <c r="L577" s="2">
        <v>25.576875000000005</v>
      </c>
      <c r="M577" s="5">
        <v>57.900999999999996</v>
      </c>
      <c r="N577" s="1">
        <v>194.06649999999999</v>
      </c>
      <c r="O577" s="2">
        <v>3.3</v>
      </c>
      <c r="P577">
        <v>104</v>
      </c>
    </row>
    <row r="578" spans="1:16" x14ac:dyDescent="0.35">
      <c r="A578" s="4">
        <v>44228</v>
      </c>
      <c r="B578" t="s">
        <v>21</v>
      </c>
      <c r="C578" t="s">
        <v>10</v>
      </c>
      <c r="D578">
        <v>1</v>
      </c>
      <c r="E578" s="2">
        <f>(1683+1700+1533+1650)/4</f>
        <v>1641.5</v>
      </c>
      <c r="F578" s="2">
        <f t="shared" ref="F578:F583" si="93">(1908.33+1905.17+1945.5+1943.33)/4</f>
        <v>1925.5825</v>
      </c>
      <c r="G578" s="3">
        <v>0</v>
      </c>
      <c r="H578">
        <v>0</v>
      </c>
      <c r="I578">
        <v>1317</v>
      </c>
      <c r="J578">
        <v>17664</v>
      </c>
      <c r="K578">
        <v>17430</v>
      </c>
      <c r="L578" s="2">
        <v>25.576875000000005</v>
      </c>
      <c r="M578" s="5">
        <v>57.900999999999996</v>
      </c>
      <c r="N578" s="1">
        <v>194.06649999999999</v>
      </c>
      <c r="O578" s="2">
        <v>3.3</v>
      </c>
      <c r="P578">
        <v>104</v>
      </c>
    </row>
    <row r="579" spans="1:16" x14ac:dyDescent="0.35">
      <c r="A579" s="4">
        <v>44228</v>
      </c>
      <c r="B579" t="s">
        <v>21</v>
      </c>
      <c r="C579" t="s">
        <v>11</v>
      </c>
      <c r="D579">
        <v>1</v>
      </c>
      <c r="E579" s="2">
        <v>2000</v>
      </c>
      <c r="F579" s="2">
        <f t="shared" si="93"/>
        <v>1925.5825</v>
      </c>
      <c r="G579" s="3">
        <v>0</v>
      </c>
      <c r="H579">
        <v>0</v>
      </c>
      <c r="I579">
        <v>1317</v>
      </c>
      <c r="J579">
        <v>17664</v>
      </c>
      <c r="K579">
        <v>17430</v>
      </c>
      <c r="L579" s="2">
        <v>25.576875000000005</v>
      </c>
      <c r="M579" s="5">
        <v>57.900999999999996</v>
      </c>
      <c r="N579" s="1">
        <v>194.06649999999999</v>
      </c>
      <c r="O579" s="2">
        <v>3.3</v>
      </c>
      <c r="P579">
        <v>104</v>
      </c>
    </row>
    <row r="580" spans="1:16" x14ac:dyDescent="0.35">
      <c r="A580" s="4">
        <v>44228</v>
      </c>
      <c r="B580" t="s">
        <v>21</v>
      </c>
      <c r="C580" t="s">
        <v>12</v>
      </c>
      <c r="D580">
        <v>1</v>
      </c>
      <c r="E580" s="2">
        <v>1800</v>
      </c>
      <c r="F580" s="2">
        <f t="shared" si="93"/>
        <v>1925.5825</v>
      </c>
      <c r="G580" s="3">
        <v>0</v>
      </c>
      <c r="H580">
        <v>0</v>
      </c>
      <c r="I580">
        <v>1317</v>
      </c>
      <c r="J580">
        <v>17664</v>
      </c>
      <c r="K580">
        <v>17430</v>
      </c>
      <c r="L580" s="2">
        <v>25.576875000000005</v>
      </c>
      <c r="M580" s="5">
        <v>57.900999999999996</v>
      </c>
      <c r="N580" s="1">
        <v>194.06649999999999</v>
      </c>
      <c r="O580" s="2">
        <v>3.3</v>
      </c>
      <c r="P580">
        <v>104</v>
      </c>
    </row>
    <row r="581" spans="1:16" x14ac:dyDescent="0.35">
      <c r="A581" s="4">
        <v>44228</v>
      </c>
      <c r="B581" t="s">
        <v>21</v>
      </c>
      <c r="C581" t="s">
        <v>13</v>
      </c>
      <c r="D581">
        <v>1</v>
      </c>
      <c r="E581" s="2">
        <v>2031.25</v>
      </c>
      <c r="F581" s="2">
        <f t="shared" si="93"/>
        <v>1925.5825</v>
      </c>
      <c r="G581" s="3">
        <v>0</v>
      </c>
      <c r="H581">
        <v>0</v>
      </c>
      <c r="I581">
        <v>1317</v>
      </c>
      <c r="J581">
        <v>17664</v>
      </c>
      <c r="K581">
        <v>17430</v>
      </c>
      <c r="L581" s="2">
        <v>25.576875000000005</v>
      </c>
      <c r="M581" s="5">
        <v>57.900999999999996</v>
      </c>
      <c r="N581" s="1">
        <v>194.06649999999999</v>
      </c>
      <c r="O581" s="2">
        <v>3.3</v>
      </c>
      <c r="P581">
        <v>104</v>
      </c>
    </row>
    <row r="582" spans="1:16" x14ac:dyDescent="0.35">
      <c r="A582" s="4">
        <v>44228</v>
      </c>
      <c r="B582" t="s">
        <v>21</v>
      </c>
      <c r="C582" t="s">
        <v>14</v>
      </c>
      <c r="D582">
        <v>1</v>
      </c>
      <c r="E582" s="2">
        <f>(2050+2023*2+2027)/4</f>
        <v>2030.75</v>
      </c>
      <c r="F582" s="2">
        <f t="shared" si="93"/>
        <v>1925.5825</v>
      </c>
      <c r="G582" s="3">
        <v>0</v>
      </c>
      <c r="H582">
        <v>0</v>
      </c>
      <c r="I582">
        <v>1317</v>
      </c>
      <c r="J582">
        <v>17664</v>
      </c>
      <c r="K582">
        <v>17430</v>
      </c>
      <c r="L582" s="2">
        <v>25.576875000000005</v>
      </c>
      <c r="M582" s="5">
        <v>57.900999999999996</v>
      </c>
      <c r="N582" s="1">
        <v>194.06649999999999</v>
      </c>
      <c r="O582" s="2">
        <v>3.3</v>
      </c>
      <c r="P582">
        <v>104</v>
      </c>
    </row>
    <row r="583" spans="1:16" x14ac:dyDescent="0.35">
      <c r="A583" s="4">
        <v>44228</v>
      </c>
      <c r="B583" t="s">
        <v>21</v>
      </c>
      <c r="C583" t="s">
        <v>15</v>
      </c>
      <c r="D583">
        <v>1</v>
      </c>
      <c r="E583" s="2">
        <v>2050</v>
      </c>
      <c r="F583" s="2">
        <f t="shared" si="93"/>
        <v>1925.5825</v>
      </c>
      <c r="G583" s="3">
        <v>0</v>
      </c>
      <c r="H583">
        <v>0</v>
      </c>
      <c r="I583">
        <v>1317</v>
      </c>
      <c r="J583">
        <v>17664</v>
      </c>
      <c r="K583">
        <v>17430</v>
      </c>
      <c r="L583" s="2">
        <v>25.576875000000005</v>
      </c>
      <c r="M583" s="5">
        <v>57.900999999999996</v>
      </c>
      <c r="N583" s="1">
        <v>194.06649999999999</v>
      </c>
      <c r="O583" s="2">
        <v>3.3</v>
      </c>
      <c r="P583">
        <v>104</v>
      </c>
    </row>
    <row r="584" spans="1:16" x14ac:dyDescent="0.35">
      <c r="A584" s="4">
        <v>44228</v>
      </c>
      <c r="B584" t="s">
        <v>22</v>
      </c>
      <c r="C584" t="s">
        <v>10</v>
      </c>
      <c r="D584">
        <v>0</v>
      </c>
      <c r="E584" s="2" t="s">
        <v>27</v>
      </c>
      <c r="F584" s="2">
        <f t="shared" ref="F584:F589" si="94">(1825+1800*2+1790)/4</f>
        <v>1803.75</v>
      </c>
      <c r="G584" s="3">
        <v>0</v>
      </c>
      <c r="H584">
        <v>0</v>
      </c>
      <c r="I584">
        <v>1317</v>
      </c>
      <c r="J584">
        <v>17664</v>
      </c>
      <c r="K584">
        <v>17430</v>
      </c>
      <c r="L584" s="2">
        <v>25.576875000000005</v>
      </c>
      <c r="M584" s="5">
        <v>57.900999999999996</v>
      </c>
      <c r="N584" s="1">
        <v>194.06649999999999</v>
      </c>
      <c r="O584" s="2">
        <v>3.3</v>
      </c>
      <c r="P584">
        <v>104</v>
      </c>
    </row>
    <row r="585" spans="1:16" x14ac:dyDescent="0.35">
      <c r="A585" s="4">
        <v>44228</v>
      </c>
      <c r="B585" t="s">
        <v>22</v>
      </c>
      <c r="C585" t="s">
        <v>11</v>
      </c>
      <c r="D585">
        <v>0</v>
      </c>
      <c r="E585" s="2" t="s">
        <v>27</v>
      </c>
      <c r="F585" s="2">
        <f t="shared" si="94"/>
        <v>1803.75</v>
      </c>
      <c r="G585" s="3">
        <v>0</v>
      </c>
      <c r="H585">
        <v>0</v>
      </c>
      <c r="I585">
        <v>1317</v>
      </c>
      <c r="J585">
        <v>17664</v>
      </c>
      <c r="K585">
        <v>17430</v>
      </c>
      <c r="L585" s="2">
        <v>25.576875000000005</v>
      </c>
      <c r="M585" s="5">
        <v>57.900999999999996</v>
      </c>
      <c r="N585" s="1">
        <v>194.06649999999999</v>
      </c>
      <c r="O585" s="2">
        <v>3.3</v>
      </c>
      <c r="P585">
        <v>104</v>
      </c>
    </row>
    <row r="586" spans="1:16" x14ac:dyDescent="0.35">
      <c r="A586" s="4">
        <v>44228</v>
      </c>
      <c r="B586" t="s">
        <v>22</v>
      </c>
      <c r="C586" t="s">
        <v>12</v>
      </c>
      <c r="D586">
        <v>0</v>
      </c>
      <c r="E586" s="2" t="s">
        <v>27</v>
      </c>
      <c r="F586" s="2">
        <f t="shared" si="94"/>
        <v>1803.75</v>
      </c>
      <c r="G586" s="3">
        <v>0</v>
      </c>
      <c r="H586">
        <v>0</v>
      </c>
      <c r="I586">
        <v>1317</v>
      </c>
      <c r="J586">
        <v>17664</v>
      </c>
      <c r="K586">
        <v>17430</v>
      </c>
      <c r="L586" s="2">
        <v>25.576875000000005</v>
      </c>
      <c r="M586" s="5">
        <v>57.900999999999996</v>
      </c>
      <c r="N586" s="1">
        <v>194.06649999999999</v>
      </c>
      <c r="O586" s="2">
        <v>3.3</v>
      </c>
      <c r="P586">
        <v>104</v>
      </c>
    </row>
    <row r="587" spans="1:16" x14ac:dyDescent="0.35">
      <c r="A587" s="4">
        <v>44228</v>
      </c>
      <c r="B587" t="s">
        <v>22</v>
      </c>
      <c r="C587" t="s">
        <v>13</v>
      </c>
      <c r="D587">
        <v>0</v>
      </c>
      <c r="E587" s="2" t="s">
        <v>27</v>
      </c>
      <c r="F587" s="2">
        <f t="shared" si="94"/>
        <v>1803.75</v>
      </c>
      <c r="G587" s="3">
        <v>0</v>
      </c>
      <c r="H587">
        <v>0</v>
      </c>
      <c r="I587">
        <v>1317</v>
      </c>
      <c r="J587">
        <v>17664</v>
      </c>
      <c r="K587">
        <v>17430</v>
      </c>
      <c r="L587" s="2">
        <v>25.576875000000005</v>
      </c>
      <c r="M587" s="5">
        <v>57.900999999999996</v>
      </c>
      <c r="N587" s="1">
        <v>194.06649999999999</v>
      </c>
      <c r="O587" s="2">
        <v>3.3</v>
      </c>
      <c r="P587">
        <v>104</v>
      </c>
    </row>
    <row r="588" spans="1:16" x14ac:dyDescent="0.35">
      <c r="A588" s="4">
        <v>44228</v>
      </c>
      <c r="B588" t="s">
        <v>22</v>
      </c>
      <c r="C588" t="s">
        <v>14</v>
      </c>
      <c r="D588">
        <v>1</v>
      </c>
      <c r="E588" s="2">
        <f>(1825+1800*2+1790)/4</f>
        <v>1803.75</v>
      </c>
      <c r="F588" s="2">
        <f t="shared" si="94"/>
        <v>1803.75</v>
      </c>
      <c r="G588" s="3">
        <v>0</v>
      </c>
      <c r="H588">
        <v>0</v>
      </c>
      <c r="I588">
        <v>1317</v>
      </c>
      <c r="J588">
        <v>17664</v>
      </c>
      <c r="K588">
        <v>17430</v>
      </c>
      <c r="L588" s="2">
        <v>25.576875000000005</v>
      </c>
      <c r="M588" s="5">
        <v>57.900999999999996</v>
      </c>
      <c r="N588" s="1">
        <v>194.06649999999999</v>
      </c>
      <c r="O588" s="2">
        <v>3.3</v>
      </c>
      <c r="P588">
        <v>104</v>
      </c>
    </row>
    <row r="589" spans="1:16" x14ac:dyDescent="0.35">
      <c r="A589" s="4">
        <v>44228</v>
      </c>
      <c r="B589" t="s">
        <v>22</v>
      </c>
      <c r="C589" t="s">
        <v>15</v>
      </c>
      <c r="D589">
        <v>0</v>
      </c>
      <c r="E589" s="2" t="s">
        <v>27</v>
      </c>
      <c r="F589" s="2">
        <f t="shared" si="94"/>
        <v>1803.75</v>
      </c>
      <c r="G589" s="3">
        <v>0</v>
      </c>
      <c r="H589">
        <v>0</v>
      </c>
      <c r="I589">
        <v>1317</v>
      </c>
      <c r="J589">
        <v>17664</v>
      </c>
      <c r="K589">
        <v>17430</v>
      </c>
      <c r="L589" s="2">
        <v>25.576875000000005</v>
      </c>
      <c r="M589" s="5">
        <v>57.900999999999996</v>
      </c>
      <c r="N589" s="1">
        <v>194.06649999999999</v>
      </c>
      <c r="O589" s="2">
        <v>3.3</v>
      </c>
      <c r="P589">
        <v>104</v>
      </c>
    </row>
    <row r="590" spans="1:16" x14ac:dyDescent="0.35">
      <c r="A590" s="4">
        <v>44256</v>
      </c>
      <c r="B590" t="s">
        <v>16</v>
      </c>
      <c r="C590" t="s">
        <v>10</v>
      </c>
      <c r="D590">
        <v>1</v>
      </c>
      <c r="E590" s="2">
        <f>(3033*2+2900+2966+2983)/5</f>
        <v>2983</v>
      </c>
      <c r="F590" s="2">
        <f t="shared" ref="F590:F595" si="95">(3055.25+3048.75+3029+3042+3062.5)/5</f>
        <v>3047.5</v>
      </c>
      <c r="G590" s="3">
        <v>0</v>
      </c>
      <c r="H590">
        <v>0</v>
      </c>
      <c r="I590">
        <v>1128.9000000000001</v>
      </c>
      <c r="J590">
        <v>26688</v>
      </c>
      <c r="K590">
        <v>19920</v>
      </c>
      <c r="L590" s="2">
        <v>26.118124999999999</v>
      </c>
      <c r="M590" s="5">
        <v>146.48699999999999</v>
      </c>
      <c r="N590" s="1">
        <v>196.98249999999999</v>
      </c>
      <c r="O590" s="2">
        <v>4.0999999999999996</v>
      </c>
      <c r="P590">
        <v>104</v>
      </c>
    </row>
    <row r="591" spans="1:16" x14ac:dyDescent="0.35">
      <c r="A591" s="4">
        <v>44256</v>
      </c>
      <c r="B591" t="s">
        <v>16</v>
      </c>
      <c r="C591" t="s">
        <v>11</v>
      </c>
      <c r="D591">
        <v>0</v>
      </c>
      <c r="E591" s="2" t="s">
        <v>27</v>
      </c>
      <c r="F591" s="2">
        <f t="shared" si="95"/>
        <v>3047.5</v>
      </c>
      <c r="G591" s="3">
        <v>0</v>
      </c>
      <c r="H591">
        <v>0</v>
      </c>
      <c r="I591">
        <v>1128.9000000000001</v>
      </c>
      <c r="J591">
        <v>26688</v>
      </c>
      <c r="K591">
        <v>19920</v>
      </c>
      <c r="L591" s="2">
        <v>26.118124999999999</v>
      </c>
      <c r="M591" s="5">
        <v>146.48699999999999</v>
      </c>
      <c r="N591" s="1">
        <v>196.98249999999999</v>
      </c>
      <c r="O591" s="2">
        <v>4.0999999999999996</v>
      </c>
      <c r="P591">
        <v>104</v>
      </c>
    </row>
    <row r="592" spans="1:16" x14ac:dyDescent="0.35">
      <c r="A592" s="4">
        <v>44256</v>
      </c>
      <c r="B592" t="s">
        <v>16</v>
      </c>
      <c r="C592" t="s">
        <v>12</v>
      </c>
      <c r="D592">
        <v>1</v>
      </c>
      <c r="E592" s="2">
        <v>3000</v>
      </c>
      <c r="F592" s="2">
        <f t="shared" si="95"/>
        <v>3047.5</v>
      </c>
      <c r="G592" s="3">
        <v>0</v>
      </c>
      <c r="H592">
        <v>0</v>
      </c>
      <c r="I592">
        <v>1128.9000000000001</v>
      </c>
      <c r="J592">
        <v>26688</v>
      </c>
      <c r="K592">
        <v>19920</v>
      </c>
      <c r="L592" s="2">
        <v>26.118124999999999</v>
      </c>
      <c r="M592" s="5">
        <v>146.48699999999999</v>
      </c>
      <c r="N592" s="1">
        <v>196.98249999999999</v>
      </c>
      <c r="O592" s="2">
        <v>4.0999999999999996</v>
      </c>
      <c r="P592">
        <v>104</v>
      </c>
    </row>
    <row r="593" spans="1:16" x14ac:dyDescent="0.35">
      <c r="A593" s="4">
        <v>44256</v>
      </c>
      <c r="B593" t="s">
        <v>16</v>
      </c>
      <c r="C593" t="s">
        <v>13</v>
      </c>
      <c r="D593">
        <v>1</v>
      </c>
      <c r="E593" s="2">
        <v>3240</v>
      </c>
      <c r="F593" s="2">
        <f t="shared" si="95"/>
        <v>3047.5</v>
      </c>
      <c r="G593" s="3">
        <v>0</v>
      </c>
      <c r="H593">
        <v>0</v>
      </c>
      <c r="I593">
        <v>1128.9000000000001</v>
      </c>
      <c r="J593">
        <v>26688</v>
      </c>
      <c r="K593">
        <v>19920</v>
      </c>
      <c r="L593" s="2">
        <v>26.118124999999999</v>
      </c>
      <c r="M593" s="5">
        <v>146.48699999999999</v>
      </c>
      <c r="N593" s="1">
        <v>196.98249999999999</v>
      </c>
      <c r="O593" s="2">
        <v>4.0999999999999996</v>
      </c>
      <c r="P593">
        <v>104</v>
      </c>
    </row>
    <row r="594" spans="1:16" x14ac:dyDescent="0.35">
      <c r="A594" s="4">
        <v>44256</v>
      </c>
      <c r="B594" t="s">
        <v>16</v>
      </c>
      <c r="C594" t="s">
        <v>14</v>
      </c>
      <c r="D594">
        <v>1</v>
      </c>
      <c r="E594" s="2">
        <f>(2967+2988+2950+2962+2988)/5</f>
        <v>2971</v>
      </c>
      <c r="F594" s="2">
        <f t="shared" si="95"/>
        <v>3047.5</v>
      </c>
      <c r="G594" s="3">
        <v>0</v>
      </c>
      <c r="H594">
        <v>0</v>
      </c>
      <c r="I594">
        <v>1128.9000000000001</v>
      </c>
      <c r="J594">
        <v>26688</v>
      </c>
      <c r="K594">
        <v>19920</v>
      </c>
      <c r="L594" s="2">
        <v>26.118124999999999</v>
      </c>
      <c r="M594" s="5">
        <v>146.48699999999999</v>
      </c>
      <c r="N594" s="1">
        <v>196.98249999999999</v>
      </c>
      <c r="O594" s="2">
        <v>4.0999999999999996</v>
      </c>
      <c r="P594">
        <v>104</v>
      </c>
    </row>
    <row r="595" spans="1:16" x14ac:dyDescent="0.35">
      <c r="A595" s="4">
        <v>44256</v>
      </c>
      <c r="B595" t="s">
        <v>16</v>
      </c>
      <c r="C595" t="s">
        <v>15</v>
      </c>
      <c r="D595">
        <v>0</v>
      </c>
      <c r="E595" s="2" t="s">
        <v>27</v>
      </c>
      <c r="F595" s="2">
        <f t="shared" si="95"/>
        <v>3047.5</v>
      </c>
      <c r="G595" s="3">
        <v>0</v>
      </c>
      <c r="H595">
        <v>0</v>
      </c>
      <c r="I595">
        <v>1128.9000000000001</v>
      </c>
      <c r="J595">
        <v>26688</v>
      </c>
      <c r="K595">
        <v>19920</v>
      </c>
      <c r="L595" s="2">
        <v>26.118124999999999</v>
      </c>
      <c r="M595" s="5">
        <v>146.48699999999999</v>
      </c>
      <c r="N595" s="1">
        <v>196.98249999999999</v>
      </c>
      <c r="O595" s="2">
        <v>4.0999999999999996</v>
      </c>
      <c r="P595">
        <v>104</v>
      </c>
    </row>
    <row r="596" spans="1:16" x14ac:dyDescent="0.35">
      <c r="A596" s="4">
        <v>44256</v>
      </c>
      <c r="B596" t="s">
        <v>17</v>
      </c>
      <c r="C596" t="s">
        <v>10</v>
      </c>
      <c r="D596">
        <v>1</v>
      </c>
      <c r="E596" s="2">
        <f>(2733+2600+2650+2683+2716)/5</f>
        <v>2676.4</v>
      </c>
      <c r="F596" s="2">
        <f t="shared" ref="F596:F601" si="96">(2631.2+2571.4+2580+2610+2641)/5</f>
        <v>2606.7200000000003</v>
      </c>
      <c r="G596" s="3">
        <v>0</v>
      </c>
      <c r="H596">
        <v>0</v>
      </c>
      <c r="I596">
        <v>1128.9000000000001</v>
      </c>
      <c r="J596">
        <v>26688</v>
      </c>
      <c r="K596">
        <v>19920</v>
      </c>
      <c r="L596" s="2">
        <v>26.118124999999999</v>
      </c>
      <c r="M596" s="5">
        <v>146.48699999999999</v>
      </c>
      <c r="N596" s="1">
        <v>196.98249999999999</v>
      </c>
      <c r="O596" s="2">
        <v>4.0999999999999996</v>
      </c>
      <c r="P596">
        <v>104</v>
      </c>
    </row>
    <row r="597" spans="1:16" x14ac:dyDescent="0.35">
      <c r="A597" s="4">
        <v>44256</v>
      </c>
      <c r="B597" t="s">
        <v>17</v>
      </c>
      <c r="C597" t="s">
        <v>11</v>
      </c>
      <c r="D597">
        <v>1</v>
      </c>
      <c r="E597" s="2">
        <v>2625</v>
      </c>
      <c r="F597" s="2">
        <f t="shared" si="96"/>
        <v>2606.7200000000003</v>
      </c>
      <c r="G597" s="3">
        <v>0</v>
      </c>
      <c r="H597">
        <v>0</v>
      </c>
      <c r="I597">
        <v>1128.9000000000001</v>
      </c>
      <c r="J597">
        <v>26688</v>
      </c>
      <c r="K597">
        <v>19920</v>
      </c>
      <c r="L597" s="2">
        <v>26.118124999999999</v>
      </c>
      <c r="M597" s="5">
        <v>146.48699999999999</v>
      </c>
      <c r="N597" s="1">
        <v>196.98249999999999</v>
      </c>
      <c r="O597" s="2">
        <v>4.0999999999999996</v>
      </c>
      <c r="P597">
        <v>104</v>
      </c>
    </row>
    <row r="598" spans="1:16" x14ac:dyDescent="0.35">
      <c r="A598" s="4">
        <v>44256</v>
      </c>
      <c r="B598" t="s">
        <v>17</v>
      </c>
      <c r="C598" t="s">
        <v>12</v>
      </c>
      <c r="D598">
        <v>1</v>
      </c>
      <c r="E598" s="2">
        <v>2590</v>
      </c>
      <c r="F598" s="2">
        <f t="shared" si="96"/>
        <v>2606.7200000000003</v>
      </c>
      <c r="G598" s="3">
        <v>0</v>
      </c>
      <c r="H598">
        <v>0</v>
      </c>
      <c r="I598">
        <v>1128.9000000000001</v>
      </c>
      <c r="J598">
        <v>26688</v>
      </c>
      <c r="K598">
        <v>19920</v>
      </c>
      <c r="L598" s="2">
        <v>26.118124999999999</v>
      </c>
      <c r="M598" s="5">
        <v>146.48699999999999</v>
      </c>
      <c r="N598" s="1">
        <v>196.98249999999999</v>
      </c>
      <c r="O598" s="2">
        <v>4.0999999999999996</v>
      </c>
      <c r="P598">
        <v>104</v>
      </c>
    </row>
    <row r="599" spans="1:16" x14ac:dyDescent="0.35">
      <c r="A599" s="4">
        <v>44256</v>
      </c>
      <c r="B599" t="s">
        <v>17</v>
      </c>
      <c r="C599" t="s">
        <v>13</v>
      </c>
      <c r="D599">
        <v>1</v>
      </c>
      <c r="E599" s="2">
        <f>(2500*2+2610*2+2625)/5</f>
        <v>2569</v>
      </c>
      <c r="F599" s="2">
        <f t="shared" si="96"/>
        <v>2606.7200000000003</v>
      </c>
      <c r="G599" s="3">
        <v>0</v>
      </c>
      <c r="H599">
        <v>0</v>
      </c>
      <c r="I599">
        <v>1128.9000000000001</v>
      </c>
      <c r="J599">
        <v>26688</v>
      </c>
      <c r="K599">
        <v>19920</v>
      </c>
      <c r="L599" s="2">
        <v>26.118124999999999</v>
      </c>
      <c r="M599" s="5">
        <v>146.48699999999999</v>
      </c>
      <c r="N599" s="1">
        <v>196.98249999999999</v>
      </c>
      <c r="O599" s="2">
        <v>4.0999999999999996</v>
      </c>
      <c r="P599">
        <v>104</v>
      </c>
    </row>
    <row r="600" spans="1:16" x14ac:dyDescent="0.35">
      <c r="A600" s="4">
        <v>44256</v>
      </c>
      <c r="B600" t="s">
        <v>17</v>
      </c>
      <c r="C600" t="s">
        <v>14</v>
      </c>
      <c r="D600">
        <v>1</v>
      </c>
      <c r="E600" s="2">
        <f>(2633+2567+2450+2567+2633)/5</f>
        <v>2570</v>
      </c>
      <c r="F600" s="2">
        <f t="shared" si="96"/>
        <v>2606.7200000000003</v>
      </c>
      <c r="G600" s="3">
        <v>0</v>
      </c>
      <c r="H600">
        <v>0</v>
      </c>
      <c r="I600">
        <v>1128.9000000000001</v>
      </c>
      <c r="J600">
        <v>26688</v>
      </c>
      <c r="K600">
        <v>19920</v>
      </c>
      <c r="L600" s="2">
        <v>26.118124999999999</v>
      </c>
      <c r="M600" s="5">
        <v>146.48699999999999</v>
      </c>
      <c r="N600" s="1">
        <v>196.98249999999999</v>
      </c>
      <c r="O600" s="2">
        <v>4.0999999999999996</v>
      </c>
      <c r="P600">
        <v>104</v>
      </c>
    </row>
    <row r="601" spans="1:16" x14ac:dyDescent="0.35">
      <c r="A601" s="4">
        <v>44256</v>
      </c>
      <c r="B601" t="s">
        <v>17</v>
      </c>
      <c r="C601" t="s">
        <v>15</v>
      </c>
      <c r="D601">
        <v>0</v>
      </c>
      <c r="E601" s="2" t="s">
        <v>27</v>
      </c>
      <c r="F601" s="2">
        <f t="shared" si="96"/>
        <v>2606.7200000000003</v>
      </c>
      <c r="G601" s="3">
        <v>0</v>
      </c>
      <c r="H601">
        <v>0</v>
      </c>
      <c r="I601">
        <v>1128.9000000000001</v>
      </c>
      <c r="J601">
        <v>26688</v>
      </c>
      <c r="K601">
        <v>19920</v>
      </c>
      <c r="L601" s="2">
        <v>26.118124999999999</v>
      </c>
      <c r="M601" s="5">
        <v>146.48699999999999</v>
      </c>
      <c r="N601" s="1">
        <v>196.98249999999999</v>
      </c>
      <c r="O601" s="2">
        <v>4.0999999999999996</v>
      </c>
      <c r="P601">
        <v>104</v>
      </c>
    </row>
    <row r="602" spans="1:16" x14ac:dyDescent="0.35">
      <c r="A602" s="4">
        <v>44256</v>
      </c>
      <c r="B602" t="s">
        <v>18</v>
      </c>
      <c r="C602" t="s">
        <v>10</v>
      </c>
      <c r="D602">
        <v>1</v>
      </c>
      <c r="E602" s="2">
        <f>(2516+2433+2416+2450+2466)/5</f>
        <v>2456.1999999999998</v>
      </c>
      <c r="F602" s="2">
        <f t="shared" ref="F602:F607" si="97">(2434.43+2418.14+2410.14+2412.57+2397)/5</f>
        <v>2414.4559999999997</v>
      </c>
      <c r="G602" s="3">
        <v>0</v>
      </c>
      <c r="H602">
        <v>0</v>
      </c>
      <c r="I602">
        <v>1128.9000000000001</v>
      </c>
      <c r="J602">
        <v>26688</v>
      </c>
      <c r="K602">
        <v>19920</v>
      </c>
      <c r="L602" s="2">
        <v>26.118124999999999</v>
      </c>
      <c r="M602" s="5">
        <v>146.48699999999999</v>
      </c>
      <c r="N602" s="1">
        <v>196.98249999999999</v>
      </c>
      <c r="O602" s="2">
        <v>4.0999999999999996</v>
      </c>
      <c r="P602">
        <v>104</v>
      </c>
    </row>
    <row r="603" spans="1:16" x14ac:dyDescent="0.35">
      <c r="A603" s="4">
        <v>44256</v>
      </c>
      <c r="B603" t="s">
        <v>18</v>
      </c>
      <c r="C603" t="s">
        <v>11</v>
      </c>
      <c r="D603">
        <v>1</v>
      </c>
      <c r="E603" s="2">
        <v>2525</v>
      </c>
      <c r="F603" s="2">
        <f t="shared" si="97"/>
        <v>2414.4559999999997</v>
      </c>
      <c r="G603" s="3">
        <v>0</v>
      </c>
      <c r="H603">
        <v>0</v>
      </c>
      <c r="I603">
        <v>1128.9000000000001</v>
      </c>
      <c r="J603">
        <v>26688</v>
      </c>
      <c r="K603">
        <v>19920</v>
      </c>
      <c r="L603" s="2">
        <v>26.118124999999999</v>
      </c>
      <c r="M603" s="5">
        <v>146.48699999999999</v>
      </c>
      <c r="N603" s="1">
        <v>196.98249999999999</v>
      </c>
      <c r="O603" s="2">
        <v>4.0999999999999996</v>
      </c>
      <c r="P603">
        <v>104</v>
      </c>
    </row>
    <row r="604" spans="1:16" x14ac:dyDescent="0.35">
      <c r="A604" s="4">
        <v>44256</v>
      </c>
      <c r="B604" t="s">
        <v>18</v>
      </c>
      <c r="C604" t="s">
        <v>12</v>
      </c>
      <c r="D604">
        <v>1</v>
      </c>
      <c r="E604" s="2">
        <v>2480</v>
      </c>
      <c r="F604" s="2">
        <f t="shared" si="97"/>
        <v>2414.4559999999997</v>
      </c>
      <c r="G604" s="3">
        <v>0</v>
      </c>
      <c r="H604">
        <v>0</v>
      </c>
      <c r="I604">
        <v>1128.9000000000001</v>
      </c>
      <c r="J604">
        <v>26688</v>
      </c>
      <c r="K604">
        <v>19920</v>
      </c>
      <c r="L604" s="2">
        <v>26.118124999999999</v>
      </c>
      <c r="M604" s="5">
        <v>146.48699999999999</v>
      </c>
      <c r="N604" s="1">
        <v>196.98249999999999</v>
      </c>
      <c r="O604" s="2">
        <v>4.0999999999999996</v>
      </c>
      <c r="P604">
        <v>104</v>
      </c>
    </row>
    <row r="605" spans="1:16" x14ac:dyDescent="0.35">
      <c r="A605" s="4">
        <v>44256</v>
      </c>
      <c r="B605" t="s">
        <v>18</v>
      </c>
      <c r="C605" t="s">
        <v>13</v>
      </c>
      <c r="D605">
        <v>1</v>
      </c>
      <c r="E605" s="2">
        <f>(2430*2+2425*2+2460)/5</f>
        <v>2434</v>
      </c>
      <c r="F605" s="2">
        <f t="shared" si="97"/>
        <v>2414.4559999999997</v>
      </c>
      <c r="G605" s="3">
        <v>0</v>
      </c>
      <c r="H605">
        <v>0</v>
      </c>
      <c r="I605">
        <v>1128.9000000000001</v>
      </c>
      <c r="J605">
        <v>26688</v>
      </c>
      <c r="K605">
        <v>19920</v>
      </c>
      <c r="L605" s="2">
        <v>26.118124999999999</v>
      </c>
      <c r="M605" s="5">
        <v>146.48699999999999</v>
      </c>
      <c r="N605" s="1">
        <v>196.98249999999999</v>
      </c>
      <c r="O605" s="2">
        <v>4.0999999999999996</v>
      </c>
      <c r="P605">
        <v>104</v>
      </c>
    </row>
    <row r="606" spans="1:16" x14ac:dyDescent="0.35">
      <c r="A606" s="4">
        <v>44256</v>
      </c>
      <c r="B606" t="s">
        <v>18</v>
      </c>
      <c r="C606" t="s">
        <v>14</v>
      </c>
      <c r="D606">
        <v>1</v>
      </c>
      <c r="E606" s="2">
        <f>(2450+2467+2400+2450+2438)/5</f>
        <v>2441</v>
      </c>
      <c r="F606" s="2">
        <f t="shared" si="97"/>
        <v>2414.4559999999997</v>
      </c>
      <c r="G606" s="3">
        <v>0</v>
      </c>
      <c r="H606">
        <v>0</v>
      </c>
      <c r="I606">
        <v>1128.9000000000001</v>
      </c>
      <c r="J606">
        <v>26688</v>
      </c>
      <c r="K606">
        <v>19920</v>
      </c>
      <c r="L606" s="2">
        <v>26.118124999999999</v>
      </c>
      <c r="M606" s="5">
        <v>146.48699999999999</v>
      </c>
      <c r="N606" s="1">
        <v>196.98249999999999</v>
      </c>
      <c r="O606" s="2">
        <v>4.0999999999999996</v>
      </c>
      <c r="P606">
        <v>104</v>
      </c>
    </row>
    <row r="607" spans="1:16" x14ac:dyDescent="0.35">
      <c r="A607" s="4">
        <v>44256</v>
      </c>
      <c r="B607" t="s">
        <v>18</v>
      </c>
      <c r="C607" t="s">
        <v>15</v>
      </c>
      <c r="D607">
        <v>1</v>
      </c>
      <c r="E607" s="2">
        <v>2470</v>
      </c>
      <c r="F607" s="2">
        <f t="shared" si="97"/>
        <v>2414.4559999999997</v>
      </c>
      <c r="G607" s="3">
        <v>0</v>
      </c>
      <c r="H607">
        <v>0</v>
      </c>
      <c r="I607">
        <v>1128.9000000000001</v>
      </c>
      <c r="J607">
        <v>26688</v>
      </c>
      <c r="K607">
        <v>19920</v>
      </c>
      <c r="L607" s="2">
        <v>26.118124999999999</v>
      </c>
      <c r="M607" s="5">
        <v>146.48699999999999</v>
      </c>
      <c r="N607" s="1">
        <v>196.98249999999999</v>
      </c>
      <c r="O607" s="2">
        <v>4.0999999999999996</v>
      </c>
      <c r="P607">
        <v>104</v>
      </c>
    </row>
    <row r="608" spans="1:16" x14ac:dyDescent="0.35">
      <c r="A608" s="4">
        <v>44256</v>
      </c>
      <c r="B608" t="s">
        <v>19</v>
      </c>
      <c r="C608" t="s">
        <v>10</v>
      </c>
      <c r="D608">
        <v>1</v>
      </c>
      <c r="E608" s="2">
        <f>(2250+2316+2300+2050+2283)/5</f>
        <v>2239.8000000000002</v>
      </c>
      <c r="F608" s="2">
        <f t="shared" ref="F608:F613" si="98">(2211.17+2255.43+2246+2224+2281.14)/5</f>
        <v>2243.5479999999998</v>
      </c>
      <c r="G608" s="3">
        <v>0</v>
      </c>
      <c r="H608">
        <v>0</v>
      </c>
      <c r="I608">
        <v>1128.9000000000001</v>
      </c>
      <c r="J608">
        <v>26688</v>
      </c>
      <c r="K608">
        <v>19920</v>
      </c>
      <c r="L608" s="2">
        <v>26.118124999999999</v>
      </c>
      <c r="M608" s="5">
        <v>146.48699999999999</v>
      </c>
      <c r="N608" s="1">
        <v>196.98249999999999</v>
      </c>
      <c r="O608" s="2">
        <v>4.0999999999999996</v>
      </c>
      <c r="P608">
        <v>104</v>
      </c>
    </row>
    <row r="609" spans="1:16" x14ac:dyDescent="0.35">
      <c r="A609" s="4">
        <v>44256</v>
      </c>
      <c r="B609" t="s">
        <v>19</v>
      </c>
      <c r="C609" t="s">
        <v>11</v>
      </c>
      <c r="D609">
        <v>1</v>
      </c>
      <c r="E609" s="2">
        <v>2375</v>
      </c>
      <c r="F609" s="2">
        <f t="shared" si="98"/>
        <v>2243.5479999999998</v>
      </c>
      <c r="G609" s="3">
        <v>0</v>
      </c>
      <c r="H609">
        <v>0</v>
      </c>
      <c r="I609">
        <v>1128.9000000000001</v>
      </c>
      <c r="J609">
        <v>26688</v>
      </c>
      <c r="K609">
        <v>19920</v>
      </c>
      <c r="L609" s="2">
        <v>26.118124999999999</v>
      </c>
      <c r="M609" s="5">
        <v>146.48699999999999</v>
      </c>
      <c r="N609" s="1">
        <v>196.98249999999999</v>
      </c>
      <c r="O609" s="2">
        <v>4.0999999999999996</v>
      </c>
      <c r="P609">
        <v>104</v>
      </c>
    </row>
    <row r="610" spans="1:16" x14ac:dyDescent="0.35">
      <c r="A610" s="4">
        <v>44256</v>
      </c>
      <c r="B610" t="s">
        <v>19</v>
      </c>
      <c r="C610" t="s">
        <v>12</v>
      </c>
      <c r="D610">
        <v>1</v>
      </c>
      <c r="E610" s="2">
        <v>2265</v>
      </c>
      <c r="F610" s="2">
        <f t="shared" si="98"/>
        <v>2243.5479999999998</v>
      </c>
      <c r="G610" s="3">
        <v>0</v>
      </c>
      <c r="H610">
        <v>0</v>
      </c>
      <c r="I610">
        <v>1128.9000000000001</v>
      </c>
      <c r="J610">
        <v>26688</v>
      </c>
      <c r="K610">
        <v>19920</v>
      </c>
      <c r="L610" s="2">
        <v>26.118124999999999</v>
      </c>
      <c r="M610" s="5">
        <v>146.48699999999999</v>
      </c>
      <c r="N610" s="1">
        <v>196.98249999999999</v>
      </c>
      <c r="O610" s="2">
        <v>4.0999999999999996</v>
      </c>
      <c r="P610">
        <v>104</v>
      </c>
    </row>
    <row r="611" spans="1:16" x14ac:dyDescent="0.35">
      <c r="A611" s="4">
        <v>44256</v>
      </c>
      <c r="B611" t="s">
        <v>19</v>
      </c>
      <c r="C611" t="s">
        <v>13</v>
      </c>
      <c r="D611">
        <v>1</v>
      </c>
      <c r="E611" s="2">
        <f>(2335+2340*2+2370*2)/5</f>
        <v>2351</v>
      </c>
      <c r="F611" s="2">
        <f t="shared" si="98"/>
        <v>2243.5479999999998</v>
      </c>
      <c r="G611" s="3">
        <v>0</v>
      </c>
      <c r="H611">
        <v>0</v>
      </c>
      <c r="I611">
        <v>1128.9000000000001</v>
      </c>
      <c r="J611">
        <v>26688</v>
      </c>
      <c r="K611">
        <v>19920</v>
      </c>
      <c r="L611" s="2">
        <v>26.118124999999999</v>
      </c>
      <c r="M611" s="5">
        <v>146.48699999999999</v>
      </c>
      <c r="N611" s="1">
        <v>196.98249999999999</v>
      </c>
      <c r="O611" s="2">
        <v>4.0999999999999996</v>
      </c>
      <c r="P611">
        <v>104</v>
      </c>
    </row>
    <row r="612" spans="1:16" x14ac:dyDescent="0.35">
      <c r="A612" s="4">
        <v>44256</v>
      </c>
      <c r="B612" t="s">
        <v>19</v>
      </c>
      <c r="C612" t="s">
        <v>14</v>
      </c>
      <c r="D612">
        <v>1</v>
      </c>
      <c r="E612" s="2">
        <f>(2350+2358+2317+2342*2)/5</f>
        <v>2341.8000000000002</v>
      </c>
      <c r="F612" s="2">
        <f t="shared" si="98"/>
        <v>2243.5479999999998</v>
      </c>
      <c r="G612" s="3">
        <v>0</v>
      </c>
      <c r="H612">
        <v>0</v>
      </c>
      <c r="I612">
        <v>1128.9000000000001</v>
      </c>
      <c r="J612">
        <v>26688</v>
      </c>
      <c r="K612">
        <v>19920</v>
      </c>
      <c r="L612" s="2">
        <v>26.118124999999999</v>
      </c>
      <c r="M612" s="5">
        <v>146.48699999999999</v>
      </c>
      <c r="N612" s="1">
        <v>196.98249999999999</v>
      </c>
      <c r="O612" s="2">
        <v>4.0999999999999996</v>
      </c>
      <c r="P612">
        <v>104</v>
      </c>
    </row>
    <row r="613" spans="1:16" x14ac:dyDescent="0.35">
      <c r="A613" s="4">
        <v>44256</v>
      </c>
      <c r="B613" t="s">
        <v>19</v>
      </c>
      <c r="C613" t="s">
        <v>15</v>
      </c>
      <c r="D613">
        <v>1</v>
      </c>
      <c r="E613" s="2">
        <f>(2400+2450*2+2375*2)/5</f>
        <v>2410</v>
      </c>
      <c r="F613" s="2">
        <f t="shared" si="98"/>
        <v>2243.5479999999998</v>
      </c>
      <c r="G613" s="3">
        <v>0</v>
      </c>
      <c r="H613">
        <v>0</v>
      </c>
      <c r="I613">
        <v>1128.9000000000001</v>
      </c>
      <c r="J613">
        <v>26688</v>
      </c>
      <c r="K613">
        <v>19920</v>
      </c>
      <c r="L613" s="2">
        <v>26.118124999999999</v>
      </c>
      <c r="M613" s="5">
        <v>146.48699999999999</v>
      </c>
      <c r="N613" s="1">
        <v>196.98249999999999</v>
      </c>
      <c r="O613" s="2">
        <v>4.0999999999999996</v>
      </c>
      <c r="P613">
        <v>104</v>
      </c>
    </row>
    <row r="614" spans="1:16" x14ac:dyDescent="0.35">
      <c r="A614" s="4">
        <v>44256</v>
      </c>
      <c r="B614" t="s">
        <v>20</v>
      </c>
      <c r="C614" t="s">
        <v>10</v>
      </c>
      <c r="D614">
        <v>1</v>
      </c>
      <c r="E614" s="2">
        <f>(1966+1983+2000+1866+2016)/5</f>
        <v>1966.2</v>
      </c>
      <c r="F614" s="2">
        <f t="shared" ref="F614:F619" si="99">(2090.17+2038.17+2066.33+2059.33+2045.2)/5</f>
        <v>2059.84</v>
      </c>
      <c r="G614" s="3">
        <v>0</v>
      </c>
      <c r="H614">
        <v>0</v>
      </c>
      <c r="I614">
        <v>1128.9000000000001</v>
      </c>
      <c r="J614">
        <v>26688</v>
      </c>
      <c r="K614">
        <v>19920</v>
      </c>
      <c r="L614" s="2">
        <v>26.118124999999999</v>
      </c>
      <c r="M614" s="5">
        <v>146.48699999999999</v>
      </c>
      <c r="N614" s="1">
        <v>196.98249999999999</v>
      </c>
      <c r="O614" s="2">
        <v>4.0999999999999996</v>
      </c>
      <c r="P614">
        <v>104</v>
      </c>
    </row>
    <row r="615" spans="1:16" x14ac:dyDescent="0.35">
      <c r="A615" s="4">
        <v>44256</v>
      </c>
      <c r="B615" t="s">
        <v>20</v>
      </c>
      <c r="C615" t="s">
        <v>11</v>
      </c>
      <c r="D615">
        <v>1</v>
      </c>
      <c r="E615" s="2">
        <v>2125</v>
      </c>
      <c r="F615" s="2">
        <f t="shared" si="99"/>
        <v>2059.84</v>
      </c>
      <c r="G615" s="3">
        <v>0</v>
      </c>
      <c r="H615">
        <v>0</v>
      </c>
      <c r="I615">
        <v>1128.9000000000001</v>
      </c>
      <c r="J615">
        <v>26688</v>
      </c>
      <c r="K615">
        <v>19920</v>
      </c>
      <c r="L615" s="2">
        <v>26.118124999999999</v>
      </c>
      <c r="M615" s="5">
        <v>146.48699999999999</v>
      </c>
      <c r="N615" s="1">
        <v>196.98249999999999</v>
      </c>
      <c r="O615" s="2">
        <v>4.0999999999999996</v>
      </c>
      <c r="P615">
        <v>104</v>
      </c>
    </row>
    <row r="616" spans="1:16" x14ac:dyDescent="0.35">
      <c r="A616" s="4">
        <v>44256</v>
      </c>
      <c r="B616" t="s">
        <v>20</v>
      </c>
      <c r="C616" t="s">
        <v>12</v>
      </c>
      <c r="D616">
        <v>1</v>
      </c>
      <c r="E616" s="2">
        <v>1885</v>
      </c>
      <c r="F616" s="2">
        <f t="shared" si="99"/>
        <v>2059.84</v>
      </c>
      <c r="G616" s="3">
        <v>0</v>
      </c>
      <c r="H616">
        <v>0</v>
      </c>
      <c r="I616">
        <v>1128.9000000000001</v>
      </c>
      <c r="J616">
        <v>26688</v>
      </c>
      <c r="K616">
        <v>19920</v>
      </c>
      <c r="L616" s="2">
        <v>26.118124999999999</v>
      </c>
      <c r="M616" s="5">
        <v>146.48699999999999</v>
      </c>
      <c r="N616" s="1">
        <v>196.98249999999999</v>
      </c>
      <c r="O616" s="2">
        <v>4.0999999999999996</v>
      </c>
      <c r="P616">
        <v>104</v>
      </c>
    </row>
    <row r="617" spans="1:16" x14ac:dyDescent="0.35">
      <c r="A617" s="4">
        <v>44256</v>
      </c>
      <c r="B617" t="s">
        <v>20</v>
      </c>
      <c r="C617" t="s">
        <v>13</v>
      </c>
      <c r="D617">
        <v>1</v>
      </c>
      <c r="E617" s="2">
        <v>2131</v>
      </c>
      <c r="F617" s="2">
        <f t="shared" si="99"/>
        <v>2059.84</v>
      </c>
      <c r="G617" s="3">
        <v>0</v>
      </c>
      <c r="H617">
        <v>0</v>
      </c>
      <c r="I617">
        <v>1128.9000000000001</v>
      </c>
      <c r="J617">
        <v>26688</v>
      </c>
      <c r="K617">
        <v>19920</v>
      </c>
      <c r="L617" s="2">
        <v>26.118124999999999</v>
      </c>
      <c r="M617" s="5">
        <v>146.48699999999999</v>
      </c>
      <c r="N617" s="1">
        <v>196.98249999999999</v>
      </c>
      <c r="O617" s="2">
        <v>4.0999999999999996</v>
      </c>
      <c r="P617">
        <v>104</v>
      </c>
    </row>
    <row r="618" spans="1:16" x14ac:dyDescent="0.35">
      <c r="A618" s="4">
        <v>44256</v>
      </c>
      <c r="B618" t="s">
        <v>20</v>
      </c>
      <c r="C618" t="s">
        <v>14</v>
      </c>
      <c r="D618">
        <v>1</v>
      </c>
      <c r="E618" s="2">
        <f>(2150+2138*3+2125)/5</f>
        <v>2137.8000000000002</v>
      </c>
      <c r="F618" s="2">
        <f t="shared" si="99"/>
        <v>2059.84</v>
      </c>
      <c r="G618" s="3">
        <v>0</v>
      </c>
      <c r="H618">
        <v>0</v>
      </c>
      <c r="I618">
        <v>1128.9000000000001</v>
      </c>
      <c r="J618">
        <v>26688</v>
      </c>
      <c r="K618">
        <v>19920</v>
      </c>
      <c r="L618" s="2">
        <v>26.118124999999999</v>
      </c>
      <c r="M618" s="5">
        <v>146.48699999999999</v>
      </c>
      <c r="N618" s="1">
        <v>196.98249999999999</v>
      </c>
      <c r="O618" s="2">
        <v>4.0999999999999996</v>
      </c>
      <c r="P618">
        <v>104</v>
      </c>
    </row>
    <row r="619" spans="1:16" x14ac:dyDescent="0.35">
      <c r="A619" s="4">
        <v>44256</v>
      </c>
      <c r="B619" t="s">
        <v>20</v>
      </c>
      <c r="C619" t="s">
        <v>15</v>
      </c>
      <c r="D619">
        <v>1</v>
      </c>
      <c r="E619" s="2">
        <v>2140</v>
      </c>
      <c r="F619" s="2">
        <f t="shared" si="99"/>
        <v>2059.84</v>
      </c>
      <c r="G619" s="3">
        <v>0</v>
      </c>
      <c r="H619">
        <v>0</v>
      </c>
      <c r="I619">
        <v>1128.9000000000001</v>
      </c>
      <c r="J619">
        <v>26688</v>
      </c>
      <c r="K619">
        <v>19920</v>
      </c>
      <c r="L619" s="2">
        <v>26.118124999999999</v>
      </c>
      <c r="M619" s="5">
        <v>146.48699999999999</v>
      </c>
      <c r="N619" s="1">
        <v>196.98249999999999</v>
      </c>
      <c r="O619" s="2">
        <v>4.0999999999999996</v>
      </c>
      <c r="P619">
        <v>104</v>
      </c>
    </row>
    <row r="620" spans="1:16" x14ac:dyDescent="0.35">
      <c r="A620" s="4">
        <v>44256</v>
      </c>
      <c r="B620" t="s">
        <v>21</v>
      </c>
      <c r="C620" t="s">
        <v>10</v>
      </c>
      <c r="D620">
        <v>1</v>
      </c>
      <c r="E620" s="2">
        <f>(1633+1733*2+1683+1833)/5</f>
        <v>1723</v>
      </c>
      <c r="F620" s="2">
        <f t="shared" ref="F620:F625" si="100">(1954.17+1921.6+1963.17+1962.33+2007.5)/5</f>
        <v>1961.7540000000001</v>
      </c>
      <c r="G620" s="3">
        <v>0</v>
      </c>
      <c r="H620">
        <v>0</v>
      </c>
      <c r="I620">
        <v>1128.9000000000001</v>
      </c>
      <c r="J620">
        <v>26688</v>
      </c>
      <c r="K620">
        <v>19920</v>
      </c>
      <c r="L620" s="2">
        <v>26.118124999999999</v>
      </c>
      <c r="M620" s="5">
        <v>146.48699999999999</v>
      </c>
      <c r="N620" s="1">
        <v>196.98249999999999</v>
      </c>
      <c r="O620" s="2">
        <v>4.0999999999999996</v>
      </c>
      <c r="P620">
        <v>104</v>
      </c>
    </row>
    <row r="621" spans="1:16" x14ac:dyDescent="0.35">
      <c r="A621" s="4">
        <v>44256</v>
      </c>
      <c r="B621" t="s">
        <v>21</v>
      </c>
      <c r="C621" t="s">
        <v>11</v>
      </c>
      <c r="D621">
        <v>1</v>
      </c>
      <c r="E621" s="2">
        <v>2050</v>
      </c>
      <c r="F621" s="2">
        <f t="shared" si="100"/>
        <v>1961.7540000000001</v>
      </c>
      <c r="G621" s="3">
        <v>0</v>
      </c>
      <c r="H621">
        <v>0</v>
      </c>
      <c r="I621">
        <v>1128.9000000000001</v>
      </c>
      <c r="J621">
        <v>26688</v>
      </c>
      <c r="K621">
        <v>19920</v>
      </c>
      <c r="L621" s="2">
        <v>26.118124999999999</v>
      </c>
      <c r="M621" s="5">
        <v>146.48699999999999</v>
      </c>
      <c r="N621" s="1">
        <v>196.98249999999999</v>
      </c>
      <c r="O621" s="2">
        <v>4.0999999999999996</v>
      </c>
      <c r="P621">
        <v>104</v>
      </c>
    </row>
    <row r="622" spans="1:16" x14ac:dyDescent="0.35">
      <c r="A622" s="4">
        <v>44256</v>
      </c>
      <c r="B622" t="s">
        <v>21</v>
      </c>
      <c r="C622" t="s">
        <v>12</v>
      </c>
      <c r="D622">
        <v>1</v>
      </c>
      <c r="E622" s="2">
        <v>1800</v>
      </c>
      <c r="F622" s="2">
        <f t="shared" si="100"/>
        <v>1961.7540000000001</v>
      </c>
      <c r="G622" s="3">
        <v>0</v>
      </c>
      <c r="H622">
        <v>0</v>
      </c>
      <c r="I622">
        <v>1128.9000000000001</v>
      </c>
      <c r="J622">
        <v>26688</v>
      </c>
      <c r="K622">
        <v>19920</v>
      </c>
      <c r="L622" s="2">
        <v>26.118124999999999</v>
      </c>
      <c r="M622" s="5">
        <v>146.48699999999999</v>
      </c>
      <c r="N622" s="1">
        <v>196.98249999999999</v>
      </c>
      <c r="O622" s="2">
        <v>4.0999999999999996</v>
      </c>
      <c r="P622">
        <v>104</v>
      </c>
    </row>
    <row r="623" spans="1:16" x14ac:dyDescent="0.35">
      <c r="A623" s="4">
        <v>44256</v>
      </c>
      <c r="B623" t="s">
        <v>21</v>
      </c>
      <c r="C623" t="s">
        <v>13</v>
      </c>
      <c r="D623">
        <v>1</v>
      </c>
      <c r="E623" s="2">
        <v>2078</v>
      </c>
      <c r="F623" s="2">
        <f t="shared" si="100"/>
        <v>1961.7540000000001</v>
      </c>
      <c r="G623" s="3">
        <v>0</v>
      </c>
      <c r="H623">
        <v>0</v>
      </c>
      <c r="I623">
        <v>1128.9000000000001</v>
      </c>
      <c r="J623">
        <v>26688</v>
      </c>
      <c r="K623">
        <v>19920</v>
      </c>
      <c r="L623" s="2">
        <v>26.118124999999999</v>
      </c>
      <c r="M623" s="5">
        <v>146.48699999999999</v>
      </c>
      <c r="N623" s="1">
        <v>196.98249999999999</v>
      </c>
      <c r="O623" s="2">
        <v>4.0999999999999996</v>
      </c>
      <c r="P623">
        <v>104</v>
      </c>
    </row>
    <row r="624" spans="1:16" x14ac:dyDescent="0.35">
      <c r="A624" s="4">
        <v>44256</v>
      </c>
      <c r="B624" t="s">
        <v>21</v>
      </c>
      <c r="C624" t="s">
        <v>14</v>
      </c>
      <c r="D624">
        <v>1</v>
      </c>
      <c r="E624" s="2">
        <f>(2050+2046+2042+2071+2092)/5</f>
        <v>2060.1999999999998</v>
      </c>
      <c r="F624" s="2">
        <f t="shared" si="100"/>
        <v>1961.7540000000001</v>
      </c>
      <c r="G624" s="3">
        <v>0</v>
      </c>
      <c r="H624">
        <v>0</v>
      </c>
      <c r="I624">
        <v>1128.9000000000001</v>
      </c>
      <c r="J624">
        <v>26688</v>
      </c>
      <c r="K624">
        <v>19920</v>
      </c>
      <c r="L624" s="2">
        <v>26.118124999999999</v>
      </c>
      <c r="M624" s="5">
        <v>146.48699999999999</v>
      </c>
      <c r="N624" s="1">
        <v>196.98249999999999</v>
      </c>
      <c r="O624" s="2">
        <v>4.0999999999999996</v>
      </c>
      <c r="P624">
        <v>104</v>
      </c>
    </row>
    <row r="625" spans="1:16" x14ac:dyDescent="0.35">
      <c r="A625" s="4">
        <v>44256</v>
      </c>
      <c r="B625" t="s">
        <v>21</v>
      </c>
      <c r="C625" t="s">
        <v>15</v>
      </c>
      <c r="D625">
        <v>1</v>
      </c>
      <c r="E625" s="2">
        <v>2090</v>
      </c>
      <c r="F625" s="2">
        <f t="shared" si="100"/>
        <v>1961.7540000000001</v>
      </c>
      <c r="G625" s="3">
        <v>0</v>
      </c>
      <c r="H625">
        <v>0</v>
      </c>
      <c r="I625">
        <v>1128.9000000000001</v>
      </c>
      <c r="J625">
        <v>26688</v>
      </c>
      <c r="K625">
        <v>19920</v>
      </c>
      <c r="L625" s="2">
        <v>26.118124999999999</v>
      </c>
      <c r="M625" s="5">
        <v>146.48699999999999</v>
      </c>
      <c r="N625" s="1">
        <v>196.98249999999999</v>
      </c>
      <c r="O625" s="2">
        <v>4.0999999999999996</v>
      </c>
      <c r="P625">
        <v>104</v>
      </c>
    </row>
    <row r="626" spans="1:16" x14ac:dyDescent="0.35">
      <c r="A626" s="4">
        <v>44256</v>
      </c>
      <c r="B626" t="s">
        <v>22</v>
      </c>
      <c r="C626" t="s">
        <v>10</v>
      </c>
      <c r="D626">
        <v>0</v>
      </c>
      <c r="E626" s="2" t="s">
        <v>27</v>
      </c>
      <c r="F626" s="2">
        <f t="shared" ref="F626:F631" si="101">(1850+1862*2+1875)/5</f>
        <v>1489.8</v>
      </c>
      <c r="G626" s="3">
        <v>0</v>
      </c>
      <c r="H626">
        <v>0</v>
      </c>
      <c r="I626">
        <v>1128.9000000000001</v>
      </c>
      <c r="J626">
        <v>26688</v>
      </c>
      <c r="K626">
        <v>19920</v>
      </c>
      <c r="L626" s="2">
        <v>26.118124999999999</v>
      </c>
      <c r="M626" s="5">
        <v>146.48699999999999</v>
      </c>
      <c r="N626" s="1">
        <v>196.98249999999999</v>
      </c>
      <c r="O626" s="2">
        <v>4.0999999999999996</v>
      </c>
      <c r="P626">
        <v>104</v>
      </c>
    </row>
    <row r="627" spans="1:16" x14ac:dyDescent="0.35">
      <c r="A627" s="4">
        <v>44256</v>
      </c>
      <c r="B627" t="s">
        <v>22</v>
      </c>
      <c r="C627" t="s">
        <v>11</v>
      </c>
      <c r="D627">
        <v>0</v>
      </c>
      <c r="E627" s="2" t="s">
        <v>27</v>
      </c>
      <c r="F627" s="2">
        <f t="shared" si="101"/>
        <v>1489.8</v>
      </c>
      <c r="G627" s="3">
        <v>0</v>
      </c>
      <c r="H627">
        <v>0</v>
      </c>
      <c r="I627">
        <v>1128.9000000000001</v>
      </c>
      <c r="J627">
        <v>26688</v>
      </c>
      <c r="K627">
        <v>19920</v>
      </c>
      <c r="L627" s="2">
        <v>26.118124999999999</v>
      </c>
      <c r="M627" s="5">
        <v>146.48699999999999</v>
      </c>
      <c r="N627" s="1">
        <v>196.98249999999999</v>
      </c>
      <c r="O627" s="2">
        <v>4.0999999999999996</v>
      </c>
      <c r="P627">
        <v>104</v>
      </c>
    </row>
    <row r="628" spans="1:16" x14ac:dyDescent="0.35">
      <c r="A628" s="4">
        <v>44256</v>
      </c>
      <c r="B628" t="s">
        <v>22</v>
      </c>
      <c r="C628" t="s">
        <v>12</v>
      </c>
      <c r="D628">
        <v>0</v>
      </c>
      <c r="E628" s="2" t="s">
        <v>27</v>
      </c>
      <c r="F628" s="2">
        <f t="shared" si="101"/>
        <v>1489.8</v>
      </c>
      <c r="G628" s="3">
        <v>0</v>
      </c>
      <c r="H628">
        <v>0</v>
      </c>
      <c r="I628">
        <v>1128.9000000000001</v>
      </c>
      <c r="J628">
        <v>26688</v>
      </c>
      <c r="K628">
        <v>19920</v>
      </c>
      <c r="L628" s="2">
        <v>26.118124999999999</v>
      </c>
      <c r="M628" s="5">
        <v>146.48699999999999</v>
      </c>
      <c r="N628" s="1">
        <v>196.98249999999999</v>
      </c>
      <c r="O628" s="2">
        <v>4.0999999999999996</v>
      </c>
      <c r="P628">
        <v>104</v>
      </c>
    </row>
    <row r="629" spans="1:16" x14ac:dyDescent="0.35">
      <c r="A629" s="4">
        <v>44256</v>
      </c>
      <c r="B629" t="s">
        <v>22</v>
      </c>
      <c r="C629" t="s">
        <v>13</v>
      </c>
      <c r="D629">
        <v>0</v>
      </c>
      <c r="E629" s="2" t="s">
        <v>27</v>
      </c>
      <c r="F629" s="2">
        <f t="shared" si="101"/>
        <v>1489.8</v>
      </c>
      <c r="G629" s="3">
        <v>0</v>
      </c>
      <c r="H629">
        <v>0</v>
      </c>
      <c r="I629">
        <v>1128.9000000000001</v>
      </c>
      <c r="J629">
        <v>26688</v>
      </c>
      <c r="K629">
        <v>19920</v>
      </c>
      <c r="L629" s="2">
        <v>26.118124999999999</v>
      </c>
      <c r="M629" s="5">
        <v>146.48699999999999</v>
      </c>
      <c r="N629" s="1">
        <v>196.98249999999999</v>
      </c>
      <c r="O629" s="2">
        <v>4.0999999999999996</v>
      </c>
      <c r="P629">
        <v>104</v>
      </c>
    </row>
    <row r="630" spans="1:16" x14ac:dyDescent="0.35">
      <c r="A630" s="4">
        <v>44256</v>
      </c>
      <c r="B630" t="s">
        <v>22</v>
      </c>
      <c r="C630" t="s">
        <v>14</v>
      </c>
      <c r="D630">
        <v>1</v>
      </c>
      <c r="E630" s="2">
        <f>(1850+1862*2+1875)/5</f>
        <v>1489.8</v>
      </c>
      <c r="F630" s="2">
        <f t="shared" si="101"/>
        <v>1489.8</v>
      </c>
      <c r="G630" s="3">
        <v>0</v>
      </c>
      <c r="H630">
        <v>0</v>
      </c>
      <c r="I630">
        <v>1128.9000000000001</v>
      </c>
      <c r="J630">
        <v>26688</v>
      </c>
      <c r="K630">
        <v>19920</v>
      </c>
      <c r="L630" s="2">
        <v>26.118124999999999</v>
      </c>
      <c r="M630" s="5">
        <v>146.48699999999999</v>
      </c>
      <c r="N630" s="1">
        <v>196.98249999999999</v>
      </c>
      <c r="O630" s="2">
        <v>4.0999999999999996</v>
      </c>
      <c r="P630">
        <v>104</v>
      </c>
    </row>
    <row r="631" spans="1:16" x14ac:dyDescent="0.35">
      <c r="A631" s="4">
        <v>44256</v>
      </c>
      <c r="B631" t="s">
        <v>22</v>
      </c>
      <c r="C631" t="s">
        <v>15</v>
      </c>
      <c r="D631">
        <v>0</v>
      </c>
      <c r="E631" s="2" t="s">
        <v>27</v>
      </c>
      <c r="F631" s="2">
        <f t="shared" si="101"/>
        <v>1489.8</v>
      </c>
      <c r="G631" s="3">
        <v>0</v>
      </c>
      <c r="H631">
        <v>0</v>
      </c>
      <c r="I631">
        <v>1128.9000000000001</v>
      </c>
      <c r="J631">
        <v>26688</v>
      </c>
      <c r="K631">
        <v>19920</v>
      </c>
      <c r="L631" s="2">
        <v>26.118124999999999</v>
      </c>
      <c r="M631" s="5">
        <v>146.48699999999999</v>
      </c>
      <c r="N631" s="1">
        <v>196.98249999999999</v>
      </c>
      <c r="O631" s="2">
        <v>4.0999999999999996</v>
      </c>
      <c r="P631">
        <v>104</v>
      </c>
    </row>
    <row r="632" spans="1:16" x14ac:dyDescent="0.35">
      <c r="A632" s="4">
        <v>44287</v>
      </c>
      <c r="B632" t="s">
        <v>16</v>
      </c>
      <c r="C632" t="s">
        <v>10</v>
      </c>
      <c r="D632">
        <v>1</v>
      </c>
      <c r="E632" s="2">
        <v>3025</v>
      </c>
      <c r="F632" s="2">
        <f>(3062.5+3012.5+3041.67)/3</f>
        <v>3038.89</v>
      </c>
      <c r="G632" s="3">
        <v>1</v>
      </c>
      <c r="H632">
        <v>1185</v>
      </c>
      <c r="I632">
        <v>752.6</v>
      </c>
      <c r="J632">
        <v>22410</v>
      </c>
      <c r="K632">
        <v>19920</v>
      </c>
      <c r="L632" s="2">
        <v>27.244375000000002</v>
      </c>
      <c r="M632" s="5">
        <v>130.38149999999999</v>
      </c>
      <c r="N632" s="1">
        <v>197.423</v>
      </c>
      <c r="O632" s="2">
        <v>3.9</v>
      </c>
      <c r="P632">
        <v>104</v>
      </c>
    </row>
    <row r="633" spans="1:16" x14ac:dyDescent="0.35">
      <c r="A633" s="4">
        <v>44287</v>
      </c>
      <c r="B633" t="s">
        <v>16</v>
      </c>
      <c r="C633" t="s">
        <v>11</v>
      </c>
      <c r="D633">
        <v>0</v>
      </c>
      <c r="E633" s="2" t="s">
        <v>27</v>
      </c>
      <c r="F633" s="2">
        <f t="shared" ref="F633:F637" si="102">(3062.5+3012.5+3041.67)/3</f>
        <v>3038.89</v>
      </c>
      <c r="G633" s="3">
        <v>1</v>
      </c>
      <c r="H633">
        <v>1185</v>
      </c>
      <c r="I633">
        <v>752.6</v>
      </c>
      <c r="J633">
        <v>22410</v>
      </c>
      <c r="K633">
        <v>19920</v>
      </c>
      <c r="L633" s="2">
        <v>27.244375000000002</v>
      </c>
      <c r="M633" s="5">
        <v>130.38149999999999</v>
      </c>
      <c r="N633" s="1">
        <v>197.423</v>
      </c>
      <c r="O633" s="2">
        <v>3.9</v>
      </c>
      <c r="P633">
        <v>104</v>
      </c>
    </row>
    <row r="634" spans="1:16" x14ac:dyDescent="0.35">
      <c r="A634" s="4">
        <v>44287</v>
      </c>
      <c r="B634" t="s">
        <v>16</v>
      </c>
      <c r="C634" t="s">
        <v>12</v>
      </c>
      <c r="D634">
        <v>1</v>
      </c>
      <c r="E634" s="2">
        <v>3000</v>
      </c>
      <c r="F634" s="2">
        <f t="shared" si="102"/>
        <v>3038.89</v>
      </c>
      <c r="G634" s="3">
        <v>1</v>
      </c>
      <c r="H634">
        <v>1185</v>
      </c>
      <c r="I634">
        <v>752.6</v>
      </c>
      <c r="J634">
        <v>22410</v>
      </c>
      <c r="K634">
        <v>19920</v>
      </c>
      <c r="L634" s="2">
        <v>27.244375000000002</v>
      </c>
      <c r="M634" s="5">
        <v>130.38149999999999</v>
      </c>
      <c r="N634" s="1">
        <v>197.423</v>
      </c>
      <c r="O634" s="2">
        <v>3.9</v>
      </c>
      <c r="P634">
        <v>104</v>
      </c>
    </row>
    <row r="635" spans="1:16" x14ac:dyDescent="0.35">
      <c r="A635" s="4">
        <v>44287</v>
      </c>
      <c r="B635" t="s">
        <v>16</v>
      </c>
      <c r="C635" t="s">
        <v>13</v>
      </c>
      <c r="D635">
        <v>1</v>
      </c>
      <c r="E635" s="2">
        <v>3125</v>
      </c>
      <c r="F635" s="2">
        <f t="shared" si="102"/>
        <v>3038.89</v>
      </c>
      <c r="G635" s="3">
        <v>1</v>
      </c>
      <c r="H635">
        <v>1185</v>
      </c>
      <c r="I635">
        <v>752.6</v>
      </c>
      <c r="J635">
        <v>22410</v>
      </c>
      <c r="K635">
        <v>19920</v>
      </c>
      <c r="L635" s="2">
        <v>27.244375000000002</v>
      </c>
      <c r="M635" s="5">
        <v>130.38149999999999</v>
      </c>
      <c r="N635" s="1">
        <v>197.423</v>
      </c>
      <c r="O635" s="2">
        <v>3.9</v>
      </c>
      <c r="P635">
        <v>104</v>
      </c>
    </row>
    <row r="636" spans="1:16" x14ac:dyDescent="0.35">
      <c r="A636" s="4">
        <v>44287</v>
      </c>
      <c r="B636" t="s">
        <v>16</v>
      </c>
      <c r="C636" t="s">
        <v>14</v>
      </c>
      <c r="D636">
        <v>1</v>
      </c>
      <c r="E636" s="2">
        <v>3000</v>
      </c>
      <c r="F636" s="2">
        <f t="shared" si="102"/>
        <v>3038.89</v>
      </c>
      <c r="G636" s="3">
        <v>1</v>
      </c>
      <c r="H636">
        <v>1185</v>
      </c>
      <c r="I636">
        <v>752.6</v>
      </c>
      <c r="J636">
        <v>22410</v>
      </c>
      <c r="K636">
        <v>19920</v>
      </c>
      <c r="L636" s="2">
        <v>27.244375000000002</v>
      </c>
      <c r="M636" s="5">
        <v>130.38149999999999</v>
      </c>
      <c r="N636" s="1">
        <v>197.423</v>
      </c>
      <c r="O636" s="2">
        <v>3.9</v>
      </c>
      <c r="P636">
        <v>104</v>
      </c>
    </row>
    <row r="637" spans="1:16" x14ac:dyDescent="0.35">
      <c r="A637" s="4">
        <v>44287</v>
      </c>
      <c r="B637" t="s">
        <v>16</v>
      </c>
      <c r="C637" t="s">
        <v>15</v>
      </c>
      <c r="D637">
        <v>0</v>
      </c>
      <c r="E637" s="2" t="s">
        <v>27</v>
      </c>
      <c r="F637" s="2">
        <f t="shared" si="102"/>
        <v>3038.89</v>
      </c>
      <c r="G637" s="3">
        <v>1</v>
      </c>
      <c r="H637">
        <v>1185</v>
      </c>
      <c r="I637">
        <v>752.6</v>
      </c>
      <c r="J637">
        <v>22410</v>
      </c>
      <c r="K637">
        <v>19920</v>
      </c>
      <c r="L637" s="2">
        <v>27.244375000000002</v>
      </c>
      <c r="M637" s="5">
        <v>130.38149999999999</v>
      </c>
      <c r="N637" s="1">
        <v>197.423</v>
      </c>
      <c r="O637" s="2">
        <v>3.9</v>
      </c>
      <c r="P637">
        <v>104</v>
      </c>
    </row>
    <row r="638" spans="1:16" x14ac:dyDescent="0.35">
      <c r="A638" s="4">
        <v>44287</v>
      </c>
      <c r="B638" t="s">
        <v>17</v>
      </c>
      <c r="C638" t="s">
        <v>10</v>
      </c>
      <c r="D638">
        <v>1</v>
      </c>
      <c r="E638" s="2">
        <v>2699</v>
      </c>
      <c r="F638" s="2">
        <f t="shared" ref="F638:F643" si="103">(2641+2631.2+2610)/3</f>
        <v>2627.4</v>
      </c>
      <c r="G638" s="3">
        <v>1</v>
      </c>
      <c r="H638">
        <v>1185</v>
      </c>
      <c r="I638">
        <v>752.6</v>
      </c>
      <c r="J638">
        <v>22410</v>
      </c>
      <c r="K638">
        <v>19920</v>
      </c>
      <c r="L638" s="2">
        <v>27.244375000000002</v>
      </c>
      <c r="M638" s="5">
        <v>130.38149999999999</v>
      </c>
      <c r="N638" s="1">
        <v>197.423</v>
      </c>
      <c r="O638" s="2">
        <v>3.9</v>
      </c>
      <c r="P638">
        <v>104</v>
      </c>
    </row>
    <row r="639" spans="1:16" x14ac:dyDescent="0.35">
      <c r="A639" s="4">
        <v>44287</v>
      </c>
      <c r="B639" t="s">
        <v>17</v>
      </c>
      <c r="C639" t="s">
        <v>11</v>
      </c>
      <c r="D639">
        <v>1</v>
      </c>
      <c r="E639" s="2">
        <v>2633</v>
      </c>
      <c r="F639" s="2">
        <f t="shared" si="103"/>
        <v>2627.4</v>
      </c>
      <c r="G639" s="3">
        <v>1</v>
      </c>
      <c r="H639">
        <v>1185</v>
      </c>
      <c r="I639">
        <v>752.6</v>
      </c>
      <c r="J639">
        <v>22410</v>
      </c>
      <c r="K639">
        <v>19920</v>
      </c>
      <c r="L639" s="2">
        <v>27.244375000000002</v>
      </c>
      <c r="M639" s="5">
        <v>130.38149999999999</v>
      </c>
      <c r="N639" s="1">
        <v>197.423</v>
      </c>
      <c r="O639" s="2">
        <v>3.9</v>
      </c>
      <c r="P639">
        <v>104</v>
      </c>
    </row>
    <row r="640" spans="1:16" x14ac:dyDescent="0.35">
      <c r="A640" s="4">
        <v>44287</v>
      </c>
      <c r="B640" t="s">
        <v>17</v>
      </c>
      <c r="C640" t="s">
        <v>12</v>
      </c>
      <c r="D640">
        <v>1</v>
      </c>
      <c r="E640" s="2">
        <v>2590</v>
      </c>
      <c r="F640" s="2">
        <f t="shared" si="103"/>
        <v>2627.4</v>
      </c>
      <c r="G640" s="3">
        <v>1</v>
      </c>
      <c r="H640">
        <v>1185</v>
      </c>
      <c r="I640">
        <v>752.6</v>
      </c>
      <c r="J640">
        <v>22410</v>
      </c>
      <c r="K640">
        <v>19920</v>
      </c>
      <c r="L640" s="2">
        <v>27.244375000000002</v>
      </c>
      <c r="M640" s="5">
        <v>130.38149999999999</v>
      </c>
      <c r="N640" s="1">
        <v>197.423</v>
      </c>
      <c r="O640" s="2">
        <v>3.9</v>
      </c>
      <c r="P640">
        <v>104</v>
      </c>
    </row>
    <row r="641" spans="1:16" x14ac:dyDescent="0.35">
      <c r="A641" s="4">
        <v>44287</v>
      </c>
      <c r="B641" t="s">
        <v>17</v>
      </c>
      <c r="C641" t="s">
        <v>13</v>
      </c>
      <c r="D641">
        <v>1</v>
      </c>
      <c r="E641" s="2">
        <v>2616</v>
      </c>
      <c r="F641" s="2">
        <f t="shared" si="103"/>
        <v>2627.4</v>
      </c>
      <c r="G641" s="3">
        <v>1</v>
      </c>
      <c r="H641">
        <v>1185</v>
      </c>
      <c r="I641">
        <v>752.6</v>
      </c>
      <c r="J641">
        <v>22410</v>
      </c>
      <c r="K641">
        <v>19920</v>
      </c>
      <c r="L641" s="2">
        <v>27.244375000000002</v>
      </c>
      <c r="M641" s="5">
        <v>130.38149999999999</v>
      </c>
      <c r="N641" s="1">
        <v>197.423</v>
      </c>
      <c r="O641" s="2">
        <v>3.9</v>
      </c>
      <c r="P641">
        <v>104</v>
      </c>
    </row>
    <row r="642" spans="1:16" x14ac:dyDescent="0.35">
      <c r="A642" s="4">
        <v>44287</v>
      </c>
      <c r="B642" t="s">
        <v>17</v>
      </c>
      <c r="C642" t="s">
        <v>14</v>
      </c>
      <c r="D642">
        <v>1</v>
      </c>
      <c r="E642" s="2">
        <v>2627.67</v>
      </c>
      <c r="F642" s="2">
        <f t="shared" si="103"/>
        <v>2627.4</v>
      </c>
      <c r="G642" s="3">
        <v>1</v>
      </c>
      <c r="H642">
        <v>1185</v>
      </c>
      <c r="I642">
        <v>752.6</v>
      </c>
      <c r="J642">
        <v>22410</v>
      </c>
      <c r="K642">
        <v>19920</v>
      </c>
      <c r="L642" s="2">
        <v>27.244375000000002</v>
      </c>
      <c r="M642" s="5">
        <v>130.38149999999999</v>
      </c>
      <c r="N642" s="1">
        <v>197.423</v>
      </c>
      <c r="O642" s="2">
        <v>3.9</v>
      </c>
      <c r="P642">
        <v>104</v>
      </c>
    </row>
    <row r="643" spans="1:16" x14ac:dyDescent="0.35">
      <c r="A643" s="4">
        <v>44287</v>
      </c>
      <c r="B643" t="s">
        <v>17</v>
      </c>
      <c r="C643" t="s">
        <v>15</v>
      </c>
      <c r="D643">
        <v>0</v>
      </c>
      <c r="E643" s="2" t="s">
        <v>27</v>
      </c>
      <c r="F643" s="2">
        <f t="shared" si="103"/>
        <v>2627.4</v>
      </c>
      <c r="G643" s="3">
        <v>1</v>
      </c>
      <c r="H643">
        <v>1185</v>
      </c>
      <c r="I643">
        <v>752.6</v>
      </c>
      <c r="J643">
        <v>22410</v>
      </c>
      <c r="K643">
        <v>19920</v>
      </c>
      <c r="L643" s="2">
        <v>27.244375000000002</v>
      </c>
      <c r="M643" s="5">
        <v>130.38149999999999</v>
      </c>
      <c r="N643" s="1">
        <v>197.423</v>
      </c>
      <c r="O643" s="2">
        <v>3.9</v>
      </c>
      <c r="P643">
        <v>104</v>
      </c>
    </row>
    <row r="644" spans="1:16" x14ac:dyDescent="0.35">
      <c r="A644" s="4">
        <v>44287</v>
      </c>
      <c r="B644" t="s">
        <v>18</v>
      </c>
      <c r="C644" t="s">
        <v>10</v>
      </c>
      <c r="D644">
        <v>1</v>
      </c>
      <c r="E644" s="2">
        <f>(2466+2483)/2</f>
        <v>2474.5</v>
      </c>
      <c r="F644" s="2">
        <f t="shared" ref="F644:F649" si="104">(2468.29+2456.57+2412)/3</f>
        <v>2445.6200000000003</v>
      </c>
      <c r="G644" s="3">
        <v>1</v>
      </c>
      <c r="H644">
        <v>1185</v>
      </c>
      <c r="I644">
        <v>752.6</v>
      </c>
      <c r="J644">
        <v>22410</v>
      </c>
      <c r="K644">
        <v>19920</v>
      </c>
      <c r="L644" s="2">
        <v>27.244375000000002</v>
      </c>
      <c r="M644" s="5">
        <v>130.38149999999999</v>
      </c>
      <c r="N644" s="1">
        <v>197.423</v>
      </c>
      <c r="O644" s="2">
        <v>3.9</v>
      </c>
      <c r="P644">
        <v>104</v>
      </c>
    </row>
    <row r="645" spans="1:16" x14ac:dyDescent="0.35">
      <c r="A645" s="4">
        <v>44287</v>
      </c>
      <c r="B645" t="s">
        <v>18</v>
      </c>
      <c r="C645" t="s">
        <v>11</v>
      </c>
      <c r="D645">
        <v>1</v>
      </c>
      <c r="E645" s="2">
        <v>2516.67</v>
      </c>
      <c r="F645" s="2">
        <f t="shared" si="104"/>
        <v>2445.6200000000003</v>
      </c>
      <c r="G645" s="3">
        <v>1</v>
      </c>
      <c r="H645">
        <v>1185</v>
      </c>
      <c r="I645">
        <v>752.6</v>
      </c>
      <c r="J645">
        <v>22410</v>
      </c>
      <c r="K645">
        <v>19920</v>
      </c>
      <c r="L645" s="2">
        <v>27.244375000000002</v>
      </c>
      <c r="M645" s="5">
        <v>130.38149999999999</v>
      </c>
      <c r="N645" s="1">
        <v>197.423</v>
      </c>
      <c r="O645" s="2">
        <v>3.9</v>
      </c>
      <c r="P645">
        <v>104</v>
      </c>
    </row>
    <row r="646" spans="1:16" x14ac:dyDescent="0.35">
      <c r="A646" s="4">
        <v>44287</v>
      </c>
      <c r="B646" t="s">
        <v>18</v>
      </c>
      <c r="C646" t="s">
        <v>12</v>
      </c>
      <c r="D646">
        <v>1</v>
      </c>
      <c r="E646" s="2">
        <v>2480</v>
      </c>
      <c r="F646" s="2">
        <f t="shared" si="104"/>
        <v>2445.6200000000003</v>
      </c>
      <c r="G646" s="3">
        <v>1</v>
      </c>
      <c r="H646">
        <v>1185</v>
      </c>
      <c r="I646">
        <v>752.6</v>
      </c>
      <c r="J646">
        <v>22410</v>
      </c>
      <c r="K646">
        <v>19920</v>
      </c>
      <c r="L646" s="2">
        <v>27.244375000000002</v>
      </c>
      <c r="M646" s="5">
        <v>130.38149999999999</v>
      </c>
      <c r="N646" s="1">
        <v>197.423</v>
      </c>
      <c r="O646" s="2">
        <v>3.9</v>
      </c>
      <c r="P646">
        <v>104</v>
      </c>
    </row>
    <row r="647" spans="1:16" x14ac:dyDescent="0.35">
      <c r="A647" s="4">
        <v>44287</v>
      </c>
      <c r="B647" t="s">
        <v>18</v>
      </c>
      <c r="C647" t="s">
        <v>13</v>
      </c>
      <c r="D647">
        <v>1</v>
      </c>
      <c r="E647" s="2">
        <v>2508.33</v>
      </c>
      <c r="F647" s="2">
        <f t="shared" si="104"/>
        <v>2445.6200000000003</v>
      </c>
      <c r="G647" s="3">
        <v>1</v>
      </c>
      <c r="H647">
        <v>1185</v>
      </c>
      <c r="I647">
        <v>752.6</v>
      </c>
      <c r="J647">
        <v>22410</v>
      </c>
      <c r="K647">
        <v>19920</v>
      </c>
      <c r="L647" s="2">
        <v>27.244375000000002</v>
      </c>
      <c r="M647" s="5">
        <v>130.38149999999999</v>
      </c>
      <c r="N647" s="1">
        <v>197.423</v>
      </c>
      <c r="O647" s="2">
        <v>3.9</v>
      </c>
      <c r="P647">
        <v>104</v>
      </c>
    </row>
    <row r="648" spans="1:16" x14ac:dyDescent="0.35">
      <c r="A648" s="4">
        <v>44287</v>
      </c>
      <c r="B648" t="s">
        <v>18</v>
      </c>
      <c r="C648" t="s">
        <v>14</v>
      </c>
      <c r="D648">
        <v>1</v>
      </c>
      <c r="E648" s="2">
        <f>(2550+2475+2467)/3</f>
        <v>2497.3333333333335</v>
      </c>
      <c r="F648" s="2">
        <f t="shared" si="104"/>
        <v>2445.6200000000003</v>
      </c>
      <c r="G648" s="3">
        <v>1</v>
      </c>
      <c r="H648">
        <v>1185</v>
      </c>
      <c r="I648">
        <v>752.6</v>
      </c>
      <c r="J648">
        <v>22410</v>
      </c>
      <c r="K648">
        <v>19920</v>
      </c>
      <c r="L648" s="2">
        <v>27.244375000000002</v>
      </c>
      <c r="M648" s="5">
        <v>130.38149999999999</v>
      </c>
      <c r="N648" s="1">
        <v>197.423</v>
      </c>
      <c r="O648" s="2">
        <v>3.9</v>
      </c>
      <c r="P648">
        <v>104</v>
      </c>
    </row>
    <row r="649" spans="1:16" x14ac:dyDescent="0.35">
      <c r="A649" s="4">
        <v>44287</v>
      </c>
      <c r="B649" t="s">
        <v>18</v>
      </c>
      <c r="C649" t="s">
        <v>15</v>
      </c>
      <c r="D649">
        <v>1</v>
      </c>
      <c r="E649" s="2">
        <v>2450</v>
      </c>
      <c r="F649" s="2">
        <f t="shared" si="104"/>
        <v>2445.6200000000003</v>
      </c>
      <c r="G649" s="3">
        <v>1</v>
      </c>
      <c r="H649">
        <v>1185</v>
      </c>
      <c r="I649">
        <v>752.6</v>
      </c>
      <c r="J649">
        <v>22410</v>
      </c>
      <c r="K649">
        <v>19920</v>
      </c>
      <c r="L649" s="2">
        <v>27.244375000000002</v>
      </c>
      <c r="M649" s="5">
        <v>130.38149999999999</v>
      </c>
      <c r="N649" s="1">
        <v>197.423</v>
      </c>
      <c r="O649" s="2">
        <v>3.9</v>
      </c>
      <c r="P649">
        <v>104</v>
      </c>
    </row>
    <row r="650" spans="1:16" x14ac:dyDescent="0.35">
      <c r="A650" s="4">
        <v>44287</v>
      </c>
      <c r="B650" t="s">
        <v>19</v>
      </c>
      <c r="C650" t="s">
        <v>10</v>
      </c>
      <c r="D650">
        <v>1</v>
      </c>
      <c r="E650" s="2">
        <v>2258</v>
      </c>
      <c r="F650" s="2">
        <f t="shared" ref="F650:F655" si="105">(2271.67+2296.29+2287)/3</f>
        <v>2284.9866666666667</v>
      </c>
      <c r="G650" s="3">
        <v>1</v>
      </c>
      <c r="H650">
        <v>1185</v>
      </c>
      <c r="I650">
        <v>752.6</v>
      </c>
      <c r="J650">
        <v>22410</v>
      </c>
      <c r="K650">
        <v>19920</v>
      </c>
      <c r="L650" s="2">
        <v>27.244375000000002</v>
      </c>
      <c r="M650" s="5">
        <v>130.38149999999999</v>
      </c>
      <c r="N650" s="1">
        <v>197.423</v>
      </c>
      <c r="O650" s="2">
        <v>3.9</v>
      </c>
      <c r="P650">
        <v>104</v>
      </c>
    </row>
    <row r="651" spans="1:16" x14ac:dyDescent="0.35">
      <c r="A651" s="4">
        <v>44287</v>
      </c>
      <c r="B651" t="s">
        <v>19</v>
      </c>
      <c r="C651" t="s">
        <v>11</v>
      </c>
      <c r="D651">
        <v>1</v>
      </c>
      <c r="E651" s="2">
        <v>2416.67</v>
      </c>
      <c r="F651" s="2">
        <f t="shared" si="105"/>
        <v>2284.9866666666667</v>
      </c>
      <c r="G651" s="3">
        <v>1</v>
      </c>
      <c r="H651">
        <v>1185</v>
      </c>
      <c r="I651">
        <v>752.6</v>
      </c>
      <c r="J651">
        <v>22410</v>
      </c>
      <c r="K651">
        <v>19920</v>
      </c>
      <c r="L651" s="2">
        <v>27.244375000000002</v>
      </c>
      <c r="M651" s="5">
        <v>130.38149999999999</v>
      </c>
      <c r="N651" s="1">
        <v>197.423</v>
      </c>
      <c r="O651" s="2">
        <v>3.9</v>
      </c>
      <c r="P651">
        <v>104</v>
      </c>
    </row>
    <row r="652" spans="1:16" x14ac:dyDescent="0.35">
      <c r="A652" s="4">
        <v>44287</v>
      </c>
      <c r="B652" t="s">
        <v>19</v>
      </c>
      <c r="C652" t="s">
        <v>12</v>
      </c>
      <c r="D652">
        <v>1</v>
      </c>
      <c r="E652" s="2">
        <v>2265</v>
      </c>
      <c r="F652" s="2">
        <f t="shared" si="105"/>
        <v>2284.9866666666667</v>
      </c>
      <c r="G652" s="3">
        <v>1</v>
      </c>
      <c r="H652">
        <v>1185</v>
      </c>
      <c r="I652">
        <v>752.6</v>
      </c>
      <c r="J652">
        <v>22410</v>
      </c>
      <c r="K652">
        <v>19920</v>
      </c>
      <c r="L652" s="2">
        <v>27.244375000000002</v>
      </c>
      <c r="M652" s="5">
        <v>130.38149999999999</v>
      </c>
      <c r="N652" s="1">
        <v>197.423</v>
      </c>
      <c r="O652" s="2">
        <v>3.9</v>
      </c>
      <c r="P652">
        <v>104</v>
      </c>
    </row>
    <row r="653" spans="1:16" x14ac:dyDescent="0.35">
      <c r="A653" s="4">
        <v>44287</v>
      </c>
      <c r="B653" t="s">
        <v>19</v>
      </c>
      <c r="C653" t="s">
        <v>13</v>
      </c>
      <c r="D653">
        <v>1</v>
      </c>
      <c r="E653" s="2">
        <v>2443.33</v>
      </c>
      <c r="F653" s="2">
        <f t="shared" si="105"/>
        <v>2284.9866666666667</v>
      </c>
      <c r="G653" s="3">
        <v>1</v>
      </c>
      <c r="H653">
        <v>1185</v>
      </c>
      <c r="I653">
        <v>752.6</v>
      </c>
      <c r="J653">
        <v>22410</v>
      </c>
      <c r="K653">
        <v>19920</v>
      </c>
      <c r="L653" s="2">
        <v>27.244375000000002</v>
      </c>
      <c r="M653" s="5">
        <v>130.38149999999999</v>
      </c>
      <c r="N653" s="1">
        <v>197.423</v>
      </c>
      <c r="O653" s="2">
        <v>3.9</v>
      </c>
      <c r="P653">
        <v>104</v>
      </c>
    </row>
    <row r="654" spans="1:16" x14ac:dyDescent="0.35">
      <c r="A654" s="4">
        <v>44287</v>
      </c>
      <c r="B654" t="s">
        <v>19</v>
      </c>
      <c r="C654" t="s">
        <v>14</v>
      </c>
      <c r="D654">
        <v>1</v>
      </c>
      <c r="E654" s="2">
        <f>(2390+2393+2414)/3</f>
        <v>2399</v>
      </c>
      <c r="F654" s="2">
        <f t="shared" si="105"/>
        <v>2284.9866666666667</v>
      </c>
      <c r="G654" s="3">
        <v>1</v>
      </c>
      <c r="H654">
        <v>1185</v>
      </c>
      <c r="I654">
        <v>752.6</v>
      </c>
      <c r="J654">
        <v>22410</v>
      </c>
      <c r="K654">
        <v>19920</v>
      </c>
      <c r="L654" s="2">
        <v>27.244375000000002</v>
      </c>
      <c r="M654" s="5">
        <v>130.38149999999999</v>
      </c>
      <c r="N654" s="1">
        <v>197.423</v>
      </c>
      <c r="O654" s="2">
        <v>3.9</v>
      </c>
      <c r="P654">
        <v>104</v>
      </c>
    </row>
    <row r="655" spans="1:16" x14ac:dyDescent="0.35">
      <c r="A655" s="4">
        <v>44287</v>
      </c>
      <c r="B655" t="s">
        <v>19</v>
      </c>
      <c r="C655" t="s">
        <v>15</v>
      </c>
      <c r="D655">
        <v>1</v>
      </c>
      <c r="E655" s="2">
        <v>2425</v>
      </c>
      <c r="F655" s="2">
        <f t="shared" si="105"/>
        <v>2284.9866666666667</v>
      </c>
      <c r="G655" s="3">
        <v>1</v>
      </c>
      <c r="H655">
        <v>1185</v>
      </c>
      <c r="I655">
        <v>752.6</v>
      </c>
      <c r="J655">
        <v>22410</v>
      </c>
      <c r="K655">
        <v>19920</v>
      </c>
      <c r="L655" s="2">
        <v>27.244375000000002</v>
      </c>
      <c r="M655" s="5">
        <v>130.38149999999999</v>
      </c>
      <c r="N655" s="1">
        <v>197.423</v>
      </c>
      <c r="O655" s="2">
        <v>3.9</v>
      </c>
      <c r="P655">
        <v>104</v>
      </c>
    </row>
    <row r="656" spans="1:16" x14ac:dyDescent="0.35">
      <c r="A656" s="4">
        <v>44287</v>
      </c>
      <c r="B656" t="s">
        <v>20</v>
      </c>
      <c r="C656" t="s">
        <v>10</v>
      </c>
      <c r="D656">
        <v>1</v>
      </c>
      <c r="E656" s="2">
        <v>2033</v>
      </c>
      <c r="F656" s="2">
        <f t="shared" ref="F656:F661" si="106">(2103.83+2083+2096.6)/3</f>
        <v>2094.4766666666669</v>
      </c>
      <c r="G656" s="3">
        <v>1</v>
      </c>
      <c r="H656">
        <v>1185</v>
      </c>
      <c r="I656">
        <v>752.6</v>
      </c>
      <c r="J656">
        <v>22410</v>
      </c>
      <c r="K656">
        <v>19920</v>
      </c>
      <c r="L656" s="2">
        <v>27.244375000000002</v>
      </c>
      <c r="M656" s="5">
        <v>130.38149999999999</v>
      </c>
      <c r="N656" s="1">
        <v>197.423</v>
      </c>
      <c r="O656" s="2">
        <v>3.9</v>
      </c>
      <c r="P656">
        <v>104</v>
      </c>
    </row>
    <row r="657" spans="1:16" x14ac:dyDescent="0.35">
      <c r="A657" s="4">
        <v>44287</v>
      </c>
      <c r="B657" t="s">
        <v>20</v>
      </c>
      <c r="C657" t="s">
        <v>11</v>
      </c>
      <c r="D657">
        <v>1</v>
      </c>
      <c r="E657" s="2">
        <v>2116.67</v>
      </c>
      <c r="F657" s="2">
        <f t="shared" si="106"/>
        <v>2094.4766666666669</v>
      </c>
      <c r="G657" s="3">
        <v>1</v>
      </c>
      <c r="H657">
        <v>1185</v>
      </c>
      <c r="I657">
        <v>752.6</v>
      </c>
      <c r="J657">
        <v>22410</v>
      </c>
      <c r="K657">
        <v>19920</v>
      </c>
      <c r="L657" s="2">
        <v>27.244375000000002</v>
      </c>
      <c r="M657" s="5">
        <v>130.38149999999999</v>
      </c>
      <c r="N657" s="1">
        <v>197.423</v>
      </c>
      <c r="O657" s="2">
        <v>3.9</v>
      </c>
      <c r="P657">
        <v>104</v>
      </c>
    </row>
    <row r="658" spans="1:16" x14ac:dyDescent="0.35">
      <c r="A658" s="4">
        <v>44287</v>
      </c>
      <c r="B658" t="s">
        <v>20</v>
      </c>
      <c r="C658" t="s">
        <v>12</v>
      </c>
      <c r="D658">
        <v>1</v>
      </c>
      <c r="E658" s="2">
        <v>1885</v>
      </c>
      <c r="F658" s="2">
        <f t="shared" si="106"/>
        <v>2094.4766666666669</v>
      </c>
      <c r="G658" s="3">
        <v>1</v>
      </c>
      <c r="H658">
        <v>1185</v>
      </c>
      <c r="I658">
        <v>752.6</v>
      </c>
      <c r="J658">
        <v>22410</v>
      </c>
      <c r="K658">
        <v>19920</v>
      </c>
      <c r="L658" s="2">
        <v>27.244375000000002</v>
      </c>
      <c r="M658" s="5">
        <v>130.38149999999999</v>
      </c>
      <c r="N658" s="1">
        <v>197.423</v>
      </c>
      <c r="O658" s="2">
        <v>3.9</v>
      </c>
      <c r="P658">
        <v>104</v>
      </c>
    </row>
    <row r="659" spans="1:16" x14ac:dyDescent="0.35">
      <c r="A659" s="4">
        <v>44287</v>
      </c>
      <c r="B659" t="s">
        <v>20</v>
      </c>
      <c r="C659" t="s">
        <v>13</v>
      </c>
      <c r="D659">
        <v>1</v>
      </c>
      <c r="E659" s="2">
        <v>2168.33</v>
      </c>
      <c r="F659" s="2">
        <f t="shared" si="106"/>
        <v>2094.4766666666669</v>
      </c>
      <c r="G659" s="3">
        <v>1</v>
      </c>
      <c r="H659">
        <v>1185</v>
      </c>
      <c r="I659">
        <v>752.6</v>
      </c>
      <c r="J659">
        <v>22410</v>
      </c>
      <c r="K659">
        <v>19920</v>
      </c>
      <c r="L659" s="2">
        <v>27.244375000000002</v>
      </c>
      <c r="M659" s="5">
        <v>130.38149999999999</v>
      </c>
      <c r="N659" s="1">
        <v>197.423</v>
      </c>
      <c r="O659" s="2">
        <v>3.9</v>
      </c>
      <c r="P659">
        <v>104</v>
      </c>
    </row>
    <row r="660" spans="1:16" x14ac:dyDescent="0.35">
      <c r="A660" s="4">
        <v>44287</v>
      </c>
      <c r="B660" t="s">
        <v>20</v>
      </c>
      <c r="C660" t="s">
        <v>14</v>
      </c>
      <c r="D660">
        <v>1</v>
      </c>
      <c r="E660" s="2">
        <v>2176</v>
      </c>
      <c r="F660" s="2">
        <f t="shared" si="106"/>
        <v>2094.4766666666669</v>
      </c>
      <c r="G660" s="3">
        <v>1</v>
      </c>
      <c r="H660">
        <v>1185</v>
      </c>
      <c r="I660">
        <v>752.6</v>
      </c>
      <c r="J660">
        <v>22410</v>
      </c>
      <c r="K660">
        <v>19920</v>
      </c>
      <c r="L660" s="2">
        <v>27.244375000000002</v>
      </c>
      <c r="M660" s="5">
        <v>130.38149999999999</v>
      </c>
      <c r="N660" s="1">
        <v>197.423</v>
      </c>
      <c r="O660" s="2">
        <v>3.9</v>
      </c>
      <c r="P660">
        <v>104</v>
      </c>
    </row>
    <row r="661" spans="1:16" x14ac:dyDescent="0.35">
      <c r="A661" s="4">
        <v>44287</v>
      </c>
      <c r="B661" t="s">
        <v>20</v>
      </c>
      <c r="C661" t="s">
        <v>15</v>
      </c>
      <c r="D661">
        <v>1</v>
      </c>
      <c r="E661" s="2">
        <v>2166.67</v>
      </c>
      <c r="F661" s="2">
        <f t="shared" si="106"/>
        <v>2094.4766666666669</v>
      </c>
      <c r="G661" s="3">
        <v>1</v>
      </c>
      <c r="H661">
        <v>1185</v>
      </c>
      <c r="I661">
        <v>752.6</v>
      </c>
      <c r="J661">
        <v>22410</v>
      </c>
      <c r="K661">
        <v>19920</v>
      </c>
      <c r="L661" s="2">
        <v>27.244375000000002</v>
      </c>
      <c r="M661" s="5">
        <v>130.38149999999999</v>
      </c>
      <c r="N661" s="1">
        <v>197.423</v>
      </c>
      <c r="O661" s="2">
        <v>3.9</v>
      </c>
      <c r="P661">
        <v>104</v>
      </c>
    </row>
    <row r="662" spans="1:16" x14ac:dyDescent="0.35">
      <c r="A662" s="4">
        <v>44287</v>
      </c>
      <c r="B662" t="s">
        <v>21</v>
      </c>
      <c r="C662" t="s">
        <v>10</v>
      </c>
      <c r="D662">
        <v>1</v>
      </c>
      <c r="E662" s="2">
        <v>1850</v>
      </c>
      <c r="F662" s="2">
        <f t="shared" ref="F662:F667" si="107">(2023.2+1993.33+1993.83)/3</f>
        <v>2003.4533333333331</v>
      </c>
      <c r="G662" s="3">
        <v>1</v>
      </c>
      <c r="H662">
        <v>1185</v>
      </c>
      <c r="I662">
        <v>752.6</v>
      </c>
      <c r="J662">
        <v>22410</v>
      </c>
      <c r="K662">
        <v>19920</v>
      </c>
      <c r="L662" s="2">
        <v>27.244375000000002</v>
      </c>
      <c r="M662" s="5">
        <v>130.38149999999999</v>
      </c>
      <c r="N662" s="1">
        <v>197.423</v>
      </c>
      <c r="O662" s="2">
        <v>3.9</v>
      </c>
      <c r="P662">
        <v>104</v>
      </c>
    </row>
    <row r="663" spans="1:16" x14ac:dyDescent="0.35">
      <c r="A663" s="4">
        <v>44287</v>
      </c>
      <c r="B663" t="s">
        <v>21</v>
      </c>
      <c r="C663" t="s">
        <v>11</v>
      </c>
      <c r="D663">
        <v>1</v>
      </c>
      <c r="E663" s="2">
        <v>2033.33</v>
      </c>
      <c r="F663" s="2">
        <f t="shared" si="107"/>
        <v>2003.4533333333331</v>
      </c>
      <c r="G663" s="3">
        <v>1</v>
      </c>
      <c r="H663">
        <v>1185</v>
      </c>
      <c r="I663">
        <v>752.6</v>
      </c>
      <c r="J663">
        <v>22410</v>
      </c>
      <c r="K663">
        <v>19920</v>
      </c>
      <c r="L663" s="2">
        <v>27.244375000000002</v>
      </c>
      <c r="M663" s="5">
        <v>130.38149999999999</v>
      </c>
      <c r="N663" s="1">
        <v>197.423</v>
      </c>
      <c r="O663" s="2">
        <v>3.9</v>
      </c>
      <c r="P663">
        <v>104</v>
      </c>
    </row>
    <row r="664" spans="1:16" x14ac:dyDescent="0.35">
      <c r="A664" s="4">
        <v>44287</v>
      </c>
      <c r="B664" t="s">
        <v>21</v>
      </c>
      <c r="C664" t="s">
        <v>12</v>
      </c>
      <c r="D664">
        <v>1</v>
      </c>
      <c r="E664" s="2">
        <v>1800</v>
      </c>
      <c r="F664" s="2">
        <f t="shared" si="107"/>
        <v>2003.4533333333331</v>
      </c>
      <c r="G664" s="3">
        <v>1</v>
      </c>
      <c r="H664">
        <v>1185</v>
      </c>
      <c r="I664">
        <v>752.6</v>
      </c>
      <c r="J664">
        <v>22410</v>
      </c>
      <c r="K664">
        <v>19920</v>
      </c>
      <c r="L664" s="2">
        <v>27.244375000000002</v>
      </c>
      <c r="M664" s="5">
        <v>130.38149999999999</v>
      </c>
      <c r="N664" s="1">
        <v>197.423</v>
      </c>
      <c r="O664" s="2">
        <v>3.9</v>
      </c>
      <c r="P664">
        <v>104</v>
      </c>
    </row>
    <row r="665" spans="1:16" x14ac:dyDescent="0.35">
      <c r="A665" s="4">
        <v>44287</v>
      </c>
      <c r="B665" t="s">
        <v>21</v>
      </c>
      <c r="C665" t="s">
        <v>13</v>
      </c>
      <c r="D665">
        <v>1</v>
      </c>
      <c r="E665" s="2">
        <v>2100</v>
      </c>
      <c r="F665" s="2">
        <f t="shared" si="107"/>
        <v>2003.4533333333331</v>
      </c>
      <c r="G665" s="3">
        <v>1</v>
      </c>
      <c r="H665">
        <v>1185</v>
      </c>
      <c r="I665">
        <v>752.6</v>
      </c>
      <c r="J665">
        <v>22410</v>
      </c>
      <c r="K665">
        <v>19920</v>
      </c>
      <c r="L665" s="2">
        <v>27.244375000000002</v>
      </c>
      <c r="M665" s="5">
        <v>130.38149999999999</v>
      </c>
      <c r="N665" s="1">
        <v>197.423</v>
      </c>
      <c r="O665" s="2">
        <v>3.9</v>
      </c>
      <c r="P665">
        <v>104</v>
      </c>
    </row>
    <row r="666" spans="1:16" x14ac:dyDescent="0.35">
      <c r="A666" s="4">
        <v>44287</v>
      </c>
      <c r="B666" t="s">
        <v>21</v>
      </c>
      <c r="C666" t="s">
        <v>14</v>
      </c>
      <c r="D666">
        <v>1</v>
      </c>
      <c r="E666" s="2">
        <v>2113</v>
      </c>
      <c r="F666" s="2">
        <f t="shared" si="107"/>
        <v>2003.4533333333331</v>
      </c>
      <c r="G666" s="3">
        <v>1</v>
      </c>
      <c r="H666">
        <v>1185</v>
      </c>
      <c r="I666">
        <v>752.6</v>
      </c>
      <c r="J666">
        <v>22410</v>
      </c>
      <c r="K666">
        <v>19920</v>
      </c>
      <c r="L666" s="2">
        <v>27.244375000000002</v>
      </c>
      <c r="M666" s="5">
        <v>130.38149999999999</v>
      </c>
      <c r="N666" s="1">
        <v>197.423</v>
      </c>
      <c r="O666" s="2">
        <v>3.9</v>
      </c>
      <c r="P666">
        <v>104</v>
      </c>
    </row>
    <row r="667" spans="1:16" x14ac:dyDescent="0.35">
      <c r="A667" s="4">
        <v>44287</v>
      </c>
      <c r="B667" t="s">
        <v>21</v>
      </c>
      <c r="C667" t="s">
        <v>15</v>
      </c>
      <c r="D667">
        <v>1</v>
      </c>
      <c r="E667" s="2">
        <v>2116.67</v>
      </c>
      <c r="F667" s="2">
        <f t="shared" si="107"/>
        <v>2003.4533333333331</v>
      </c>
      <c r="G667" s="3">
        <v>1</v>
      </c>
      <c r="H667">
        <v>1185</v>
      </c>
      <c r="I667">
        <v>752.6</v>
      </c>
      <c r="J667">
        <v>22410</v>
      </c>
      <c r="K667">
        <v>19920</v>
      </c>
      <c r="L667" s="2">
        <v>27.244375000000002</v>
      </c>
      <c r="M667" s="5">
        <v>130.38149999999999</v>
      </c>
      <c r="N667" s="1">
        <v>197.423</v>
      </c>
      <c r="O667" s="2">
        <v>3.9</v>
      </c>
      <c r="P667">
        <v>104</v>
      </c>
    </row>
    <row r="668" spans="1:16" x14ac:dyDescent="0.35">
      <c r="A668" s="4">
        <v>44287</v>
      </c>
      <c r="B668" t="s">
        <v>22</v>
      </c>
      <c r="C668" t="s">
        <v>10</v>
      </c>
      <c r="D668">
        <v>0</v>
      </c>
      <c r="E668" s="2" t="s">
        <v>27</v>
      </c>
      <c r="F668" s="2">
        <f t="shared" ref="F668:F673" si="108">(1883+1890+1950)/3</f>
        <v>1907.6666666666667</v>
      </c>
      <c r="G668" s="3">
        <v>1</v>
      </c>
      <c r="H668">
        <v>1185</v>
      </c>
      <c r="I668">
        <v>752.6</v>
      </c>
      <c r="J668">
        <v>22410</v>
      </c>
      <c r="K668">
        <v>19920</v>
      </c>
      <c r="L668" s="2">
        <v>27.244375000000002</v>
      </c>
      <c r="M668" s="5">
        <v>130.38149999999999</v>
      </c>
      <c r="N668" s="1">
        <v>197.423</v>
      </c>
      <c r="O668" s="2">
        <v>3.9</v>
      </c>
      <c r="P668">
        <v>104</v>
      </c>
    </row>
    <row r="669" spans="1:16" x14ac:dyDescent="0.35">
      <c r="A669" s="4">
        <v>44287</v>
      </c>
      <c r="B669" t="s">
        <v>22</v>
      </c>
      <c r="C669" t="s">
        <v>11</v>
      </c>
      <c r="D669">
        <v>0</v>
      </c>
      <c r="E669" s="2" t="s">
        <v>27</v>
      </c>
      <c r="F669" s="2">
        <f t="shared" si="108"/>
        <v>1907.6666666666667</v>
      </c>
      <c r="G669" s="3">
        <v>1</v>
      </c>
      <c r="H669">
        <v>1185</v>
      </c>
      <c r="I669">
        <v>752.6</v>
      </c>
      <c r="J669">
        <v>22410</v>
      </c>
      <c r="K669">
        <v>19920</v>
      </c>
      <c r="L669" s="2">
        <v>27.244375000000002</v>
      </c>
      <c r="M669" s="5">
        <v>130.38149999999999</v>
      </c>
      <c r="N669" s="1">
        <v>197.423</v>
      </c>
      <c r="O669" s="2">
        <v>3.9</v>
      </c>
      <c r="P669">
        <v>104</v>
      </c>
    </row>
    <row r="670" spans="1:16" x14ac:dyDescent="0.35">
      <c r="A670" s="4">
        <v>44287</v>
      </c>
      <c r="B670" t="s">
        <v>22</v>
      </c>
      <c r="C670" t="s">
        <v>12</v>
      </c>
      <c r="D670">
        <v>0</v>
      </c>
      <c r="E670" s="2" t="s">
        <v>27</v>
      </c>
      <c r="F670" s="2">
        <f t="shared" si="108"/>
        <v>1907.6666666666667</v>
      </c>
      <c r="G670" s="3">
        <v>1</v>
      </c>
      <c r="H670">
        <v>1185</v>
      </c>
      <c r="I670">
        <v>752.6</v>
      </c>
      <c r="J670">
        <v>22410</v>
      </c>
      <c r="K670">
        <v>19920</v>
      </c>
      <c r="L670" s="2">
        <v>27.244375000000002</v>
      </c>
      <c r="M670" s="5">
        <v>130.38149999999999</v>
      </c>
      <c r="N670" s="1">
        <v>197.423</v>
      </c>
      <c r="O670" s="2">
        <v>3.9</v>
      </c>
      <c r="P670">
        <v>104</v>
      </c>
    </row>
    <row r="671" spans="1:16" x14ac:dyDescent="0.35">
      <c r="A671" s="4">
        <v>44287</v>
      </c>
      <c r="B671" t="s">
        <v>22</v>
      </c>
      <c r="C671" t="s">
        <v>13</v>
      </c>
      <c r="D671">
        <v>0</v>
      </c>
      <c r="E671" s="2" t="s">
        <v>27</v>
      </c>
      <c r="F671" s="2">
        <f t="shared" si="108"/>
        <v>1907.6666666666667</v>
      </c>
      <c r="G671" s="3">
        <v>1</v>
      </c>
      <c r="H671">
        <v>1185</v>
      </c>
      <c r="I671">
        <v>752.6</v>
      </c>
      <c r="J671">
        <v>22410</v>
      </c>
      <c r="K671">
        <v>19920</v>
      </c>
      <c r="L671" s="2">
        <v>27.244375000000002</v>
      </c>
      <c r="M671" s="5">
        <v>130.38149999999999</v>
      </c>
      <c r="N671" s="1">
        <v>197.423</v>
      </c>
      <c r="O671" s="2">
        <v>3.9</v>
      </c>
      <c r="P671">
        <v>104</v>
      </c>
    </row>
    <row r="672" spans="1:16" x14ac:dyDescent="0.35">
      <c r="A672" s="4">
        <v>44287</v>
      </c>
      <c r="B672" t="s">
        <v>22</v>
      </c>
      <c r="C672" t="s">
        <v>14</v>
      </c>
      <c r="D672">
        <v>1</v>
      </c>
      <c r="E672" s="2">
        <f>(1883+1890+1950)/3</f>
        <v>1907.6666666666667</v>
      </c>
      <c r="F672" s="2">
        <f t="shared" si="108"/>
        <v>1907.6666666666667</v>
      </c>
      <c r="G672" s="3">
        <v>1</v>
      </c>
      <c r="H672">
        <v>1185</v>
      </c>
      <c r="I672">
        <v>752.6</v>
      </c>
      <c r="J672">
        <v>22410</v>
      </c>
      <c r="K672">
        <v>19920</v>
      </c>
      <c r="L672" s="2">
        <v>27.244375000000002</v>
      </c>
      <c r="M672" s="5">
        <v>130.38149999999999</v>
      </c>
      <c r="N672" s="1">
        <v>197.423</v>
      </c>
      <c r="O672" s="2">
        <v>3.9</v>
      </c>
      <c r="P672">
        <v>104</v>
      </c>
    </row>
    <row r="673" spans="1:16" x14ac:dyDescent="0.35">
      <c r="A673" s="4">
        <v>44287</v>
      </c>
      <c r="B673" t="s">
        <v>22</v>
      </c>
      <c r="C673" t="s">
        <v>15</v>
      </c>
      <c r="D673">
        <v>0</v>
      </c>
      <c r="E673" s="2" t="s">
        <v>27</v>
      </c>
      <c r="F673" s="2">
        <f t="shared" si="108"/>
        <v>1907.6666666666667</v>
      </c>
      <c r="G673" s="3">
        <v>1</v>
      </c>
      <c r="H673">
        <v>1185</v>
      </c>
      <c r="I673">
        <v>752.6</v>
      </c>
      <c r="J673">
        <v>22410</v>
      </c>
      <c r="K673">
        <v>19920</v>
      </c>
      <c r="L673" s="2">
        <v>27.244375000000002</v>
      </c>
      <c r="M673" s="5">
        <v>130.38149999999999</v>
      </c>
      <c r="N673" s="1">
        <v>197.423</v>
      </c>
      <c r="O673" s="2">
        <v>3.9</v>
      </c>
      <c r="P673">
        <v>104</v>
      </c>
    </row>
    <row r="674" spans="1:16" x14ac:dyDescent="0.35">
      <c r="A674" s="4">
        <v>44317</v>
      </c>
      <c r="B674" t="s">
        <v>16</v>
      </c>
      <c r="C674" t="s">
        <v>10</v>
      </c>
      <c r="D674">
        <v>1</v>
      </c>
      <c r="E674" s="2">
        <f>(3033+3066+3016)/3</f>
        <v>3038.3333333333335</v>
      </c>
      <c r="F674" s="2">
        <f t="shared" ref="F674:F679" si="109">(3070.75+3087.25+3061.5)/3</f>
        <v>3073.1666666666665</v>
      </c>
      <c r="G674" s="3">
        <v>1</v>
      </c>
      <c r="H674">
        <v>2370</v>
      </c>
      <c r="I674">
        <v>940.7</v>
      </c>
      <c r="J674">
        <v>20856</v>
      </c>
      <c r="K674">
        <v>19920</v>
      </c>
      <c r="L674" s="2">
        <v>27.279374999999998</v>
      </c>
      <c r="M674" s="5">
        <v>258.98</v>
      </c>
      <c r="N674" s="1">
        <v>199.5847</v>
      </c>
      <c r="O674" s="2">
        <v>4.5</v>
      </c>
      <c r="P674">
        <v>111</v>
      </c>
    </row>
    <row r="675" spans="1:16" x14ac:dyDescent="0.35">
      <c r="A675" s="4">
        <v>44317</v>
      </c>
      <c r="B675" t="s">
        <v>16</v>
      </c>
      <c r="C675" t="s">
        <v>11</v>
      </c>
      <c r="D675">
        <v>0</v>
      </c>
      <c r="E675" s="2" t="s">
        <v>27</v>
      </c>
      <c r="F675" s="2">
        <f t="shared" si="109"/>
        <v>3073.1666666666665</v>
      </c>
      <c r="G675" s="3">
        <v>1</v>
      </c>
      <c r="H675">
        <v>2370</v>
      </c>
      <c r="I675">
        <v>940.7</v>
      </c>
      <c r="J675">
        <v>20856</v>
      </c>
      <c r="K675">
        <v>19920</v>
      </c>
      <c r="L675" s="2">
        <v>27.279374999999998</v>
      </c>
      <c r="M675" s="5">
        <v>258.98</v>
      </c>
      <c r="N675" s="1">
        <v>199.5847</v>
      </c>
      <c r="O675" s="2">
        <v>4.5</v>
      </c>
      <c r="P675">
        <v>111</v>
      </c>
    </row>
    <row r="676" spans="1:16" x14ac:dyDescent="0.35">
      <c r="A676" s="4">
        <v>44317</v>
      </c>
      <c r="B676" t="s">
        <v>16</v>
      </c>
      <c r="C676" t="s">
        <v>12</v>
      </c>
      <c r="D676">
        <v>1</v>
      </c>
      <c r="E676" s="2">
        <v>3000</v>
      </c>
      <c r="F676" s="2">
        <f t="shared" si="109"/>
        <v>3073.1666666666665</v>
      </c>
      <c r="G676" s="3">
        <v>1</v>
      </c>
      <c r="H676">
        <v>2370</v>
      </c>
      <c r="I676">
        <v>940.7</v>
      </c>
      <c r="J676">
        <v>20856</v>
      </c>
      <c r="K676">
        <v>19920</v>
      </c>
      <c r="L676" s="2">
        <v>27.279374999999998</v>
      </c>
      <c r="M676" s="5">
        <v>258.98</v>
      </c>
      <c r="N676" s="1">
        <v>199.5847</v>
      </c>
      <c r="O676" s="2">
        <v>4.5</v>
      </c>
      <c r="P676">
        <v>111</v>
      </c>
    </row>
    <row r="677" spans="1:16" x14ac:dyDescent="0.35">
      <c r="A677" s="4">
        <v>44317</v>
      </c>
      <c r="B677" t="s">
        <v>16</v>
      </c>
      <c r="C677" t="s">
        <v>13</v>
      </c>
      <c r="D677">
        <v>1</v>
      </c>
      <c r="E677" s="2">
        <f>(3250*2+3180)/3</f>
        <v>3226.6666666666665</v>
      </c>
      <c r="F677" s="2">
        <f t="shared" si="109"/>
        <v>3073.1666666666665</v>
      </c>
      <c r="G677" s="3">
        <v>1</v>
      </c>
      <c r="H677">
        <v>2370</v>
      </c>
      <c r="I677">
        <v>940.7</v>
      </c>
      <c r="J677">
        <v>20856</v>
      </c>
      <c r="K677">
        <v>19920</v>
      </c>
      <c r="L677" s="2">
        <v>27.279374999999998</v>
      </c>
      <c r="M677" s="5">
        <v>258.98</v>
      </c>
      <c r="N677" s="1">
        <v>199.5847</v>
      </c>
      <c r="O677" s="2">
        <v>4.5</v>
      </c>
      <c r="P677">
        <v>111</v>
      </c>
    </row>
    <row r="678" spans="1:16" x14ac:dyDescent="0.35">
      <c r="A678" s="4">
        <v>44317</v>
      </c>
      <c r="B678" t="s">
        <v>16</v>
      </c>
      <c r="C678" t="s">
        <v>14</v>
      </c>
      <c r="D678">
        <v>1</v>
      </c>
      <c r="E678" s="2">
        <f>(3000+3033+3050)/3</f>
        <v>3027.6666666666665</v>
      </c>
      <c r="F678" s="2">
        <f t="shared" si="109"/>
        <v>3073.1666666666665</v>
      </c>
      <c r="G678" s="3">
        <v>1</v>
      </c>
      <c r="H678">
        <v>2370</v>
      </c>
      <c r="I678">
        <v>940.7</v>
      </c>
      <c r="J678">
        <v>20856</v>
      </c>
      <c r="K678">
        <v>19920</v>
      </c>
      <c r="L678" s="2">
        <v>27.279374999999998</v>
      </c>
      <c r="M678" s="5">
        <v>258.98</v>
      </c>
      <c r="N678" s="1">
        <v>199.5847</v>
      </c>
      <c r="O678" s="2">
        <v>4.5</v>
      </c>
      <c r="P678">
        <v>111</v>
      </c>
    </row>
    <row r="679" spans="1:16" x14ac:dyDescent="0.35">
      <c r="A679" s="4">
        <v>44317</v>
      </c>
      <c r="B679" t="s">
        <v>16</v>
      </c>
      <c r="C679" t="s">
        <v>15</v>
      </c>
      <c r="D679">
        <v>0</v>
      </c>
      <c r="E679" s="2" t="s">
        <v>27</v>
      </c>
      <c r="F679" s="2">
        <f t="shared" si="109"/>
        <v>3073.1666666666665</v>
      </c>
      <c r="G679" s="3">
        <v>1</v>
      </c>
      <c r="H679">
        <v>2370</v>
      </c>
      <c r="I679">
        <v>940.7</v>
      </c>
      <c r="J679">
        <v>20856</v>
      </c>
      <c r="K679">
        <v>19920</v>
      </c>
      <c r="L679" s="2">
        <v>27.279374999999998</v>
      </c>
      <c r="M679" s="5">
        <v>258.98</v>
      </c>
      <c r="N679" s="1">
        <v>199.5847</v>
      </c>
      <c r="O679" s="2">
        <v>4.5</v>
      </c>
      <c r="P679">
        <v>111</v>
      </c>
    </row>
    <row r="680" spans="1:16" x14ac:dyDescent="0.35">
      <c r="A680" s="4">
        <v>44317</v>
      </c>
      <c r="B680" t="s">
        <v>17</v>
      </c>
      <c r="C680" t="s">
        <v>10</v>
      </c>
      <c r="D680">
        <v>1</v>
      </c>
      <c r="E680" s="2">
        <f>(2633+2616+2650)/3</f>
        <v>2633</v>
      </c>
      <c r="F680" s="2">
        <f t="shared" ref="F680:F685" si="110">(2615.75+2642.75+2630.5)/3</f>
        <v>2629.6666666666665</v>
      </c>
      <c r="G680" s="3">
        <v>1</v>
      </c>
      <c r="H680">
        <v>2370</v>
      </c>
      <c r="I680">
        <v>940.7</v>
      </c>
      <c r="J680">
        <v>20856</v>
      </c>
      <c r="K680">
        <v>19920</v>
      </c>
      <c r="L680" s="2">
        <v>27.279374999999998</v>
      </c>
      <c r="M680" s="5">
        <v>258.98</v>
      </c>
      <c r="N680" s="1">
        <v>199.5847</v>
      </c>
      <c r="O680" s="2">
        <v>4.5</v>
      </c>
      <c r="P680">
        <v>111</v>
      </c>
    </row>
    <row r="681" spans="1:16" x14ac:dyDescent="0.35">
      <c r="A681" s="4">
        <v>44317</v>
      </c>
      <c r="B681" t="s">
        <v>17</v>
      </c>
      <c r="C681" t="s">
        <v>11</v>
      </c>
      <c r="D681">
        <v>1</v>
      </c>
      <c r="E681" s="2" t="s">
        <v>27</v>
      </c>
      <c r="F681" s="2">
        <f t="shared" si="110"/>
        <v>2629.6666666666665</v>
      </c>
      <c r="G681" s="3">
        <v>1</v>
      </c>
      <c r="H681">
        <v>2370</v>
      </c>
      <c r="I681">
        <v>940.7</v>
      </c>
      <c r="J681">
        <v>20856</v>
      </c>
      <c r="K681">
        <v>19920</v>
      </c>
      <c r="L681" s="2">
        <v>27.279374999999998</v>
      </c>
      <c r="M681" s="5">
        <v>258.98</v>
      </c>
      <c r="N681" s="1">
        <v>199.5847</v>
      </c>
      <c r="O681" s="2">
        <v>4.5</v>
      </c>
      <c r="P681">
        <v>111</v>
      </c>
    </row>
    <row r="682" spans="1:16" x14ac:dyDescent="0.35">
      <c r="A682" s="4">
        <v>44317</v>
      </c>
      <c r="B682" t="s">
        <v>17</v>
      </c>
      <c r="C682" t="s">
        <v>12</v>
      </c>
      <c r="D682">
        <v>1</v>
      </c>
      <c r="E682" s="2">
        <v>2580</v>
      </c>
      <c r="F682" s="2">
        <f t="shared" si="110"/>
        <v>2629.6666666666665</v>
      </c>
      <c r="G682" s="3">
        <v>1</v>
      </c>
      <c r="H682">
        <v>2370</v>
      </c>
      <c r="I682">
        <v>940.7</v>
      </c>
      <c r="J682">
        <v>20856</v>
      </c>
      <c r="K682">
        <v>19920</v>
      </c>
      <c r="L682" s="2">
        <v>27.279374999999998</v>
      </c>
      <c r="M682" s="5">
        <v>258.98</v>
      </c>
      <c r="N682" s="1">
        <v>199.5847</v>
      </c>
      <c r="O682" s="2">
        <v>4.5</v>
      </c>
      <c r="P682">
        <v>111</v>
      </c>
    </row>
    <row r="683" spans="1:16" x14ac:dyDescent="0.35">
      <c r="A683" s="4">
        <v>44317</v>
      </c>
      <c r="B683" t="s">
        <v>17</v>
      </c>
      <c r="C683" t="s">
        <v>13</v>
      </c>
      <c r="D683">
        <v>1</v>
      </c>
      <c r="E683" s="2">
        <v>2675</v>
      </c>
      <c r="F683" s="2">
        <f t="shared" si="110"/>
        <v>2629.6666666666665</v>
      </c>
      <c r="G683" s="3">
        <v>1</v>
      </c>
      <c r="H683">
        <v>2370</v>
      </c>
      <c r="I683">
        <v>940.7</v>
      </c>
      <c r="J683">
        <v>20856</v>
      </c>
      <c r="K683">
        <v>19920</v>
      </c>
      <c r="L683" s="2">
        <v>27.279374999999998</v>
      </c>
      <c r="M683" s="5">
        <v>258.98</v>
      </c>
      <c r="N683" s="1">
        <v>199.5847</v>
      </c>
      <c r="O683" s="2">
        <v>4.5</v>
      </c>
      <c r="P683">
        <v>111</v>
      </c>
    </row>
    <row r="684" spans="1:16" x14ac:dyDescent="0.35">
      <c r="A684" s="4">
        <v>44317</v>
      </c>
      <c r="B684" t="s">
        <v>17</v>
      </c>
      <c r="C684" t="s">
        <v>14</v>
      </c>
      <c r="D684">
        <v>1</v>
      </c>
      <c r="E684" s="2">
        <f>(2600*3+92)/3</f>
        <v>2630.6666666666665</v>
      </c>
      <c r="F684" s="2">
        <f t="shared" si="110"/>
        <v>2629.6666666666665</v>
      </c>
      <c r="G684" s="3">
        <v>1</v>
      </c>
      <c r="H684">
        <v>2370</v>
      </c>
      <c r="I684">
        <v>940.7</v>
      </c>
      <c r="J684">
        <v>20856</v>
      </c>
      <c r="K684">
        <v>19920</v>
      </c>
      <c r="L684" s="2">
        <v>27.279374999999998</v>
      </c>
      <c r="M684" s="5">
        <v>258.98</v>
      </c>
      <c r="N684" s="1">
        <v>199.5847</v>
      </c>
      <c r="O684" s="2">
        <v>4.5</v>
      </c>
      <c r="P684">
        <v>111</v>
      </c>
    </row>
    <row r="685" spans="1:16" x14ac:dyDescent="0.35">
      <c r="A685" s="4">
        <v>44317</v>
      </c>
      <c r="B685" t="s">
        <v>17</v>
      </c>
      <c r="C685" t="s">
        <v>15</v>
      </c>
      <c r="D685">
        <v>0</v>
      </c>
      <c r="E685" s="2" t="s">
        <v>27</v>
      </c>
      <c r="F685" s="2">
        <f t="shared" si="110"/>
        <v>2629.6666666666665</v>
      </c>
      <c r="G685" s="3">
        <v>1</v>
      </c>
      <c r="H685">
        <v>2370</v>
      </c>
      <c r="I685">
        <v>940.7</v>
      </c>
      <c r="J685">
        <v>20856</v>
      </c>
      <c r="K685">
        <v>19920</v>
      </c>
      <c r="L685" s="2">
        <v>27.279374999999998</v>
      </c>
      <c r="M685" s="5">
        <v>258.98</v>
      </c>
      <c r="N685" s="1">
        <v>199.5847</v>
      </c>
      <c r="O685" s="2">
        <v>4.5</v>
      </c>
      <c r="P685">
        <v>111</v>
      </c>
    </row>
    <row r="686" spans="1:16" x14ac:dyDescent="0.35">
      <c r="A686" s="4">
        <v>44317</v>
      </c>
      <c r="B686" t="s">
        <v>18</v>
      </c>
      <c r="C686" t="s">
        <v>10</v>
      </c>
      <c r="D686">
        <v>1</v>
      </c>
      <c r="E686" s="2">
        <f>(2533+2450+2483)/3</f>
        <v>2488.6666666666665</v>
      </c>
      <c r="F686" s="2">
        <f t="shared" ref="F686:F691" si="111">(2454.67+2457.5+2463)/3</f>
        <v>2458.39</v>
      </c>
      <c r="G686" s="3">
        <v>1</v>
      </c>
      <c r="H686">
        <v>2370</v>
      </c>
      <c r="I686">
        <v>940.7</v>
      </c>
      <c r="J686">
        <v>20856</v>
      </c>
      <c r="K686">
        <v>19920</v>
      </c>
      <c r="L686" s="2">
        <v>27.279374999999998</v>
      </c>
      <c r="M686" s="5">
        <v>258.98</v>
      </c>
      <c r="N686" s="1">
        <v>199.5847</v>
      </c>
      <c r="O686" s="2">
        <v>4.5</v>
      </c>
      <c r="P686">
        <v>111</v>
      </c>
    </row>
    <row r="687" spans="1:16" x14ac:dyDescent="0.35">
      <c r="A687" s="4">
        <v>44317</v>
      </c>
      <c r="B687" t="s">
        <v>18</v>
      </c>
      <c r="C687" t="s">
        <v>11</v>
      </c>
      <c r="D687">
        <v>1</v>
      </c>
      <c r="E687" s="2" t="s">
        <v>27</v>
      </c>
      <c r="F687" s="2">
        <f t="shared" si="111"/>
        <v>2458.39</v>
      </c>
      <c r="G687" s="3">
        <v>1</v>
      </c>
      <c r="H687">
        <v>2370</v>
      </c>
      <c r="I687">
        <v>940.7</v>
      </c>
      <c r="J687">
        <v>20856</v>
      </c>
      <c r="K687">
        <v>19920</v>
      </c>
      <c r="L687" s="2">
        <v>27.279374999999998</v>
      </c>
      <c r="M687" s="5">
        <v>258.98</v>
      </c>
      <c r="N687" s="1">
        <v>199.5847</v>
      </c>
      <c r="O687" s="2">
        <v>4.5</v>
      </c>
      <c r="P687">
        <v>111</v>
      </c>
    </row>
    <row r="688" spans="1:16" x14ac:dyDescent="0.35">
      <c r="A688" s="4">
        <v>44317</v>
      </c>
      <c r="B688" t="s">
        <v>18</v>
      </c>
      <c r="C688" t="s">
        <v>12</v>
      </c>
      <c r="D688">
        <v>1</v>
      </c>
      <c r="E688" s="2">
        <v>2470</v>
      </c>
      <c r="F688" s="2">
        <f t="shared" si="111"/>
        <v>2458.39</v>
      </c>
      <c r="G688" s="3">
        <v>1</v>
      </c>
      <c r="H688">
        <v>2370</v>
      </c>
      <c r="I688">
        <v>940.7</v>
      </c>
      <c r="J688">
        <v>20856</v>
      </c>
      <c r="K688">
        <v>19920</v>
      </c>
      <c r="L688" s="2">
        <v>27.279374999999998</v>
      </c>
      <c r="M688" s="5">
        <v>258.98</v>
      </c>
      <c r="N688" s="1">
        <v>199.5847</v>
      </c>
      <c r="O688" s="2">
        <v>4.5</v>
      </c>
      <c r="P688">
        <v>111</v>
      </c>
    </row>
    <row r="689" spans="1:16" x14ac:dyDescent="0.35">
      <c r="A689" s="4">
        <v>44317</v>
      </c>
      <c r="B689" t="s">
        <v>18</v>
      </c>
      <c r="C689" t="s">
        <v>13</v>
      </c>
      <c r="D689">
        <v>1</v>
      </c>
      <c r="E689" s="2">
        <v>2575</v>
      </c>
      <c r="F689" s="2">
        <f t="shared" si="111"/>
        <v>2458.39</v>
      </c>
      <c r="G689" s="3">
        <v>1</v>
      </c>
      <c r="H689">
        <v>2370</v>
      </c>
      <c r="I689">
        <v>940.7</v>
      </c>
      <c r="J689">
        <v>20856</v>
      </c>
      <c r="K689">
        <v>19920</v>
      </c>
      <c r="L689" s="2">
        <v>27.279374999999998</v>
      </c>
      <c r="M689" s="5">
        <v>258.98</v>
      </c>
      <c r="N689" s="1">
        <v>199.5847</v>
      </c>
      <c r="O689" s="2">
        <v>4.5</v>
      </c>
      <c r="P689">
        <v>111</v>
      </c>
    </row>
    <row r="690" spans="1:16" x14ac:dyDescent="0.35">
      <c r="A690" s="4">
        <v>44317</v>
      </c>
      <c r="B690" t="s">
        <v>18</v>
      </c>
      <c r="C690" t="s">
        <v>14</v>
      </c>
      <c r="D690">
        <v>1</v>
      </c>
      <c r="E690" s="2">
        <v>2533.33</v>
      </c>
      <c r="F690" s="2">
        <f t="shared" si="111"/>
        <v>2458.39</v>
      </c>
      <c r="G690" s="3">
        <v>1</v>
      </c>
      <c r="H690">
        <v>2370</v>
      </c>
      <c r="I690">
        <v>940.7</v>
      </c>
      <c r="J690">
        <v>20856</v>
      </c>
      <c r="K690">
        <v>19920</v>
      </c>
      <c r="L690" s="2">
        <v>27.279374999999998</v>
      </c>
      <c r="M690" s="5">
        <v>258.98</v>
      </c>
      <c r="N690" s="1">
        <v>199.5847</v>
      </c>
      <c r="O690" s="2">
        <v>4.5</v>
      </c>
      <c r="P690">
        <v>111</v>
      </c>
    </row>
    <row r="691" spans="1:16" x14ac:dyDescent="0.35">
      <c r="A691" s="4">
        <v>44317</v>
      </c>
      <c r="B691" t="s">
        <v>18</v>
      </c>
      <c r="C691" t="s">
        <v>15</v>
      </c>
      <c r="D691">
        <v>1</v>
      </c>
      <c r="E691" s="2">
        <v>2508.33</v>
      </c>
      <c r="F691" s="2">
        <f t="shared" si="111"/>
        <v>2458.39</v>
      </c>
      <c r="G691" s="3">
        <v>1</v>
      </c>
      <c r="H691">
        <v>2370</v>
      </c>
      <c r="I691">
        <v>940.7</v>
      </c>
      <c r="J691">
        <v>20856</v>
      </c>
      <c r="K691">
        <v>19920</v>
      </c>
      <c r="L691" s="2">
        <v>27.279374999999998</v>
      </c>
      <c r="M691" s="5">
        <v>258.98</v>
      </c>
      <c r="N691" s="1">
        <v>199.5847</v>
      </c>
      <c r="O691" s="2">
        <v>4.5</v>
      </c>
      <c r="P691">
        <v>111</v>
      </c>
    </row>
    <row r="692" spans="1:16" x14ac:dyDescent="0.35">
      <c r="A692" s="4">
        <v>44317</v>
      </c>
      <c r="B692" t="s">
        <v>19</v>
      </c>
      <c r="C692" t="s">
        <v>10</v>
      </c>
      <c r="D692">
        <v>1</v>
      </c>
      <c r="E692" s="2">
        <f>(2350+2216+2250)/3</f>
        <v>2272</v>
      </c>
      <c r="F692" s="2">
        <f t="shared" ref="F692:F697" si="112">(2297.17+2269.33+2321.67)/3</f>
        <v>2296.0566666666668</v>
      </c>
      <c r="G692" s="3">
        <v>1</v>
      </c>
      <c r="H692">
        <v>2370</v>
      </c>
      <c r="I692">
        <v>940.7</v>
      </c>
      <c r="J692">
        <v>20856</v>
      </c>
      <c r="K692">
        <v>19920</v>
      </c>
      <c r="L692" s="2">
        <v>27.279374999999998</v>
      </c>
      <c r="M692" s="5">
        <v>258.98</v>
      </c>
      <c r="N692" s="1">
        <v>199.5847</v>
      </c>
      <c r="O692" s="2">
        <v>4.5</v>
      </c>
      <c r="P692">
        <v>111</v>
      </c>
    </row>
    <row r="693" spans="1:16" x14ac:dyDescent="0.35">
      <c r="A693" s="4">
        <v>44317</v>
      </c>
      <c r="B693" t="s">
        <v>19</v>
      </c>
      <c r="C693" t="s">
        <v>11</v>
      </c>
      <c r="D693">
        <v>1</v>
      </c>
      <c r="E693" s="2" t="s">
        <v>27</v>
      </c>
      <c r="F693" s="2">
        <f t="shared" si="112"/>
        <v>2296.0566666666668</v>
      </c>
      <c r="G693" s="3">
        <v>1</v>
      </c>
      <c r="H693">
        <v>2370</v>
      </c>
      <c r="I693">
        <v>940.7</v>
      </c>
      <c r="J693">
        <v>20856</v>
      </c>
      <c r="K693">
        <v>19920</v>
      </c>
      <c r="L693" s="2">
        <v>27.279374999999998</v>
      </c>
      <c r="M693" s="5">
        <v>258.98</v>
      </c>
      <c r="N693" s="1">
        <v>199.5847</v>
      </c>
      <c r="O693" s="2">
        <v>4.5</v>
      </c>
      <c r="P693">
        <v>111</v>
      </c>
    </row>
    <row r="694" spans="1:16" x14ac:dyDescent="0.35">
      <c r="A694" s="4">
        <v>44317</v>
      </c>
      <c r="B694" t="s">
        <v>19</v>
      </c>
      <c r="C694" t="s">
        <v>12</v>
      </c>
      <c r="D694">
        <v>1</v>
      </c>
      <c r="E694" s="2">
        <v>2265</v>
      </c>
      <c r="F694" s="2">
        <f t="shared" si="112"/>
        <v>2296.0566666666668</v>
      </c>
      <c r="G694" s="3">
        <v>1</v>
      </c>
      <c r="H694">
        <v>2370</v>
      </c>
      <c r="I694">
        <v>940.7</v>
      </c>
      <c r="J694">
        <v>20856</v>
      </c>
      <c r="K694">
        <v>19920</v>
      </c>
      <c r="L694" s="2">
        <v>27.279374999999998</v>
      </c>
      <c r="M694" s="5">
        <v>258.98</v>
      </c>
      <c r="N694" s="1">
        <v>199.5847</v>
      </c>
      <c r="O694" s="2">
        <v>4.5</v>
      </c>
      <c r="P694">
        <v>111</v>
      </c>
    </row>
    <row r="695" spans="1:16" x14ac:dyDescent="0.35">
      <c r="A695" s="4">
        <v>44317</v>
      </c>
      <c r="B695" t="s">
        <v>19</v>
      </c>
      <c r="C695" t="s">
        <v>13</v>
      </c>
      <c r="D695">
        <v>1</v>
      </c>
      <c r="E695" s="2">
        <f>(2510*2+2475)/3</f>
        <v>2498.3333333333335</v>
      </c>
      <c r="F695" s="2">
        <f t="shared" si="112"/>
        <v>2296.0566666666668</v>
      </c>
      <c r="G695" s="3">
        <v>1</v>
      </c>
      <c r="H695">
        <v>2370</v>
      </c>
      <c r="I695">
        <v>940.7</v>
      </c>
      <c r="J695">
        <v>20856</v>
      </c>
      <c r="K695">
        <v>19920</v>
      </c>
      <c r="L695" s="2">
        <v>27.279374999999998</v>
      </c>
      <c r="M695" s="5">
        <v>258.98</v>
      </c>
      <c r="N695" s="1">
        <v>199.5847</v>
      </c>
      <c r="O695" s="2">
        <v>4.5</v>
      </c>
      <c r="P695">
        <v>111</v>
      </c>
    </row>
    <row r="696" spans="1:16" x14ac:dyDescent="0.35">
      <c r="A696" s="4">
        <v>44317</v>
      </c>
      <c r="B696" t="s">
        <v>19</v>
      </c>
      <c r="C696" t="s">
        <v>14</v>
      </c>
      <c r="D696">
        <v>1</v>
      </c>
      <c r="E696" s="2">
        <f>(2425+2430+2433)/3</f>
        <v>2429.3333333333335</v>
      </c>
      <c r="F696" s="2">
        <f t="shared" si="112"/>
        <v>2296.0566666666668</v>
      </c>
      <c r="G696" s="3">
        <v>1</v>
      </c>
      <c r="H696">
        <v>2370</v>
      </c>
      <c r="I696">
        <v>940.7</v>
      </c>
      <c r="J696">
        <v>20856</v>
      </c>
      <c r="K696">
        <v>19920</v>
      </c>
      <c r="L696" s="2">
        <v>27.279374999999998</v>
      </c>
      <c r="M696" s="5">
        <v>258.98</v>
      </c>
      <c r="N696" s="1">
        <v>199.5847</v>
      </c>
      <c r="O696" s="2">
        <v>4.5</v>
      </c>
      <c r="P696">
        <v>111</v>
      </c>
    </row>
    <row r="697" spans="1:16" x14ac:dyDescent="0.35">
      <c r="A697" s="4">
        <v>44317</v>
      </c>
      <c r="B697" t="s">
        <v>19</v>
      </c>
      <c r="C697" t="s">
        <v>15</v>
      </c>
      <c r="D697">
        <v>1</v>
      </c>
      <c r="E697" s="2">
        <v>2450</v>
      </c>
      <c r="F697" s="2">
        <f t="shared" si="112"/>
        <v>2296.0566666666668</v>
      </c>
      <c r="G697" s="3">
        <v>1</v>
      </c>
      <c r="H697">
        <v>2370</v>
      </c>
      <c r="I697">
        <v>940.7</v>
      </c>
      <c r="J697">
        <v>20856</v>
      </c>
      <c r="K697">
        <v>19920</v>
      </c>
      <c r="L697" s="2">
        <v>27.279374999999998</v>
      </c>
      <c r="M697" s="5">
        <v>258.98</v>
      </c>
      <c r="N697" s="1">
        <v>199.5847</v>
      </c>
      <c r="O697" s="2">
        <v>4.5</v>
      </c>
      <c r="P697">
        <v>111</v>
      </c>
    </row>
    <row r="698" spans="1:16" x14ac:dyDescent="0.35">
      <c r="A698" s="4">
        <v>44317</v>
      </c>
      <c r="B698" t="s">
        <v>20</v>
      </c>
      <c r="C698" t="s">
        <v>10</v>
      </c>
      <c r="D698">
        <v>1</v>
      </c>
      <c r="E698" s="2">
        <f>(1950+1983+1966)/3</f>
        <v>1966.3333333333333</v>
      </c>
      <c r="F698" s="2">
        <f t="shared" ref="F698:F703" si="113">(2087+2083.6+2079.2)/3</f>
        <v>2083.2666666666669</v>
      </c>
      <c r="G698" s="3">
        <v>1</v>
      </c>
      <c r="H698">
        <v>2370</v>
      </c>
      <c r="I698">
        <v>940.7</v>
      </c>
      <c r="J698">
        <v>20856</v>
      </c>
      <c r="K698">
        <v>19920</v>
      </c>
      <c r="L698" s="2">
        <v>27.279374999999998</v>
      </c>
      <c r="M698" s="5">
        <v>258.98</v>
      </c>
      <c r="N698" s="1">
        <v>199.5847</v>
      </c>
      <c r="O698" s="2">
        <v>4.5</v>
      </c>
      <c r="P698">
        <v>111</v>
      </c>
    </row>
    <row r="699" spans="1:16" x14ac:dyDescent="0.35">
      <c r="A699" s="4">
        <v>44317</v>
      </c>
      <c r="B699" t="s">
        <v>20</v>
      </c>
      <c r="C699" t="s">
        <v>11</v>
      </c>
      <c r="D699">
        <v>1</v>
      </c>
      <c r="E699" s="2" t="s">
        <v>27</v>
      </c>
      <c r="F699" s="2">
        <f t="shared" si="113"/>
        <v>2083.2666666666669</v>
      </c>
      <c r="G699" s="3">
        <v>1</v>
      </c>
      <c r="H699">
        <v>2370</v>
      </c>
      <c r="I699">
        <v>940.7</v>
      </c>
      <c r="J699">
        <v>20856</v>
      </c>
      <c r="K699">
        <v>19920</v>
      </c>
      <c r="L699" s="2">
        <v>27.279374999999998</v>
      </c>
      <c r="M699" s="5">
        <v>258.98</v>
      </c>
      <c r="N699" s="1">
        <v>199.5847</v>
      </c>
      <c r="O699" s="2">
        <v>4.5</v>
      </c>
      <c r="P699">
        <v>111</v>
      </c>
    </row>
    <row r="700" spans="1:16" x14ac:dyDescent="0.35">
      <c r="A700" s="4">
        <v>44317</v>
      </c>
      <c r="B700" t="s">
        <v>20</v>
      </c>
      <c r="C700" t="s">
        <v>12</v>
      </c>
      <c r="D700">
        <v>1</v>
      </c>
      <c r="E700" s="2">
        <v>1891.67</v>
      </c>
      <c r="F700" s="2">
        <f t="shared" si="113"/>
        <v>2083.2666666666669</v>
      </c>
      <c r="G700" s="3">
        <v>1</v>
      </c>
      <c r="H700">
        <v>2370</v>
      </c>
      <c r="I700">
        <v>940.7</v>
      </c>
      <c r="J700">
        <v>20856</v>
      </c>
      <c r="K700">
        <v>19920</v>
      </c>
      <c r="L700" s="2">
        <v>27.279374999999998</v>
      </c>
      <c r="M700" s="5">
        <v>258.98</v>
      </c>
      <c r="N700" s="1">
        <v>199.5847</v>
      </c>
      <c r="O700" s="2">
        <v>4.5</v>
      </c>
      <c r="P700">
        <v>111</v>
      </c>
    </row>
    <row r="701" spans="1:16" x14ac:dyDescent="0.35">
      <c r="A701" s="4">
        <v>44317</v>
      </c>
      <c r="B701" t="s">
        <v>20</v>
      </c>
      <c r="C701" t="s">
        <v>13</v>
      </c>
      <c r="D701">
        <v>1</v>
      </c>
      <c r="E701" s="2">
        <v>2185</v>
      </c>
      <c r="F701" s="2">
        <f t="shared" si="113"/>
        <v>2083.2666666666669</v>
      </c>
      <c r="G701" s="3">
        <v>1</v>
      </c>
      <c r="H701">
        <v>2370</v>
      </c>
      <c r="I701">
        <v>940.7</v>
      </c>
      <c r="J701">
        <v>20856</v>
      </c>
      <c r="K701">
        <v>19920</v>
      </c>
      <c r="L701" s="2">
        <v>27.279374999999998</v>
      </c>
      <c r="M701" s="5">
        <v>258.98</v>
      </c>
      <c r="N701" s="1">
        <v>199.5847</v>
      </c>
      <c r="O701" s="2">
        <v>4.5</v>
      </c>
      <c r="P701">
        <v>111</v>
      </c>
    </row>
    <row r="702" spans="1:16" x14ac:dyDescent="0.35">
      <c r="A702" s="4">
        <v>44317</v>
      </c>
      <c r="B702" t="s">
        <v>20</v>
      </c>
      <c r="C702" t="s">
        <v>14</v>
      </c>
      <c r="D702">
        <v>1</v>
      </c>
      <c r="E702" s="2">
        <v>2183.67</v>
      </c>
      <c r="F702" s="2">
        <f t="shared" si="113"/>
        <v>2083.2666666666669</v>
      </c>
      <c r="G702" s="3">
        <v>1</v>
      </c>
      <c r="H702">
        <v>2370</v>
      </c>
      <c r="I702">
        <v>940.7</v>
      </c>
      <c r="J702">
        <v>20856</v>
      </c>
      <c r="K702">
        <v>19920</v>
      </c>
      <c r="L702" s="2">
        <v>27.279374999999998</v>
      </c>
      <c r="M702" s="5">
        <v>258.98</v>
      </c>
      <c r="N702" s="1">
        <v>199.5847</v>
      </c>
      <c r="O702" s="2">
        <v>4.5</v>
      </c>
      <c r="P702">
        <v>111</v>
      </c>
    </row>
    <row r="703" spans="1:16" x14ac:dyDescent="0.35">
      <c r="A703" s="4">
        <v>44317</v>
      </c>
      <c r="B703" t="s">
        <v>20</v>
      </c>
      <c r="C703" t="s">
        <v>15</v>
      </c>
      <c r="D703">
        <v>1</v>
      </c>
      <c r="E703" s="2">
        <f>(2200*2+2175)/3</f>
        <v>2191.6666666666665</v>
      </c>
      <c r="F703" s="2">
        <f t="shared" si="113"/>
        <v>2083.2666666666669</v>
      </c>
      <c r="G703" s="3">
        <v>1</v>
      </c>
      <c r="H703">
        <v>2370</v>
      </c>
      <c r="I703">
        <v>940.7</v>
      </c>
      <c r="J703">
        <v>20856</v>
      </c>
      <c r="K703">
        <v>19920</v>
      </c>
      <c r="L703" s="2">
        <v>27.279374999999998</v>
      </c>
      <c r="M703" s="5">
        <v>258.98</v>
      </c>
      <c r="N703" s="1">
        <v>199.5847</v>
      </c>
      <c r="O703" s="2">
        <v>4.5</v>
      </c>
      <c r="P703">
        <v>111</v>
      </c>
    </row>
    <row r="704" spans="1:16" x14ac:dyDescent="0.35">
      <c r="A704" s="4">
        <v>44317</v>
      </c>
      <c r="B704" t="s">
        <v>21</v>
      </c>
      <c r="C704" t="s">
        <v>10</v>
      </c>
      <c r="D704">
        <v>1</v>
      </c>
      <c r="E704" s="2">
        <f>(1683+1583+1650)/3</f>
        <v>1638.6666666666667</v>
      </c>
      <c r="F704" s="2">
        <f t="shared" ref="F704:F709" si="114">(1960.6+1951.2+1973.2)/3</f>
        <v>1961.6666666666667</v>
      </c>
      <c r="G704" s="3">
        <v>1</v>
      </c>
      <c r="H704">
        <v>2370</v>
      </c>
      <c r="I704">
        <v>940.7</v>
      </c>
      <c r="J704">
        <v>20856</v>
      </c>
      <c r="K704">
        <v>19920</v>
      </c>
      <c r="L704" s="2">
        <v>27.279374999999998</v>
      </c>
      <c r="M704" s="5">
        <v>258.98</v>
      </c>
      <c r="N704" s="1">
        <v>199.5847</v>
      </c>
      <c r="O704" s="2">
        <v>4.5</v>
      </c>
      <c r="P704">
        <v>111</v>
      </c>
    </row>
    <row r="705" spans="1:16" x14ac:dyDescent="0.35">
      <c r="A705" s="4">
        <v>44317</v>
      </c>
      <c r="B705" t="s">
        <v>21</v>
      </c>
      <c r="C705" t="s">
        <v>11</v>
      </c>
      <c r="D705">
        <v>1</v>
      </c>
      <c r="E705" s="2" t="s">
        <v>27</v>
      </c>
      <c r="F705" s="2">
        <f t="shared" si="114"/>
        <v>1961.6666666666667</v>
      </c>
      <c r="G705" s="3">
        <v>1</v>
      </c>
      <c r="H705">
        <v>2370</v>
      </c>
      <c r="I705">
        <v>940.7</v>
      </c>
      <c r="J705">
        <v>20856</v>
      </c>
      <c r="K705">
        <v>19920</v>
      </c>
      <c r="L705" s="2">
        <v>27.279374999999998</v>
      </c>
      <c r="M705" s="5">
        <v>258.98</v>
      </c>
      <c r="N705" s="1">
        <v>199.5847</v>
      </c>
      <c r="O705" s="2">
        <v>4.5</v>
      </c>
      <c r="P705">
        <v>111</v>
      </c>
    </row>
    <row r="706" spans="1:16" x14ac:dyDescent="0.35">
      <c r="A706" s="4">
        <v>44317</v>
      </c>
      <c r="B706" t="s">
        <v>21</v>
      </c>
      <c r="C706" t="s">
        <v>12</v>
      </c>
      <c r="D706">
        <v>1</v>
      </c>
      <c r="E706" s="2">
        <v>1800</v>
      </c>
      <c r="F706" s="2">
        <f t="shared" si="114"/>
        <v>1961.6666666666667</v>
      </c>
      <c r="G706" s="3">
        <v>1</v>
      </c>
      <c r="H706">
        <v>2370</v>
      </c>
      <c r="I706">
        <v>940.7</v>
      </c>
      <c r="J706">
        <v>20856</v>
      </c>
      <c r="K706">
        <v>19920</v>
      </c>
      <c r="L706" s="2">
        <v>27.279374999999998</v>
      </c>
      <c r="M706" s="5">
        <v>258.98</v>
      </c>
      <c r="N706" s="1">
        <v>199.5847</v>
      </c>
      <c r="O706" s="2">
        <v>4.5</v>
      </c>
      <c r="P706">
        <v>111</v>
      </c>
    </row>
    <row r="707" spans="1:16" x14ac:dyDescent="0.35">
      <c r="A707" s="4">
        <v>44317</v>
      </c>
      <c r="B707" t="s">
        <v>21</v>
      </c>
      <c r="C707" t="s">
        <v>13</v>
      </c>
      <c r="D707">
        <v>1</v>
      </c>
      <c r="E707" s="2">
        <f>(2145+2102+2120)/3</f>
        <v>2122.3333333333335</v>
      </c>
      <c r="F707" s="2">
        <f t="shared" si="114"/>
        <v>1961.6666666666667</v>
      </c>
      <c r="G707" s="3">
        <v>1</v>
      </c>
      <c r="H707">
        <v>2370</v>
      </c>
      <c r="I707">
        <v>940.7</v>
      </c>
      <c r="J707">
        <v>20856</v>
      </c>
      <c r="K707">
        <v>19920</v>
      </c>
      <c r="L707" s="2">
        <v>27.279374999999998</v>
      </c>
      <c r="M707" s="5">
        <v>258.98</v>
      </c>
      <c r="N707" s="1">
        <v>199.5847</v>
      </c>
      <c r="O707" s="2">
        <v>4.5</v>
      </c>
      <c r="P707">
        <v>111</v>
      </c>
    </row>
    <row r="708" spans="1:16" x14ac:dyDescent="0.35">
      <c r="A708" s="4">
        <v>44317</v>
      </c>
      <c r="B708" t="s">
        <v>21</v>
      </c>
      <c r="C708" t="s">
        <v>14</v>
      </c>
      <c r="D708">
        <v>1</v>
      </c>
      <c r="E708" s="2">
        <f>(2100+2121+2108)/3</f>
        <v>2109.6666666666665</v>
      </c>
      <c r="F708" s="2">
        <f t="shared" si="114"/>
        <v>1961.6666666666667</v>
      </c>
      <c r="G708" s="3">
        <v>1</v>
      </c>
      <c r="H708">
        <v>2370</v>
      </c>
      <c r="I708">
        <v>940.7</v>
      </c>
      <c r="J708">
        <v>20856</v>
      </c>
      <c r="K708">
        <v>19920</v>
      </c>
      <c r="L708" s="2">
        <v>27.279374999999998</v>
      </c>
      <c r="M708" s="5">
        <v>258.98</v>
      </c>
      <c r="N708" s="1">
        <v>199.5847</v>
      </c>
      <c r="O708" s="2">
        <v>4.5</v>
      </c>
      <c r="P708">
        <v>111</v>
      </c>
    </row>
    <row r="709" spans="1:16" x14ac:dyDescent="0.35">
      <c r="A709" s="4">
        <v>44317</v>
      </c>
      <c r="B709" t="s">
        <v>21</v>
      </c>
      <c r="C709" t="s">
        <v>15</v>
      </c>
      <c r="D709">
        <v>1</v>
      </c>
      <c r="E709" s="2">
        <f>(2165+2150+2100)/3</f>
        <v>2138.3333333333335</v>
      </c>
      <c r="F709" s="2">
        <f t="shared" si="114"/>
        <v>1961.6666666666667</v>
      </c>
      <c r="G709" s="3">
        <v>1</v>
      </c>
      <c r="H709">
        <v>2370</v>
      </c>
      <c r="I709">
        <v>940.7</v>
      </c>
      <c r="J709">
        <v>20856</v>
      </c>
      <c r="K709">
        <v>19920</v>
      </c>
      <c r="L709" s="2">
        <v>27.279374999999998</v>
      </c>
      <c r="M709" s="5">
        <v>258.98</v>
      </c>
      <c r="N709" s="1">
        <v>199.5847</v>
      </c>
      <c r="O709" s="2">
        <v>4.5</v>
      </c>
      <c r="P709">
        <v>111</v>
      </c>
    </row>
    <row r="710" spans="1:16" x14ac:dyDescent="0.35">
      <c r="A710" s="4">
        <v>44317</v>
      </c>
      <c r="B710" t="s">
        <v>22</v>
      </c>
      <c r="C710" t="s">
        <v>10</v>
      </c>
      <c r="D710">
        <v>0</v>
      </c>
      <c r="E710" s="2" t="s">
        <v>27</v>
      </c>
      <c r="F710" s="2">
        <f t="shared" ref="F710:F715" si="115">(1825+1875+1867)/3</f>
        <v>1855.6666666666667</v>
      </c>
      <c r="G710" s="3">
        <v>1</v>
      </c>
      <c r="H710">
        <v>2370</v>
      </c>
      <c r="I710">
        <v>940.7</v>
      </c>
      <c r="J710">
        <v>20856</v>
      </c>
      <c r="K710">
        <v>19920</v>
      </c>
      <c r="L710" s="2">
        <v>27.279374999999998</v>
      </c>
      <c r="M710" s="5">
        <v>258.98</v>
      </c>
      <c r="N710" s="1">
        <v>199.5847</v>
      </c>
      <c r="O710" s="2">
        <v>4.5</v>
      </c>
      <c r="P710">
        <v>111</v>
      </c>
    </row>
    <row r="711" spans="1:16" x14ac:dyDescent="0.35">
      <c r="A711" s="4">
        <v>44317</v>
      </c>
      <c r="B711" t="s">
        <v>22</v>
      </c>
      <c r="C711" t="s">
        <v>11</v>
      </c>
      <c r="D711">
        <v>0</v>
      </c>
      <c r="E711" s="2" t="s">
        <v>27</v>
      </c>
      <c r="F711" s="2">
        <f t="shared" si="115"/>
        <v>1855.6666666666667</v>
      </c>
      <c r="G711" s="3">
        <v>1</v>
      </c>
      <c r="H711">
        <v>2370</v>
      </c>
      <c r="I711">
        <v>940.7</v>
      </c>
      <c r="J711">
        <v>20856</v>
      </c>
      <c r="K711">
        <v>19920</v>
      </c>
      <c r="L711" s="2">
        <v>27.279374999999998</v>
      </c>
      <c r="M711" s="5">
        <v>258.98</v>
      </c>
      <c r="N711" s="1">
        <v>199.5847</v>
      </c>
      <c r="O711" s="2">
        <v>4.5</v>
      </c>
      <c r="P711">
        <v>111</v>
      </c>
    </row>
    <row r="712" spans="1:16" x14ac:dyDescent="0.35">
      <c r="A712" s="4">
        <v>44317</v>
      </c>
      <c r="B712" t="s">
        <v>22</v>
      </c>
      <c r="C712" t="s">
        <v>12</v>
      </c>
      <c r="D712">
        <v>0</v>
      </c>
      <c r="E712" s="2" t="s">
        <v>27</v>
      </c>
      <c r="F712" s="2">
        <f t="shared" si="115"/>
        <v>1855.6666666666667</v>
      </c>
      <c r="G712" s="3">
        <v>1</v>
      </c>
      <c r="H712">
        <v>2370</v>
      </c>
      <c r="I712">
        <v>940.7</v>
      </c>
      <c r="J712">
        <v>20856</v>
      </c>
      <c r="K712">
        <v>19920</v>
      </c>
      <c r="L712" s="2">
        <v>27.279374999999998</v>
      </c>
      <c r="M712" s="5">
        <v>258.98</v>
      </c>
      <c r="N712" s="1">
        <v>199.5847</v>
      </c>
      <c r="O712" s="2">
        <v>4.5</v>
      </c>
      <c r="P712">
        <v>111</v>
      </c>
    </row>
    <row r="713" spans="1:16" x14ac:dyDescent="0.35">
      <c r="A713" s="4">
        <v>44317</v>
      </c>
      <c r="B713" t="s">
        <v>22</v>
      </c>
      <c r="C713" t="s">
        <v>13</v>
      </c>
      <c r="D713">
        <v>0</v>
      </c>
      <c r="E713" s="2" t="s">
        <v>27</v>
      </c>
      <c r="F713" s="2">
        <f t="shared" si="115"/>
        <v>1855.6666666666667</v>
      </c>
      <c r="G713" s="3">
        <v>1</v>
      </c>
      <c r="H713">
        <v>2370</v>
      </c>
      <c r="I713">
        <v>940.7</v>
      </c>
      <c r="J713">
        <v>20856</v>
      </c>
      <c r="K713">
        <v>19920</v>
      </c>
      <c r="L713" s="2">
        <v>27.279374999999998</v>
      </c>
      <c r="M713" s="5">
        <v>258.98</v>
      </c>
      <c r="N713" s="1">
        <v>199.5847</v>
      </c>
      <c r="O713" s="2">
        <v>4.5</v>
      </c>
      <c r="P713">
        <v>111</v>
      </c>
    </row>
    <row r="714" spans="1:16" x14ac:dyDescent="0.35">
      <c r="A714" s="4">
        <v>44317</v>
      </c>
      <c r="B714" t="s">
        <v>22</v>
      </c>
      <c r="C714" t="s">
        <v>14</v>
      </c>
      <c r="D714">
        <v>1</v>
      </c>
      <c r="E714" s="2">
        <f>(1825+1875+1867)/3</f>
        <v>1855.6666666666667</v>
      </c>
      <c r="F714" s="2">
        <f t="shared" si="115"/>
        <v>1855.6666666666667</v>
      </c>
      <c r="G714" s="3">
        <v>1</v>
      </c>
      <c r="H714">
        <v>2370</v>
      </c>
      <c r="I714">
        <v>940.7</v>
      </c>
      <c r="J714">
        <v>20856</v>
      </c>
      <c r="K714">
        <v>19920</v>
      </c>
      <c r="L714" s="2">
        <v>27.279374999999998</v>
      </c>
      <c r="M714" s="5">
        <v>258.98</v>
      </c>
      <c r="N714" s="1">
        <v>199.5847</v>
      </c>
      <c r="O714" s="2">
        <v>4.5</v>
      </c>
      <c r="P714">
        <v>111</v>
      </c>
    </row>
    <row r="715" spans="1:16" x14ac:dyDescent="0.35">
      <c r="A715" s="4">
        <v>44317</v>
      </c>
      <c r="B715" t="s">
        <v>22</v>
      </c>
      <c r="C715" t="s">
        <v>15</v>
      </c>
      <c r="D715">
        <v>0</v>
      </c>
      <c r="E715" s="2" t="s">
        <v>27</v>
      </c>
      <c r="F715" s="2">
        <f t="shared" si="115"/>
        <v>1855.6666666666667</v>
      </c>
      <c r="G715" s="3">
        <v>1</v>
      </c>
      <c r="H715">
        <v>2370</v>
      </c>
      <c r="I715">
        <v>940.7</v>
      </c>
      <c r="J715">
        <v>20856</v>
      </c>
      <c r="K715">
        <v>19920</v>
      </c>
      <c r="L715" s="2">
        <v>27.279374999999998</v>
      </c>
      <c r="M715" s="5">
        <v>258.98</v>
      </c>
      <c r="N715" s="1">
        <v>199.5847</v>
      </c>
      <c r="O715" s="2">
        <v>4.5</v>
      </c>
      <c r="P715">
        <v>111</v>
      </c>
    </row>
    <row r="716" spans="1:16" x14ac:dyDescent="0.35">
      <c r="A716" s="4">
        <v>44348</v>
      </c>
      <c r="B716" t="s">
        <v>16</v>
      </c>
      <c r="C716" t="s">
        <v>10</v>
      </c>
      <c r="D716">
        <v>1</v>
      </c>
      <c r="E716" s="2">
        <f>(2725+2950)/2</f>
        <v>2837.5</v>
      </c>
      <c r="F716" s="2">
        <f t="shared" ref="F716:F721" si="116">(2996.25+3087.5)/2</f>
        <v>3041.875</v>
      </c>
      <c r="G716" s="3">
        <v>1</v>
      </c>
      <c r="H716">
        <v>3555</v>
      </c>
      <c r="I716">
        <v>940.7</v>
      </c>
      <c r="J716">
        <v>14088</v>
      </c>
      <c r="K716">
        <v>14940</v>
      </c>
      <c r="L716" s="2">
        <v>26.799375000000005</v>
      </c>
      <c r="M716" s="5">
        <v>132.15700000000004</v>
      </c>
      <c r="N716" s="1">
        <v>199.81610000000001</v>
      </c>
      <c r="O716" s="2">
        <v>5.2</v>
      </c>
      <c r="P716">
        <v>111</v>
      </c>
    </row>
    <row r="717" spans="1:16" x14ac:dyDescent="0.35">
      <c r="A717" s="4">
        <v>44348</v>
      </c>
      <c r="B717" t="s">
        <v>16</v>
      </c>
      <c r="C717" t="s">
        <v>11</v>
      </c>
      <c r="D717">
        <v>0</v>
      </c>
      <c r="E717" s="2" t="s">
        <v>27</v>
      </c>
      <c r="F717" s="2">
        <f t="shared" si="116"/>
        <v>3041.875</v>
      </c>
      <c r="G717" s="3">
        <v>1</v>
      </c>
      <c r="H717">
        <v>3555</v>
      </c>
      <c r="I717">
        <v>940.7</v>
      </c>
      <c r="J717">
        <v>14088</v>
      </c>
      <c r="K717">
        <v>14940</v>
      </c>
      <c r="L717" s="2">
        <v>26.799375000000005</v>
      </c>
      <c r="M717" s="5">
        <v>132.15700000000004</v>
      </c>
      <c r="N717" s="1">
        <v>199.81610000000001</v>
      </c>
      <c r="O717" s="2">
        <v>5.2</v>
      </c>
      <c r="P717">
        <v>111</v>
      </c>
    </row>
    <row r="718" spans="1:16" x14ac:dyDescent="0.35">
      <c r="A718" s="4">
        <v>44348</v>
      </c>
      <c r="B718" t="s">
        <v>16</v>
      </c>
      <c r="C718" t="s">
        <v>12</v>
      </c>
      <c r="D718">
        <v>1</v>
      </c>
      <c r="E718" s="2">
        <v>3050</v>
      </c>
      <c r="F718" s="2">
        <f t="shared" si="116"/>
        <v>3041.875</v>
      </c>
      <c r="G718" s="3">
        <v>1</v>
      </c>
      <c r="H718">
        <v>3555</v>
      </c>
      <c r="I718">
        <v>940.7</v>
      </c>
      <c r="J718">
        <v>14088</v>
      </c>
      <c r="K718">
        <v>14940</v>
      </c>
      <c r="L718" s="2">
        <v>26.799375000000005</v>
      </c>
      <c r="M718" s="5">
        <v>132.15700000000004</v>
      </c>
      <c r="N718" s="1">
        <v>199.81610000000001</v>
      </c>
      <c r="O718" s="2">
        <v>5.2</v>
      </c>
      <c r="P718">
        <v>111</v>
      </c>
    </row>
    <row r="719" spans="1:16" x14ac:dyDescent="0.35">
      <c r="A719" s="4">
        <v>44348</v>
      </c>
      <c r="B719" t="s">
        <v>16</v>
      </c>
      <c r="C719" t="s">
        <v>13</v>
      </c>
      <c r="D719">
        <v>1</v>
      </c>
      <c r="E719" s="2">
        <v>3175</v>
      </c>
      <c r="F719" s="2">
        <f t="shared" si="116"/>
        <v>3041.875</v>
      </c>
      <c r="G719" s="3">
        <v>1</v>
      </c>
      <c r="H719">
        <v>3555</v>
      </c>
      <c r="I719">
        <v>940.7</v>
      </c>
      <c r="J719">
        <v>14088</v>
      </c>
      <c r="K719">
        <v>14940</v>
      </c>
      <c r="L719" s="2">
        <v>26.799375000000005</v>
      </c>
      <c r="M719" s="5">
        <v>132.15700000000004</v>
      </c>
      <c r="N719" s="1">
        <v>199.81610000000001</v>
      </c>
      <c r="O719" s="2">
        <v>5.2</v>
      </c>
      <c r="P719">
        <v>111</v>
      </c>
    </row>
    <row r="720" spans="1:16" x14ac:dyDescent="0.35">
      <c r="A720" s="4">
        <v>44348</v>
      </c>
      <c r="B720" t="s">
        <v>16</v>
      </c>
      <c r="C720" t="s">
        <v>14</v>
      </c>
      <c r="D720">
        <v>1</v>
      </c>
      <c r="E720" s="2">
        <v>3105</v>
      </c>
      <c r="F720" s="2">
        <f t="shared" si="116"/>
        <v>3041.875</v>
      </c>
      <c r="G720" s="3">
        <v>1</v>
      </c>
      <c r="H720">
        <v>3555</v>
      </c>
      <c r="I720">
        <v>940.7</v>
      </c>
      <c r="J720">
        <v>14088</v>
      </c>
      <c r="K720">
        <v>14940</v>
      </c>
      <c r="L720" s="2">
        <v>26.799375000000005</v>
      </c>
      <c r="M720" s="5">
        <v>132.15700000000004</v>
      </c>
      <c r="N720" s="1">
        <v>199.81610000000001</v>
      </c>
      <c r="O720" s="2">
        <v>5.2</v>
      </c>
      <c r="P720">
        <v>111</v>
      </c>
    </row>
    <row r="721" spans="1:16" x14ac:dyDescent="0.35">
      <c r="A721" s="4">
        <v>44348</v>
      </c>
      <c r="B721" t="s">
        <v>16</v>
      </c>
      <c r="C721" t="s">
        <v>15</v>
      </c>
      <c r="D721">
        <v>0</v>
      </c>
      <c r="E721" s="2" t="s">
        <v>27</v>
      </c>
      <c r="F721" s="2">
        <f t="shared" si="116"/>
        <v>3041.875</v>
      </c>
      <c r="G721" s="3">
        <v>1</v>
      </c>
      <c r="H721">
        <v>3555</v>
      </c>
      <c r="I721">
        <v>940.7</v>
      </c>
      <c r="J721">
        <v>14088</v>
      </c>
      <c r="K721">
        <v>14940</v>
      </c>
      <c r="L721" s="2">
        <v>26.799375000000005</v>
      </c>
      <c r="M721" s="5">
        <v>132.15700000000004</v>
      </c>
      <c r="N721" s="1">
        <v>199.81610000000001</v>
      </c>
      <c r="O721" s="2">
        <v>5.2</v>
      </c>
      <c r="P721">
        <v>111</v>
      </c>
    </row>
    <row r="722" spans="1:16" x14ac:dyDescent="0.35">
      <c r="A722" s="4">
        <v>44348</v>
      </c>
      <c r="B722" t="s">
        <v>17</v>
      </c>
      <c r="C722" t="s">
        <v>10</v>
      </c>
      <c r="D722">
        <v>1</v>
      </c>
      <c r="E722" s="2">
        <f>(2716+2660)/2</f>
        <v>2688</v>
      </c>
      <c r="F722" s="2">
        <f t="shared" ref="F722:F727" si="117">(2759.75+2708)/2</f>
        <v>2733.875</v>
      </c>
      <c r="G722" s="3">
        <v>1</v>
      </c>
      <c r="H722">
        <v>3555</v>
      </c>
      <c r="I722">
        <v>940.7</v>
      </c>
      <c r="J722">
        <v>14088</v>
      </c>
      <c r="K722">
        <v>14940</v>
      </c>
      <c r="L722" s="2">
        <v>26.799375000000005</v>
      </c>
      <c r="M722" s="5">
        <v>132.15700000000004</v>
      </c>
      <c r="N722" s="1">
        <v>199.81610000000001</v>
      </c>
      <c r="O722" s="2">
        <v>5.2</v>
      </c>
      <c r="P722">
        <v>111</v>
      </c>
    </row>
    <row r="723" spans="1:16" x14ac:dyDescent="0.35">
      <c r="A723" s="4">
        <v>44348</v>
      </c>
      <c r="B723" t="s">
        <v>17</v>
      </c>
      <c r="C723" t="s">
        <v>11</v>
      </c>
      <c r="D723">
        <v>1</v>
      </c>
      <c r="E723" s="2" t="s">
        <v>27</v>
      </c>
      <c r="F723" s="2">
        <f t="shared" si="117"/>
        <v>2733.875</v>
      </c>
      <c r="G723" s="3">
        <v>1</v>
      </c>
      <c r="H723">
        <v>3555</v>
      </c>
      <c r="I723">
        <v>940.7</v>
      </c>
      <c r="J723">
        <v>14088</v>
      </c>
      <c r="K723">
        <v>14940</v>
      </c>
      <c r="L723" s="2">
        <v>26.799375000000005</v>
      </c>
      <c r="M723" s="5">
        <v>132.15700000000004</v>
      </c>
      <c r="N723" s="1">
        <v>199.81610000000001</v>
      </c>
      <c r="O723" s="2">
        <v>5.2</v>
      </c>
      <c r="P723">
        <v>111</v>
      </c>
    </row>
    <row r="724" spans="1:16" x14ac:dyDescent="0.35">
      <c r="A724" s="4">
        <v>44348</v>
      </c>
      <c r="B724" t="s">
        <v>17</v>
      </c>
      <c r="C724" t="s">
        <v>12</v>
      </c>
      <c r="D724">
        <v>1</v>
      </c>
      <c r="E724" s="2">
        <f>(2580+2765)/2</f>
        <v>2672.5</v>
      </c>
      <c r="F724" s="2">
        <f t="shared" si="117"/>
        <v>2733.875</v>
      </c>
      <c r="G724" s="3">
        <v>1</v>
      </c>
      <c r="H724">
        <v>3555</v>
      </c>
      <c r="I724">
        <v>940.7</v>
      </c>
      <c r="J724">
        <v>14088</v>
      </c>
      <c r="K724">
        <v>14940</v>
      </c>
      <c r="L724" s="2">
        <v>26.799375000000005</v>
      </c>
      <c r="M724" s="5">
        <v>132.15700000000004</v>
      </c>
      <c r="N724" s="1">
        <v>199.81610000000001</v>
      </c>
      <c r="O724" s="2">
        <v>5.2</v>
      </c>
      <c r="P724">
        <v>111</v>
      </c>
    </row>
    <row r="725" spans="1:16" x14ac:dyDescent="0.35">
      <c r="A725" s="4">
        <v>44348</v>
      </c>
      <c r="B725" t="s">
        <v>17</v>
      </c>
      <c r="C725" t="s">
        <v>13</v>
      </c>
      <c r="D725">
        <v>1</v>
      </c>
      <c r="E725" s="2">
        <v>2775</v>
      </c>
      <c r="F725" s="2">
        <f t="shared" si="117"/>
        <v>2733.875</v>
      </c>
      <c r="G725" s="3">
        <v>1</v>
      </c>
      <c r="H725">
        <v>3555</v>
      </c>
      <c r="I725">
        <v>940.7</v>
      </c>
      <c r="J725">
        <v>14088</v>
      </c>
      <c r="K725">
        <v>14940</v>
      </c>
      <c r="L725" s="2">
        <v>26.799375000000005</v>
      </c>
      <c r="M725" s="5">
        <v>132.15700000000004</v>
      </c>
      <c r="N725" s="1">
        <v>199.81610000000001</v>
      </c>
      <c r="O725" s="2">
        <v>5.2</v>
      </c>
      <c r="P725">
        <v>111</v>
      </c>
    </row>
    <row r="726" spans="1:16" x14ac:dyDescent="0.35">
      <c r="A726" s="4">
        <v>44348</v>
      </c>
      <c r="B726" t="s">
        <v>17</v>
      </c>
      <c r="C726" t="s">
        <v>14</v>
      </c>
      <c r="D726">
        <v>1</v>
      </c>
      <c r="E726" s="2">
        <f>(2817+2783)/2</f>
        <v>2800</v>
      </c>
      <c r="F726" s="2">
        <f t="shared" si="117"/>
        <v>2733.875</v>
      </c>
      <c r="G726" s="3">
        <v>1</v>
      </c>
      <c r="H726">
        <v>3555</v>
      </c>
      <c r="I726">
        <v>940.7</v>
      </c>
      <c r="J726">
        <v>14088</v>
      </c>
      <c r="K726">
        <v>14940</v>
      </c>
      <c r="L726" s="2">
        <v>26.799375000000005</v>
      </c>
      <c r="M726" s="5">
        <v>132.15700000000004</v>
      </c>
      <c r="N726" s="1">
        <v>199.81610000000001</v>
      </c>
      <c r="O726" s="2">
        <v>5.2</v>
      </c>
      <c r="P726">
        <v>111</v>
      </c>
    </row>
    <row r="727" spans="1:16" x14ac:dyDescent="0.35">
      <c r="A727" s="4">
        <v>44348</v>
      </c>
      <c r="B727" t="s">
        <v>17</v>
      </c>
      <c r="C727" t="s">
        <v>15</v>
      </c>
      <c r="D727">
        <v>0</v>
      </c>
      <c r="E727" s="2" t="s">
        <v>27</v>
      </c>
      <c r="F727" s="2">
        <f t="shared" si="117"/>
        <v>2733.875</v>
      </c>
      <c r="G727" s="3">
        <v>1</v>
      </c>
      <c r="H727">
        <v>3555</v>
      </c>
      <c r="I727">
        <v>940.7</v>
      </c>
      <c r="J727">
        <v>14088</v>
      </c>
      <c r="K727">
        <v>14940</v>
      </c>
      <c r="L727" s="2">
        <v>26.799375000000005</v>
      </c>
      <c r="M727" s="5">
        <v>132.15700000000004</v>
      </c>
      <c r="N727" s="1">
        <v>199.81610000000001</v>
      </c>
      <c r="O727" s="2">
        <v>5.2</v>
      </c>
      <c r="P727">
        <v>111</v>
      </c>
    </row>
    <row r="728" spans="1:16" x14ac:dyDescent="0.35">
      <c r="A728" s="4">
        <v>44348</v>
      </c>
      <c r="B728" t="s">
        <v>18</v>
      </c>
      <c r="C728" t="s">
        <v>10</v>
      </c>
      <c r="D728">
        <v>1</v>
      </c>
      <c r="E728" s="2">
        <f>(2550+2666)/2</f>
        <v>2608</v>
      </c>
      <c r="F728" s="2">
        <f t="shared" ref="F728:F733" si="118">(2560.5+2539.5)/2</f>
        <v>2550</v>
      </c>
      <c r="G728" s="3">
        <v>1</v>
      </c>
      <c r="H728">
        <v>3555</v>
      </c>
      <c r="I728">
        <v>940.7</v>
      </c>
      <c r="J728">
        <v>14088</v>
      </c>
      <c r="K728">
        <v>14940</v>
      </c>
      <c r="L728" s="2">
        <v>26.799375000000005</v>
      </c>
      <c r="M728" s="5">
        <v>132.15700000000004</v>
      </c>
      <c r="N728" s="1">
        <v>199.81610000000001</v>
      </c>
      <c r="O728" s="2">
        <v>5.2</v>
      </c>
      <c r="P728">
        <v>111</v>
      </c>
    </row>
    <row r="729" spans="1:16" x14ac:dyDescent="0.35">
      <c r="A729" s="4">
        <v>44348</v>
      </c>
      <c r="B729" t="s">
        <v>18</v>
      </c>
      <c r="C729" t="s">
        <v>11</v>
      </c>
      <c r="D729">
        <v>1</v>
      </c>
      <c r="E729" s="2" t="s">
        <v>27</v>
      </c>
      <c r="F729" s="2">
        <f t="shared" si="118"/>
        <v>2550</v>
      </c>
      <c r="G729" s="3">
        <v>1</v>
      </c>
      <c r="H729">
        <v>3555</v>
      </c>
      <c r="I729">
        <v>940.7</v>
      </c>
      <c r="J729">
        <v>14088</v>
      </c>
      <c r="K729">
        <v>14940</v>
      </c>
      <c r="L729" s="2">
        <v>26.799375000000005</v>
      </c>
      <c r="M729" s="5">
        <v>132.15700000000004</v>
      </c>
      <c r="N729" s="1">
        <v>199.81610000000001</v>
      </c>
      <c r="O729" s="2">
        <v>5.2</v>
      </c>
      <c r="P729">
        <v>111</v>
      </c>
    </row>
    <row r="730" spans="1:16" x14ac:dyDescent="0.35">
      <c r="A730" s="4">
        <v>44348</v>
      </c>
      <c r="B730" t="s">
        <v>18</v>
      </c>
      <c r="C730" t="s">
        <v>12</v>
      </c>
      <c r="D730">
        <v>1</v>
      </c>
      <c r="E730" s="2">
        <f>(2597+2470)/2</f>
        <v>2533.5</v>
      </c>
      <c r="F730" s="2">
        <f t="shared" si="118"/>
        <v>2550</v>
      </c>
      <c r="G730" s="3">
        <v>1</v>
      </c>
      <c r="H730">
        <v>3555</v>
      </c>
      <c r="I730">
        <v>940.7</v>
      </c>
      <c r="J730">
        <v>14088</v>
      </c>
      <c r="K730">
        <v>14940</v>
      </c>
      <c r="L730" s="2">
        <v>26.799375000000005</v>
      </c>
      <c r="M730" s="5">
        <v>132.15700000000004</v>
      </c>
      <c r="N730" s="1">
        <v>199.81610000000001</v>
      </c>
      <c r="O730" s="2">
        <v>5.2</v>
      </c>
      <c r="P730">
        <v>111</v>
      </c>
    </row>
    <row r="731" spans="1:16" x14ac:dyDescent="0.35">
      <c r="A731" s="4">
        <v>44348</v>
      </c>
      <c r="B731" t="s">
        <v>18</v>
      </c>
      <c r="C731" t="s">
        <v>13</v>
      </c>
      <c r="D731">
        <v>1</v>
      </c>
      <c r="E731" s="2">
        <v>2675</v>
      </c>
      <c r="F731" s="2">
        <f t="shared" si="118"/>
        <v>2550</v>
      </c>
      <c r="G731" s="3">
        <v>1</v>
      </c>
      <c r="H731">
        <v>3555</v>
      </c>
      <c r="I731">
        <v>940.7</v>
      </c>
      <c r="J731">
        <v>14088</v>
      </c>
      <c r="K731">
        <v>14940</v>
      </c>
      <c r="L731" s="2">
        <v>26.799375000000005</v>
      </c>
      <c r="M731" s="5">
        <v>132.15700000000004</v>
      </c>
      <c r="N731" s="1">
        <v>199.81610000000001</v>
      </c>
      <c r="O731" s="2">
        <v>5.2</v>
      </c>
      <c r="P731">
        <v>111</v>
      </c>
    </row>
    <row r="732" spans="1:16" x14ac:dyDescent="0.35">
      <c r="A732" s="4">
        <v>44348</v>
      </c>
      <c r="B732" t="s">
        <v>18</v>
      </c>
      <c r="C732" t="s">
        <v>14</v>
      </c>
      <c r="D732">
        <v>1</v>
      </c>
      <c r="E732" s="2">
        <v>2658.5</v>
      </c>
      <c r="F732" s="2">
        <f t="shared" si="118"/>
        <v>2550</v>
      </c>
      <c r="G732" s="3">
        <v>1</v>
      </c>
      <c r="H732">
        <v>3555</v>
      </c>
      <c r="I732">
        <v>940.7</v>
      </c>
      <c r="J732">
        <v>14088</v>
      </c>
      <c r="K732">
        <v>14940</v>
      </c>
      <c r="L732" s="2">
        <v>26.799375000000005</v>
      </c>
      <c r="M732" s="5">
        <v>132.15700000000004</v>
      </c>
      <c r="N732" s="1">
        <v>199.81610000000001</v>
      </c>
      <c r="O732" s="2">
        <v>5.2</v>
      </c>
      <c r="P732">
        <v>111</v>
      </c>
    </row>
    <row r="733" spans="1:16" x14ac:dyDescent="0.35">
      <c r="A733" s="4">
        <v>44348</v>
      </c>
      <c r="B733" t="s">
        <v>18</v>
      </c>
      <c r="C733" t="s">
        <v>15</v>
      </c>
      <c r="D733">
        <v>1</v>
      </c>
      <c r="E733" s="2">
        <v>2675</v>
      </c>
      <c r="F733" s="2">
        <f t="shared" si="118"/>
        <v>2550</v>
      </c>
      <c r="G733" s="3">
        <v>1</v>
      </c>
      <c r="H733">
        <v>3555</v>
      </c>
      <c r="I733">
        <v>940.7</v>
      </c>
      <c r="J733">
        <v>14088</v>
      </c>
      <c r="K733">
        <v>14940</v>
      </c>
      <c r="L733" s="2">
        <v>26.799375000000005</v>
      </c>
      <c r="M733" s="5">
        <v>132.15700000000004</v>
      </c>
      <c r="N733" s="1">
        <v>199.81610000000001</v>
      </c>
      <c r="O733" s="2">
        <v>5.2</v>
      </c>
      <c r="P733">
        <v>111</v>
      </c>
    </row>
    <row r="734" spans="1:16" x14ac:dyDescent="0.35">
      <c r="A734" s="4">
        <v>44348</v>
      </c>
      <c r="B734" t="s">
        <v>19</v>
      </c>
      <c r="C734" t="s">
        <v>10</v>
      </c>
      <c r="D734">
        <v>1</v>
      </c>
      <c r="E734" s="2">
        <f>(2450+2483)/2</f>
        <v>2466.5</v>
      </c>
      <c r="F734" s="2">
        <f t="shared" ref="F734:F739" si="119">(2407.33+2368.83)/2</f>
        <v>2388.08</v>
      </c>
      <c r="G734" s="3">
        <v>1</v>
      </c>
      <c r="H734">
        <v>3555</v>
      </c>
      <c r="I734">
        <v>940.7</v>
      </c>
      <c r="J734">
        <v>14088</v>
      </c>
      <c r="K734">
        <v>14940</v>
      </c>
      <c r="L734" s="2">
        <v>26.799375000000005</v>
      </c>
      <c r="M734" s="5">
        <v>132.15700000000004</v>
      </c>
      <c r="N734" s="1">
        <v>199.81610000000001</v>
      </c>
      <c r="O734" s="2">
        <v>5.2</v>
      </c>
      <c r="P734">
        <v>111</v>
      </c>
    </row>
    <row r="735" spans="1:16" x14ac:dyDescent="0.35">
      <c r="A735" s="4">
        <v>44348</v>
      </c>
      <c r="B735" t="s">
        <v>19</v>
      </c>
      <c r="C735" t="s">
        <v>11</v>
      </c>
      <c r="D735">
        <v>1</v>
      </c>
      <c r="E735" s="2" t="s">
        <v>27</v>
      </c>
      <c r="F735" s="2">
        <f t="shared" si="119"/>
        <v>2388.08</v>
      </c>
      <c r="G735" s="3">
        <v>1</v>
      </c>
      <c r="H735">
        <v>3555</v>
      </c>
      <c r="I735">
        <v>940.7</v>
      </c>
      <c r="J735">
        <v>14088</v>
      </c>
      <c r="K735">
        <v>14940</v>
      </c>
      <c r="L735" s="2">
        <v>26.799375000000005</v>
      </c>
      <c r="M735" s="5">
        <v>132.15700000000004</v>
      </c>
      <c r="N735" s="1">
        <v>199.81610000000001</v>
      </c>
      <c r="O735" s="2">
        <v>5.2</v>
      </c>
      <c r="P735">
        <v>111</v>
      </c>
    </row>
    <row r="736" spans="1:16" x14ac:dyDescent="0.35">
      <c r="A736" s="4">
        <v>44348</v>
      </c>
      <c r="B736" t="s">
        <v>19</v>
      </c>
      <c r="C736" t="s">
        <v>12</v>
      </c>
      <c r="D736">
        <v>1</v>
      </c>
      <c r="E736" s="2">
        <f>(2460+2265)/2</f>
        <v>2362.5</v>
      </c>
      <c r="F736" s="2">
        <f t="shared" si="119"/>
        <v>2388.08</v>
      </c>
      <c r="G736" s="3">
        <v>1</v>
      </c>
      <c r="H736">
        <v>3555</v>
      </c>
      <c r="I736">
        <v>940.7</v>
      </c>
      <c r="J736">
        <v>14088</v>
      </c>
      <c r="K736">
        <v>14940</v>
      </c>
      <c r="L736" s="2">
        <v>26.799375000000005</v>
      </c>
      <c r="M736" s="5">
        <v>132.15700000000004</v>
      </c>
      <c r="N736" s="1">
        <v>199.81610000000001</v>
      </c>
      <c r="O736" s="2">
        <v>5.2</v>
      </c>
      <c r="P736">
        <v>111</v>
      </c>
    </row>
    <row r="737" spans="1:16" x14ac:dyDescent="0.35">
      <c r="A737" s="4">
        <v>44348</v>
      </c>
      <c r="B737" t="s">
        <v>19</v>
      </c>
      <c r="C737" t="s">
        <v>13</v>
      </c>
      <c r="D737">
        <v>1</v>
      </c>
      <c r="E737" s="2">
        <v>2590</v>
      </c>
      <c r="F737" s="2">
        <f t="shared" si="119"/>
        <v>2388.08</v>
      </c>
      <c r="G737" s="3">
        <v>1</v>
      </c>
      <c r="H737">
        <v>3555</v>
      </c>
      <c r="I737">
        <v>940.7</v>
      </c>
      <c r="J737">
        <v>14088</v>
      </c>
      <c r="K737">
        <v>14940</v>
      </c>
      <c r="L737" s="2">
        <v>26.799375000000005</v>
      </c>
      <c r="M737" s="5">
        <v>132.15700000000004</v>
      </c>
      <c r="N737" s="1">
        <v>199.81610000000001</v>
      </c>
      <c r="O737" s="2">
        <v>5.2</v>
      </c>
      <c r="P737">
        <v>111</v>
      </c>
    </row>
    <row r="738" spans="1:16" x14ac:dyDescent="0.35">
      <c r="A738" s="4">
        <v>44348</v>
      </c>
      <c r="B738" t="s">
        <v>19</v>
      </c>
      <c r="C738" t="s">
        <v>14</v>
      </c>
      <c r="D738">
        <v>1</v>
      </c>
      <c r="E738" s="2">
        <v>2584.5</v>
      </c>
      <c r="F738" s="2">
        <f t="shared" si="119"/>
        <v>2388.08</v>
      </c>
      <c r="G738" s="3">
        <v>1</v>
      </c>
      <c r="H738">
        <v>3555</v>
      </c>
      <c r="I738">
        <v>940.7</v>
      </c>
      <c r="J738">
        <v>14088</v>
      </c>
      <c r="K738">
        <v>14940</v>
      </c>
      <c r="L738" s="2">
        <v>26.799375000000005</v>
      </c>
      <c r="M738" s="5">
        <v>132.15700000000004</v>
      </c>
      <c r="N738" s="1">
        <v>199.81610000000001</v>
      </c>
      <c r="O738" s="2">
        <v>5.2</v>
      </c>
      <c r="P738">
        <v>111</v>
      </c>
    </row>
    <row r="739" spans="1:16" x14ac:dyDescent="0.35">
      <c r="A739" s="4">
        <v>44348</v>
      </c>
      <c r="B739" t="s">
        <v>19</v>
      </c>
      <c r="C739" t="s">
        <v>15</v>
      </c>
      <c r="D739">
        <v>1</v>
      </c>
      <c r="E739" s="2">
        <v>2575</v>
      </c>
      <c r="F739" s="2">
        <f t="shared" si="119"/>
        <v>2388.08</v>
      </c>
      <c r="G739" s="3">
        <v>1</v>
      </c>
      <c r="H739">
        <v>3555</v>
      </c>
      <c r="I739">
        <v>940.7</v>
      </c>
      <c r="J739">
        <v>14088</v>
      </c>
      <c r="K739">
        <v>14940</v>
      </c>
      <c r="L739" s="2">
        <v>26.799375000000005</v>
      </c>
      <c r="M739" s="5">
        <v>132.15700000000004</v>
      </c>
      <c r="N739" s="1">
        <v>199.81610000000001</v>
      </c>
      <c r="O739" s="2">
        <v>5.2</v>
      </c>
      <c r="P739">
        <v>111</v>
      </c>
    </row>
    <row r="740" spans="1:16" x14ac:dyDescent="0.35">
      <c r="A740" s="4">
        <v>44348</v>
      </c>
      <c r="B740" t="s">
        <v>20</v>
      </c>
      <c r="C740" t="s">
        <v>10</v>
      </c>
      <c r="D740">
        <v>1</v>
      </c>
      <c r="E740" s="2">
        <v>2058</v>
      </c>
      <c r="F740" s="2">
        <f t="shared" ref="F740:F745" si="120">(2155.2+2142.2)/2</f>
        <v>2148.6999999999998</v>
      </c>
      <c r="G740" s="3">
        <v>1</v>
      </c>
      <c r="H740">
        <v>3555</v>
      </c>
      <c r="I740">
        <v>940.7</v>
      </c>
      <c r="J740">
        <v>14088</v>
      </c>
      <c r="K740">
        <v>14940</v>
      </c>
      <c r="L740" s="2">
        <v>26.799375000000005</v>
      </c>
      <c r="M740" s="5">
        <v>132.15700000000004</v>
      </c>
      <c r="N740" s="1">
        <v>199.81610000000001</v>
      </c>
      <c r="O740" s="2">
        <v>5.2</v>
      </c>
      <c r="P740">
        <v>111</v>
      </c>
    </row>
    <row r="741" spans="1:16" x14ac:dyDescent="0.35">
      <c r="A741" s="4">
        <v>44348</v>
      </c>
      <c r="B741" t="s">
        <v>20</v>
      </c>
      <c r="C741" t="s">
        <v>11</v>
      </c>
      <c r="D741">
        <v>1</v>
      </c>
      <c r="E741" s="2" t="s">
        <v>27</v>
      </c>
      <c r="F741" s="2">
        <f t="shared" si="120"/>
        <v>2148.6999999999998</v>
      </c>
      <c r="G741" s="3">
        <v>1</v>
      </c>
      <c r="H741">
        <v>3555</v>
      </c>
      <c r="I741">
        <v>940.7</v>
      </c>
      <c r="J741">
        <v>14088</v>
      </c>
      <c r="K741">
        <v>14940</v>
      </c>
      <c r="L741" s="2">
        <v>26.799375000000005</v>
      </c>
      <c r="M741" s="5">
        <v>132.15700000000004</v>
      </c>
      <c r="N741" s="1">
        <v>199.81610000000001</v>
      </c>
      <c r="O741" s="2">
        <v>5.2</v>
      </c>
      <c r="P741">
        <v>111</v>
      </c>
    </row>
    <row r="742" spans="1:16" x14ac:dyDescent="0.35">
      <c r="A742" s="4">
        <v>44348</v>
      </c>
      <c r="B742" t="s">
        <v>20</v>
      </c>
      <c r="C742" t="s">
        <v>12</v>
      </c>
      <c r="D742">
        <v>1</v>
      </c>
      <c r="E742" s="2">
        <f>(1920+1885)/2</f>
        <v>1902.5</v>
      </c>
      <c r="F742" s="2">
        <f t="shared" si="120"/>
        <v>2148.6999999999998</v>
      </c>
      <c r="G742" s="3">
        <v>1</v>
      </c>
      <c r="H742">
        <v>3555</v>
      </c>
      <c r="I742">
        <v>940.7</v>
      </c>
      <c r="J742">
        <v>14088</v>
      </c>
      <c r="K742">
        <v>14940</v>
      </c>
      <c r="L742" s="2">
        <v>26.799375000000005</v>
      </c>
      <c r="M742" s="5">
        <v>132.15700000000004</v>
      </c>
      <c r="N742" s="1">
        <v>199.81610000000001</v>
      </c>
      <c r="O742" s="2">
        <v>5.2</v>
      </c>
      <c r="P742">
        <v>111</v>
      </c>
    </row>
    <row r="743" spans="1:16" x14ac:dyDescent="0.35">
      <c r="A743" s="4">
        <v>44348</v>
      </c>
      <c r="B743" t="s">
        <v>20</v>
      </c>
      <c r="C743" t="s">
        <v>13</v>
      </c>
      <c r="D743">
        <v>1</v>
      </c>
      <c r="E743" s="2">
        <v>2257.5</v>
      </c>
      <c r="F743" s="2">
        <f t="shared" si="120"/>
        <v>2148.6999999999998</v>
      </c>
      <c r="G743" s="3">
        <v>1</v>
      </c>
      <c r="H743">
        <v>3555</v>
      </c>
      <c r="I743">
        <v>940.7</v>
      </c>
      <c r="J743">
        <v>14088</v>
      </c>
      <c r="K743">
        <v>14940</v>
      </c>
      <c r="L743" s="2">
        <v>26.799375000000005</v>
      </c>
      <c r="M743" s="5">
        <v>132.15700000000004</v>
      </c>
      <c r="N743" s="1">
        <v>199.81610000000001</v>
      </c>
      <c r="O743" s="2">
        <v>5.2</v>
      </c>
      <c r="P743">
        <v>111</v>
      </c>
    </row>
    <row r="744" spans="1:16" x14ac:dyDescent="0.35">
      <c r="A744" s="4">
        <v>44348</v>
      </c>
      <c r="B744" t="s">
        <v>20</v>
      </c>
      <c r="C744" t="s">
        <v>14</v>
      </c>
      <c r="D744">
        <v>1</v>
      </c>
      <c r="E744" s="2">
        <v>2280.5</v>
      </c>
      <c r="F744" s="2">
        <f t="shared" si="120"/>
        <v>2148.6999999999998</v>
      </c>
      <c r="G744" s="3">
        <v>1</v>
      </c>
      <c r="H744">
        <v>3555</v>
      </c>
      <c r="I744">
        <v>940.7</v>
      </c>
      <c r="J744">
        <v>14088</v>
      </c>
      <c r="K744">
        <v>14940</v>
      </c>
      <c r="L744" s="2">
        <v>26.799375000000005</v>
      </c>
      <c r="M744" s="5">
        <v>132.15700000000004</v>
      </c>
      <c r="N744" s="1">
        <v>199.81610000000001</v>
      </c>
      <c r="O744" s="2">
        <v>5.2</v>
      </c>
      <c r="P744">
        <v>111</v>
      </c>
    </row>
    <row r="745" spans="1:16" x14ac:dyDescent="0.35">
      <c r="A745" s="4">
        <v>44348</v>
      </c>
      <c r="B745" t="s">
        <v>20</v>
      </c>
      <c r="C745" t="s">
        <v>15</v>
      </c>
      <c r="D745">
        <v>1</v>
      </c>
      <c r="E745" s="2">
        <v>2245</v>
      </c>
      <c r="F745" s="2">
        <f t="shared" si="120"/>
        <v>2148.6999999999998</v>
      </c>
      <c r="G745" s="3">
        <v>1</v>
      </c>
      <c r="H745">
        <v>3555</v>
      </c>
      <c r="I745">
        <v>940.7</v>
      </c>
      <c r="J745">
        <v>14088</v>
      </c>
      <c r="K745">
        <v>14940</v>
      </c>
      <c r="L745" s="2">
        <v>26.799375000000005</v>
      </c>
      <c r="M745" s="5">
        <v>132.15700000000004</v>
      </c>
      <c r="N745" s="1">
        <v>199.81610000000001</v>
      </c>
      <c r="O745" s="2">
        <v>5.2</v>
      </c>
      <c r="P745">
        <v>111</v>
      </c>
    </row>
    <row r="746" spans="1:16" x14ac:dyDescent="0.35">
      <c r="A746" s="4">
        <v>44348</v>
      </c>
      <c r="B746" t="s">
        <v>21</v>
      </c>
      <c r="C746" t="s">
        <v>10</v>
      </c>
      <c r="D746">
        <v>1</v>
      </c>
      <c r="E746" s="2">
        <v>1633</v>
      </c>
      <c r="F746" s="2">
        <f t="shared" ref="F746:F751" si="121">(1957.8+2049.4)/2</f>
        <v>2003.6</v>
      </c>
      <c r="G746" s="3">
        <v>1</v>
      </c>
      <c r="H746">
        <v>3555</v>
      </c>
      <c r="I746">
        <v>940.7</v>
      </c>
      <c r="J746">
        <v>14088</v>
      </c>
      <c r="K746">
        <v>14940</v>
      </c>
      <c r="L746" s="2">
        <v>26.799375000000005</v>
      </c>
      <c r="M746" s="5">
        <v>132.15700000000004</v>
      </c>
      <c r="N746" s="1">
        <v>199.81610000000001</v>
      </c>
      <c r="O746" s="2">
        <v>5.2</v>
      </c>
      <c r="P746">
        <v>111</v>
      </c>
    </row>
    <row r="747" spans="1:16" x14ac:dyDescent="0.35">
      <c r="A747" s="4">
        <v>44348</v>
      </c>
      <c r="B747" t="s">
        <v>21</v>
      </c>
      <c r="C747" t="s">
        <v>11</v>
      </c>
      <c r="D747">
        <v>1</v>
      </c>
      <c r="E747" s="2" t="s">
        <v>27</v>
      </c>
      <c r="F747" s="2">
        <f t="shared" si="121"/>
        <v>2003.6</v>
      </c>
      <c r="G747" s="3">
        <v>1</v>
      </c>
      <c r="H747">
        <v>3555</v>
      </c>
      <c r="I747">
        <v>940.7</v>
      </c>
      <c r="J747">
        <v>14088</v>
      </c>
      <c r="K747">
        <v>14940</v>
      </c>
      <c r="L747" s="2">
        <v>26.799375000000005</v>
      </c>
      <c r="M747" s="5">
        <v>132.15700000000004</v>
      </c>
      <c r="N747" s="1">
        <v>199.81610000000001</v>
      </c>
      <c r="O747" s="2">
        <v>5.2</v>
      </c>
      <c r="P747">
        <v>111</v>
      </c>
    </row>
    <row r="748" spans="1:16" x14ac:dyDescent="0.35">
      <c r="A748" s="4">
        <v>44348</v>
      </c>
      <c r="B748" t="s">
        <v>21</v>
      </c>
      <c r="C748" t="s">
        <v>12</v>
      </c>
      <c r="D748">
        <v>1</v>
      </c>
      <c r="E748" s="2">
        <v>1800</v>
      </c>
      <c r="F748" s="2">
        <f t="shared" si="121"/>
        <v>2003.6</v>
      </c>
      <c r="G748" s="3">
        <v>1</v>
      </c>
      <c r="H748">
        <v>3555</v>
      </c>
      <c r="I748">
        <v>940.7</v>
      </c>
      <c r="J748">
        <v>14088</v>
      </c>
      <c r="K748">
        <v>14940</v>
      </c>
      <c r="L748" s="2">
        <v>26.799375000000005</v>
      </c>
      <c r="M748" s="5">
        <v>132.15700000000004</v>
      </c>
      <c r="N748" s="1">
        <v>199.81610000000001</v>
      </c>
      <c r="O748" s="2">
        <v>5.2</v>
      </c>
      <c r="P748">
        <v>111</v>
      </c>
    </row>
    <row r="749" spans="1:16" x14ac:dyDescent="0.35">
      <c r="A749" s="4">
        <v>44348</v>
      </c>
      <c r="B749" t="s">
        <v>21</v>
      </c>
      <c r="C749" t="s">
        <v>13</v>
      </c>
      <c r="D749">
        <v>1</v>
      </c>
      <c r="E749" s="2">
        <v>2167.5</v>
      </c>
      <c r="F749" s="2">
        <f t="shared" si="121"/>
        <v>2003.6</v>
      </c>
      <c r="G749" s="3">
        <v>1</v>
      </c>
      <c r="H749">
        <v>3555</v>
      </c>
      <c r="I749">
        <v>940.7</v>
      </c>
      <c r="J749">
        <v>14088</v>
      </c>
      <c r="K749">
        <v>14940</v>
      </c>
      <c r="L749" s="2">
        <v>26.799375000000005</v>
      </c>
      <c r="M749" s="5">
        <v>132.15700000000004</v>
      </c>
      <c r="N749" s="1">
        <v>199.81610000000001</v>
      </c>
      <c r="O749" s="2">
        <v>5.2</v>
      </c>
      <c r="P749">
        <v>111</v>
      </c>
    </row>
    <row r="750" spans="1:16" x14ac:dyDescent="0.35">
      <c r="A750" s="4">
        <v>44348</v>
      </c>
      <c r="B750" t="s">
        <v>21</v>
      </c>
      <c r="C750" t="s">
        <v>14</v>
      </c>
      <c r="D750">
        <v>1</v>
      </c>
      <c r="E750" s="2">
        <v>2217.5</v>
      </c>
      <c r="F750" s="2">
        <f t="shared" si="121"/>
        <v>2003.6</v>
      </c>
      <c r="G750" s="3">
        <v>1</v>
      </c>
      <c r="H750">
        <v>3555</v>
      </c>
      <c r="I750">
        <v>940.7</v>
      </c>
      <c r="J750">
        <v>14088</v>
      </c>
      <c r="K750">
        <v>14940</v>
      </c>
      <c r="L750" s="2">
        <v>26.799375000000005</v>
      </c>
      <c r="M750" s="5">
        <v>132.15700000000004</v>
      </c>
      <c r="N750" s="1">
        <v>199.81610000000001</v>
      </c>
      <c r="O750" s="2">
        <v>5.2</v>
      </c>
      <c r="P750">
        <v>111</v>
      </c>
    </row>
    <row r="751" spans="1:16" x14ac:dyDescent="0.35">
      <c r="A751" s="4">
        <v>44348</v>
      </c>
      <c r="B751" t="s">
        <v>21</v>
      </c>
      <c r="C751" t="s">
        <v>15</v>
      </c>
      <c r="D751">
        <v>1</v>
      </c>
      <c r="E751" s="2">
        <v>2200</v>
      </c>
      <c r="F751" s="2">
        <f t="shared" si="121"/>
        <v>2003.6</v>
      </c>
      <c r="G751" s="3">
        <v>1</v>
      </c>
      <c r="H751">
        <v>3555</v>
      </c>
      <c r="I751">
        <v>940.7</v>
      </c>
      <c r="J751">
        <v>14088</v>
      </c>
      <c r="K751">
        <v>14940</v>
      </c>
      <c r="L751" s="2">
        <v>26.799375000000005</v>
      </c>
      <c r="M751" s="5">
        <v>132.15700000000004</v>
      </c>
      <c r="N751" s="1">
        <v>199.81610000000001</v>
      </c>
      <c r="O751" s="2">
        <v>5.2</v>
      </c>
      <c r="P751">
        <v>111</v>
      </c>
    </row>
    <row r="752" spans="1:16" x14ac:dyDescent="0.35">
      <c r="A752" s="4">
        <v>44348</v>
      </c>
      <c r="B752" t="s">
        <v>22</v>
      </c>
      <c r="C752" t="s">
        <v>10</v>
      </c>
      <c r="D752">
        <v>0</v>
      </c>
      <c r="E752" s="2" t="s">
        <v>27</v>
      </c>
      <c r="F752" s="2">
        <v>1865</v>
      </c>
      <c r="G752" s="3">
        <v>1</v>
      </c>
      <c r="H752">
        <v>3555</v>
      </c>
      <c r="I752">
        <v>940.7</v>
      </c>
      <c r="J752">
        <v>14088</v>
      </c>
      <c r="K752">
        <v>14940</v>
      </c>
      <c r="L752" s="2">
        <v>26.799375000000005</v>
      </c>
      <c r="M752" s="5">
        <v>132.15700000000004</v>
      </c>
      <c r="N752" s="1">
        <v>199.81610000000001</v>
      </c>
      <c r="O752" s="2">
        <v>5.2</v>
      </c>
      <c r="P752">
        <v>111</v>
      </c>
    </row>
    <row r="753" spans="1:16" x14ac:dyDescent="0.35">
      <c r="A753" s="4">
        <v>44348</v>
      </c>
      <c r="B753" t="s">
        <v>22</v>
      </c>
      <c r="C753" t="s">
        <v>11</v>
      </c>
      <c r="D753">
        <v>0</v>
      </c>
      <c r="E753" s="2" t="s">
        <v>27</v>
      </c>
      <c r="F753" s="2">
        <v>1865</v>
      </c>
      <c r="G753" s="3">
        <v>1</v>
      </c>
      <c r="H753">
        <v>3555</v>
      </c>
      <c r="I753">
        <v>940.7</v>
      </c>
      <c r="J753">
        <v>14088</v>
      </c>
      <c r="K753">
        <v>14940</v>
      </c>
      <c r="L753" s="2">
        <v>26.799375000000005</v>
      </c>
      <c r="M753" s="5">
        <v>132.15700000000004</v>
      </c>
      <c r="N753" s="1">
        <v>199.81610000000001</v>
      </c>
      <c r="O753" s="2">
        <v>5.2</v>
      </c>
      <c r="P753">
        <v>111</v>
      </c>
    </row>
    <row r="754" spans="1:16" x14ac:dyDescent="0.35">
      <c r="A754" s="4">
        <v>44348</v>
      </c>
      <c r="B754" t="s">
        <v>22</v>
      </c>
      <c r="C754" t="s">
        <v>12</v>
      </c>
      <c r="D754">
        <v>0</v>
      </c>
      <c r="E754" s="2" t="s">
        <v>27</v>
      </c>
      <c r="F754" s="2">
        <v>1865</v>
      </c>
      <c r="G754" s="3">
        <v>1</v>
      </c>
      <c r="H754">
        <v>3555</v>
      </c>
      <c r="I754">
        <v>940.7</v>
      </c>
      <c r="J754">
        <v>14088</v>
      </c>
      <c r="K754">
        <v>14940</v>
      </c>
      <c r="L754" s="2">
        <v>26.799375000000005</v>
      </c>
      <c r="M754" s="5">
        <v>132.15700000000004</v>
      </c>
      <c r="N754" s="1">
        <v>199.81610000000001</v>
      </c>
      <c r="O754" s="2">
        <v>5.2</v>
      </c>
      <c r="P754">
        <v>111</v>
      </c>
    </row>
    <row r="755" spans="1:16" x14ac:dyDescent="0.35">
      <c r="A755" s="4">
        <v>44348</v>
      </c>
      <c r="B755" t="s">
        <v>22</v>
      </c>
      <c r="C755" t="s">
        <v>13</v>
      </c>
      <c r="D755">
        <v>0</v>
      </c>
      <c r="E755" s="2" t="s">
        <v>27</v>
      </c>
      <c r="F755" s="2">
        <v>1865</v>
      </c>
      <c r="G755" s="3">
        <v>1</v>
      </c>
      <c r="H755">
        <v>3555</v>
      </c>
      <c r="I755">
        <v>940.7</v>
      </c>
      <c r="J755">
        <v>14088</v>
      </c>
      <c r="K755">
        <v>14940</v>
      </c>
      <c r="L755" s="2">
        <v>26.799375000000005</v>
      </c>
      <c r="M755" s="5">
        <v>132.15700000000004</v>
      </c>
      <c r="N755" s="1">
        <v>199.81610000000001</v>
      </c>
      <c r="O755" s="2">
        <v>5.2</v>
      </c>
      <c r="P755">
        <v>111</v>
      </c>
    </row>
    <row r="756" spans="1:16" x14ac:dyDescent="0.35">
      <c r="A756" s="4">
        <v>44348</v>
      </c>
      <c r="B756" t="s">
        <v>22</v>
      </c>
      <c r="C756" t="s">
        <v>14</v>
      </c>
      <c r="D756">
        <v>1</v>
      </c>
      <c r="E756" s="2">
        <v>1865</v>
      </c>
      <c r="F756" s="2">
        <v>1865</v>
      </c>
      <c r="G756" s="3">
        <v>1</v>
      </c>
      <c r="H756">
        <v>3555</v>
      </c>
      <c r="I756">
        <v>940.7</v>
      </c>
      <c r="J756">
        <v>14088</v>
      </c>
      <c r="K756">
        <v>14940</v>
      </c>
      <c r="L756" s="2">
        <v>26.799375000000005</v>
      </c>
      <c r="M756" s="5">
        <v>132.15700000000004</v>
      </c>
      <c r="N756" s="1">
        <v>199.81610000000001</v>
      </c>
      <c r="O756" s="2">
        <v>5.2</v>
      </c>
      <c r="P756">
        <v>111</v>
      </c>
    </row>
    <row r="757" spans="1:16" x14ac:dyDescent="0.35">
      <c r="A757" s="4">
        <v>44348</v>
      </c>
      <c r="B757" t="s">
        <v>22</v>
      </c>
      <c r="C757" t="s">
        <v>15</v>
      </c>
      <c r="D757">
        <v>0</v>
      </c>
      <c r="E757" s="2" t="s">
        <v>27</v>
      </c>
      <c r="F757" s="2">
        <v>1865</v>
      </c>
      <c r="G757" s="3">
        <v>1</v>
      </c>
      <c r="H757">
        <v>3555</v>
      </c>
      <c r="I757">
        <v>940.7</v>
      </c>
      <c r="J757">
        <v>14088</v>
      </c>
      <c r="K757">
        <v>14940</v>
      </c>
      <c r="L757" s="2">
        <v>26.799375000000005</v>
      </c>
      <c r="M757" s="5">
        <v>132.15700000000004</v>
      </c>
      <c r="N757" s="1">
        <v>199.81610000000001</v>
      </c>
      <c r="O757" s="2">
        <v>5.2</v>
      </c>
      <c r="P757">
        <v>111</v>
      </c>
    </row>
    <row r="758" spans="1:16" x14ac:dyDescent="0.35">
      <c r="A758" s="4">
        <v>44378</v>
      </c>
      <c r="B758" t="s">
        <v>16</v>
      </c>
      <c r="C758" t="s">
        <v>10</v>
      </c>
      <c r="D758">
        <v>1</v>
      </c>
      <c r="E758" s="2">
        <f>(3000+3066+3100+3050)/4</f>
        <v>3054</v>
      </c>
      <c r="F758" s="2">
        <f t="shared" ref="F758:F763" si="122">(3112.5+3138.5+3165.75+3150)/4</f>
        <v>3141.6875</v>
      </c>
      <c r="G758" s="3">
        <v>1</v>
      </c>
      <c r="H758">
        <v>3555</v>
      </c>
      <c r="I758">
        <v>752.6</v>
      </c>
      <c r="J758">
        <v>13152</v>
      </c>
      <c r="K758">
        <v>14940</v>
      </c>
      <c r="L758" s="2">
        <v>26.590624999999999</v>
      </c>
      <c r="M758" s="5">
        <v>138.03850000000003</v>
      </c>
      <c r="N758" s="1">
        <v>199.9778</v>
      </c>
      <c r="O758" s="2">
        <v>5.7</v>
      </c>
      <c r="P758">
        <v>111</v>
      </c>
    </row>
    <row r="759" spans="1:16" x14ac:dyDescent="0.35">
      <c r="A759" s="4">
        <v>44378</v>
      </c>
      <c r="B759" t="s">
        <v>16</v>
      </c>
      <c r="C759" t="s">
        <v>11</v>
      </c>
      <c r="D759">
        <v>0</v>
      </c>
      <c r="E759" s="2" t="s">
        <v>27</v>
      </c>
      <c r="F759" s="2">
        <f t="shared" si="122"/>
        <v>3141.6875</v>
      </c>
      <c r="G759" s="3">
        <v>1</v>
      </c>
      <c r="H759">
        <v>3555</v>
      </c>
      <c r="I759">
        <v>752.6</v>
      </c>
      <c r="J759">
        <v>13152</v>
      </c>
      <c r="K759">
        <v>14940</v>
      </c>
      <c r="L759" s="2">
        <v>26.590624999999999</v>
      </c>
      <c r="M759" s="5">
        <v>138.03850000000003</v>
      </c>
      <c r="N759" s="1">
        <v>199.9778</v>
      </c>
      <c r="O759" s="2">
        <v>5.7</v>
      </c>
      <c r="P759">
        <v>111</v>
      </c>
    </row>
    <row r="760" spans="1:16" x14ac:dyDescent="0.35">
      <c r="A760" s="4">
        <v>44378</v>
      </c>
      <c r="B760" t="s">
        <v>16</v>
      </c>
      <c r="C760" t="s">
        <v>12</v>
      </c>
      <c r="D760">
        <v>1</v>
      </c>
      <c r="E760" s="2">
        <v>3100</v>
      </c>
      <c r="F760" s="2">
        <f t="shared" si="122"/>
        <v>3141.6875</v>
      </c>
      <c r="G760" s="3">
        <v>1</v>
      </c>
      <c r="H760">
        <v>3555</v>
      </c>
      <c r="I760">
        <v>752.6</v>
      </c>
      <c r="J760">
        <v>13152</v>
      </c>
      <c r="K760">
        <v>14940</v>
      </c>
      <c r="L760" s="2">
        <v>26.590624999999999</v>
      </c>
      <c r="M760" s="5">
        <v>138.03850000000003</v>
      </c>
      <c r="N760" s="1">
        <v>199.9778</v>
      </c>
      <c r="O760" s="2">
        <v>5.7</v>
      </c>
      <c r="P760">
        <v>111</v>
      </c>
    </row>
    <row r="761" spans="1:16" x14ac:dyDescent="0.35">
      <c r="A761" s="4">
        <v>44378</v>
      </c>
      <c r="B761" t="s">
        <v>16</v>
      </c>
      <c r="C761" t="s">
        <v>13</v>
      </c>
      <c r="D761">
        <v>1</v>
      </c>
      <c r="E761" s="2">
        <v>3200</v>
      </c>
      <c r="F761" s="2">
        <f t="shared" si="122"/>
        <v>3141.6875</v>
      </c>
      <c r="G761" s="3">
        <v>1</v>
      </c>
      <c r="H761">
        <v>3555</v>
      </c>
      <c r="I761">
        <v>752.6</v>
      </c>
      <c r="J761">
        <v>13152</v>
      </c>
      <c r="K761">
        <v>14940</v>
      </c>
      <c r="L761" s="2">
        <v>26.590624999999999</v>
      </c>
      <c r="M761" s="5">
        <v>138.03850000000003</v>
      </c>
      <c r="N761" s="1">
        <v>199.9778</v>
      </c>
      <c r="O761" s="2">
        <v>5.7</v>
      </c>
      <c r="P761">
        <v>111</v>
      </c>
    </row>
    <row r="762" spans="1:16" x14ac:dyDescent="0.35">
      <c r="A762" s="4">
        <v>44378</v>
      </c>
      <c r="B762" t="s">
        <v>16</v>
      </c>
      <c r="C762" t="s">
        <v>14</v>
      </c>
      <c r="D762">
        <v>1</v>
      </c>
      <c r="E762" s="2">
        <f>(3250+3263+3188+3200)/4</f>
        <v>3225.25</v>
      </c>
      <c r="F762" s="2">
        <f t="shared" si="122"/>
        <v>3141.6875</v>
      </c>
      <c r="G762" s="3">
        <v>1</v>
      </c>
      <c r="H762">
        <v>3555</v>
      </c>
      <c r="I762">
        <v>752.6</v>
      </c>
      <c r="J762">
        <v>13152</v>
      </c>
      <c r="K762">
        <v>14940</v>
      </c>
      <c r="L762" s="2">
        <v>26.590624999999999</v>
      </c>
      <c r="M762" s="5">
        <v>138.03850000000003</v>
      </c>
      <c r="N762" s="1">
        <v>199.9778</v>
      </c>
      <c r="O762" s="2">
        <v>5.7</v>
      </c>
      <c r="P762">
        <v>111</v>
      </c>
    </row>
    <row r="763" spans="1:16" x14ac:dyDescent="0.35">
      <c r="A763" s="4">
        <v>44378</v>
      </c>
      <c r="B763" t="s">
        <v>16</v>
      </c>
      <c r="C763" t="s">
        <v>15</v>
      </c>
      <c r="D763">
        <v>0</v>
      </c>
      <c r="E763" s="2" t="s">
        <v>27</v>
      </c>
      <c r="F763" s="2">
        <f t="shared" si="122"/>
        <v>3141.6875</v>
      </c>
      <c r="G763" s="3">
        <v>1</v>
      </c>
      <c r="H763">
        <v>3555</v>
      </c>
      <c r="I763">
        <v>752.6</v>
      </c>
      <c r="J763">
        <v>13152</v>
      </c>
      <c r="K763">
        <v>14940</v>
      </c>
      <c r="L763" s="2">
        <v>26.590624999999999</v>
      </c>
      <c r="M763" s="5">
        <v>138.03850000000003</v>
      </c>
      <c r="N763" s="1">
        <v>199.9778</v>
      </c>
      <c r="O763" s="2">
        <v>5.7</v>
      </c>
      <c r="P763">
        <v>111</v>
      </c>
    </row>
    <row r="764" spans="1:16" x14ac:dyDescent="0.35">
      <c r="A764" s="4">
        <v>44378</v>
      </c>
      <c r="B764" t="s">
        <v>17</v>
      </c>
      <c r="C764" t="s">
        <v>10</v>
      </c>
      <c r="D764">
        <v>1</v>
      </c>
      <c r="E764" s="2">
        <f>(2783+2700+2750*2)/4</f>
        <v>2745.75</v>
      </c>
      <c r="F764" s="2">
        <f t="shared" ref="F764:F769" si="123">(2810.2+2777.5+2789.5+2793.25)/4</f>
        <v>2792.6125000000002</v>
      </c>
      <c r="G764" s="3">
        <v>1</v>
      </c>
      <c r="H764">
        <v>3555</v>
      </c>
      <c r="I764">
        <v>752.6</v>
      </c>
      <c r="J764">
        <v>13152</v>
      </c>
      <c r="K764">
        <v>14940</v>
      </c>
      <c r="L764" s="2">
        <v>26.590624999999999</v>
      </c>
      <c r="M764" s="5">
        <v>138.03850000000003</v>
      </c>
      <c r="N764" s="1">
        <v>199.9778</v>
      </c>
      <c r="O764" s="2">
        <v>5.7</v>
      </c>
      <c r="P764">
        <v>111</v>
      </c>
    </row>
    <row r="765" spans="1:16" x14ac:dyDescent="0.35">
      <c r="A765" s="4">
        <v>44378</v>
      </c>
      <c r="B765" t="s">
        <v>17</v>
      </c>
      <c r="C765" t="s">
        <v>11</v>
      </c>
      <c r="D765">
        <v>1</v>
      </c>
      <c r="E765" s="2">
        <v>2800</v>
      </c>
      <c r="F765" s="2">
        <f t="shared" si="123"/>
        <v>2792.6125000000002</v>
      </c>
      <c r="G765" s="3">
        <v>1</v>
      </c>
      <c r="H765">
        <v>3555</v>
      </c>
      <c r="I765">
        <v>752.6</v>
      </c>
      <c r="J765">
        <v>13152</v>
      </c>
      <c r="K765">
        <v>14940</v>
      </c>
      <c r="L765" s="2">
        <v>26.590624999999999</v>
      </c>
      <c r="M765" s="5">
        <v>138.03850000000003</v>
      </c>
      <c r="N765" s="1">
        <v>199.9778</v>
      </c>
      <c r="O765" s="2">
        <v>5.7</v>
      </c>
      <c r="P765">
        <v>111</v>
      </c>
    </row>
    <row r="766" spans="1:16" x14ac:dyDescent="0.35">
      <c r="A766" s="4">
        <v>44378</v>
      </c>
      <c r="B766" t="s">
        <v>17</v>
      </c>
      <c r="C766" t="s">
        <v>12</v>
      </c>
      <c r="D766">
        <v>1</v>
      </c>
      <c r="E766" s="2">
        <v>2762.5</v>
      </c>
      <c r="F766" s="2">
        <f t="shared" si="123"/>
        <v>2792.6125000000002</v>
      </c>
      <c r="G766" s="3">
        <v>1</v>
      </c>
      <c r="H766">
        <v>3555</v>
      </c>
      <c r="I766">
        <v>752.6</v>
      </c>
      <c r="J766">
        <v>13152</v>
      </c>
      <c r="K766">
        <v>14940</v>
      </c>
      <c r="L766" s="2">
        <v>26.590624999999999</v>
      </c>
      <c r="M766" s="5">
        <v>138.03850000000003</v>
      </c>
      <c r="N766" s="1">
        <v>199.9778</v>
      </c>
      <c r="O766" s="2">
        <v>5.7</v>
      </c>
      <c r="P766">
        <v>111</v>
      </c>
    </row>
    <row r="767" spans="1:16" x14ac:dyDescent="0.35">
      <c r="A767" s="4">
        <v>44378</v>
      </c>
      <c r="B767" t="s">
        <v>17</v>
      </c>
      <c r="C767" t="s">
        <v>13</v>
      </c>
      <c r="D767">
        <v>1</v>
      </c>
      <c r="E767" s="2">
        <f>(2775+2825+2800+2825)/4</f>
        <v>2806.25</v>
      </c>
      <c r="F767" s="2">
        <f t="shared" si="123"/>
        <v>2792.6125000000002</v>
      </c>
      <c r="G767" s="3">
        <v>1</v>
      </c>
      <c r="H767">
        <v>3555</v>
      </c>
      <c r="I767">
        <v>752.6</v>
      </c>
      <c r="J767">
        <v>13152</v>
      </c>
      <c r="K767">
        <v>14940</v>
      </c>
      <c r="L767" s="2">
        <v>26.590624999999999</v>
      </c>
      <c r="M767" s="5">
        <v>138.03850000000003</v>
      </c>
      <c r="N767" s="1">
        <v>199.9778</v>
      </c>
      <c r="O767" s="2">
        <v>5.7</v>
      </c>
      <c r="P767">
        <v>111</v>
      </c>
    </row>
    <row r="768" spans="1:16" x14ac:dyDescent="0.35">
      <c r="A768" s="4">
        <v>44378</v>
      </c>
      <c r="B768" t="s">
        <v>17</v>
      </c>
      <c r="C768" t="s">
        <v>14</v>
      </c>
      <c r="D768">
        <v>1</v>
      </c>
      <c r="E768" s="2">
        <f>(2883+2850+2817+2883)/4</f>
        <v>2858.25</v>
      </c>
      <c r="F768" s="2">
        <f t="shared" si="123"/>
        <v>2792.6125000000002</v>
      </c>
      <c r="G768" s="3">
        <v>1</v>
      </c>
      <c r="H768">
        <v>3555</v>
      </c>
      <c r="I768">
        <v>752.6</v>
      </c>
      <c r="J768">
        <v>13152</v>
      </c>
      <c r="K768">
        <v>14940</v>
      </c>
      <c r="L768" s="2">
        <v>26.590624999999999</v>
      </c>
      <c r="M768" s="5">
        <v>138.03850000000003</v>
      </c>
      <c r="N768" s="1">
        <v>199.9778</v>
      </c>
      <c r="O768" s="2">
        <v>5.7</v>
      </c>
      <c r="P768">
        <v>111</v>
      </c>
    </row>
    <row r="769" spans="1:16" x14ac:dyDescent="0.35">
      <c r="A769" s="4">
        <v>44378</v>
      </c>
      <c r="B769" t="s">
        <v>17</v>
      </c>
      <c r="C769" t="s">
        <v>15</v>
      </c>
      <c r="D769">
        <v>0</v>
      </c>
      <c r="E769" s="2" t="s">
        <v>27</v>
      </c>
      <c r="F769" s="2">
        <f t="shared" si="123"/>
        <v>2792.6125000000002</v>
      </c>
      <c r="G769" s="3">
        <v>1</v>
      </c>
      <c r="H769">
        <v>3555</v>
      </c>
      <c r="I769">
        <v>752.6</v>
      </c>
      <c r="J769">
        <v>13152</v>
      </c>
      <c r="K769">
        <v>14940</v>
      </c>
      <c r="L769" s="2">
        <v>26.590624999999999</v>
      </c>
      <c r="M769" s="5">
        <v>138.03850000000003</v>
      </c>
      <c r="N769" s="1">
        <v>199.9778</v>
      </c>
      <c r="O769" s="2">
        <v>5.7</v>
      </c>
      <c r="P769">
        <v>111</v>
      </c>
    </row>
    <row r="770" spans="1:16" x14ac:dyDescent="0.35">
      <c r="A770" s="4">
        <v>44378</v>
      </c>
      <c r="B770" t="s">
        <v>18</v>
      </c>
      <c r="C770" t="s">
        <v>10</v>
      </c>
      <c r="D770">
        <v>1</v>
      </c>
      <c r="E770" s="2">
        <v>2650</v>
      </c>
      <c r="F770" s="2">
        <f t="shared" ref="F770:F775" si="124">(2566.67+2606.14+2604.5+2574.5)/4</f>
        <v>2587.9524999999999</v>
      </c>
      <c r="G770" s="3">
        <v>1</v>
      </c>
      <c r="H770">
        <v>3555</v>
      </c>
      <c r="I770">
        <v>752.6</v>
      </c>
      <c r="J770">
        <v>13152</v>
      </c>
      <c r="K770">
        <v>14940</v>
      </c>
      <c r="L770" s="2">
        <v>26.590624999999999</v>
      </c>
      <c r="M770" s="5">
        <v>138.03850000000003</v>
      </c>
      <c r="N770" s="1">
        <v>199.9778</v>
      </c>
      <c r="O770" s="2">
        <v>5.7</v>
      </c>
      <c r="P770">
        <v>111</v>
      </c>
    </row>
    <row r="771" spans="1:16" x14ac:dyDescent="0.35">
      <c r="A771" s="4">
        <v>44378</v>
      </c>
      <c r="B771" t="s">
        <v>18</v>
      </c>
      <c r="C771" t="s">
        <v>11</v>
      </c>
      <c r="D771">
        <v>1</v>
      </c>
      <c r="E771" s="2">
        <v>2700</v>
      </c>
      <c r="F771" s="2">
        <f t="shared" si="124"/>
        <v>2587.9524999999999</v>
      </c>
      <c r="G771" s="3">
        <v>1</v>
      </c>
      <c r="H771">
        <v>3555</v>
      </c>
      <c r="I771">
        <v>752.6</v>
      </c>
      <c r="J771">
        <v>13152</v>
      </c>
      <c r="K771">
        <v>14940</v>
      </c>
      <c r="L771" s="2">
        <v>26.590624999999999</v>
      </c>
      <c r="M771" s="5">
        <v>138.03850000000003</v>
      </c>
      <c r="N771" s="1">
        <v>199.9778</v>
      </c>
      <c r="O771" s="2">
        <v>5.7</v>
      </c>
      <c r="P771">
        <v>111</v>
      </c>
    </row>
    <row r="772" spans="1:16" x14ac:dyDescent="0.35">
      <c r="A772" s="4">
        <v>44378</v>
      </c>
      <c r="B772" t="s">
        <v>18</v>
      </c>
      <c r="C772" t="s">
        <v>12</v>
      </c>
      <c r="D772">
        <v>1</v>
      </c>
      <c r="E772" s="2">
        <v>2592.25</v>
      </c>
      <c r="F772" s="2">
        <f t="shared" si="124"/>
        <v>2587.9524999999999</v>
      </c>
      <c r="G772" s="3">
        <v>1</v>
      </c>
      <c r="H772">
        <v>3555</v>
      </c>
      <c r="I772">
        <v>752.6</v>
      </c>
      <c r="J772">
        <v>13152</v>
      </c>
      <c r="K772">
        <v>14940</v>
      </c>
      <c r="L772" s="2">
        <v>26.590624999999999</v>
      </c>
      <c r="M772" s="5">
        <v>138.03850000000003</v>
      </c>
      <c r="N772" s="1">
        <v>199.9778</v>
      </c>
      <c r="O772" s="2">
        <v>5.7</v>
      </c>
      <c r="P772">
        <v>111</v>
      </c>
    </row>
    <row r="773" spans="1:16" x14ac:dyDescent="0.35">
      <c r="A773" s="4">
        <v>44378</v>
      </c>
      <c r="B773" t="s">
        <v>18</v>
      </c>
      <c r="C773" t="s">
        <v>13</v>
      </c>
      <c r="D773">
        <v>1</v>
      </c>
      <c r="E773" s="2">
        <v>2737.5</v>
      </c>
      <c r="F773" s="2">
        <f t="shared" si="124"/>
        <v>2587.9524999999999</v>
      </c>
      <c r="G773" s="3">
        <v>1</v>
      </c>
      <c r="H773">
        <v>3555</v>
      </c>
      <c r="I773">
        <v>752.6</v>
      </c>
      <c r="J773">
        <v>13152</v>
      </c>
      <c r="K773">
        <v>14940</v>
      </c>
      <c r="L773" s="2">
        <v>26.590624999999999</v>
      </c>
      <c r="M773" s="5">
        <v>138.03850000000003</v>
      </c>
      <c r="N773" s="1">
        <v>199.9778</v>
      </c>
      <c r="O773" s="2">
        <v>5.7</v>
      </c>
      <c r="P773">
        <v>111</v>
      </c>
    </row>
    <row r="774" spans="1:16" x14ac:dyDescent="0.35">
      <c r="A774" s="4">
        <v>44378</v>
      </c>
      <c r="B774" t="s">
        <v>18</v>
      </c>
      <c r="C774" t="s">
        <v>14</v>
      </c>
      <c r="D774">
        <v>1</v>
      </c>
      <c r="E774" s="2">
        <f>(2675+2650+2670+2670)/4</f>
        <v>2666.25</v>
      </c>
      <c r="F774" s="2">
        <f t="shared" si="124"/>
        <v>2587.9524999999999</v>
      </c>
      <c r="G774" s="3">
        <v>1</v>
      </c>
      <c r="H774">
        <v>3555</v>
      </c>
      <c r="I774">
        <v>752.6</v>
      </c>
      <c r="J774">
        <v>13152</v>
      </c>
      <c r="K774">
        <v>14940</v>
      </c>
      <c r="L774" s="2">
        <v>26.590624999999999</v>
      </c>
      <c r="M774" s="5">
        <v>138.03850000000003</v>
      </c>
      <c r="N774" s="1">
        <v>199.9778</v>
      </c>
      <c r="O774" s="2">
        <v>5.7</v>
      </c>
      <c r="P774">
        <v>111</v>
      </c>
    </row>
    <row r="775" spans="1:16" x14ac:dyDescent="0.35">
      <c r="A775" s="4">
        <v>44378</v>
      </c>
      <c r="B775" t="s">
        <v>18</v>
      </c>
      <c r="C775" t="s">
        <v>15</v>
      </c>
      <c r="D775">
        <v>1</v>
      </c>
      <c r="E775" s="2">
        <f>(2657*2+2660+2680)/4</f>
        <v>2663.5</v>
      </c>
      <c r="F775" s="2">
        <f t="shared" si="124"/>
        <v>2587.9524999999999</v>
      </c>
      <c r="G775" s="3">
        <v>1</v>
      </c>
      <c r="H775">
        <v>3555</v>
      </c>
      <c r="I775">
        <v>752.6</v>
      </c>
      <c r="J775">
        <v>13152</v>
      </c>
      <c r="K775">
        <v>14940</v>
      </c>
      <c r="L775" s="2">
        <v>26.590624999999999</v>
      </c>
      <c r="M775" s="5">
        <v>138.03850000000003</v>
      </c>
      <c r="N775" s="1">
        <v>199.9778</v>
      </c>
      <c r="O775" s="2">
        <v>5.7</v>
      </c>
      <c r="P775">
        <v>111</v>
      </c>
    </row>
    <row r="776" spans="1:16" x14ac:dyDescent="0.35">
      <c r="A776" s="4">
        <v>44378</v>
      </c>
      <c r="B776" t="s">
        <v>19</v>
      </c>
      <c r="C776" t="s">
        <v>10</v>
      </c>
      <c r="D776">
        <v>1</v>
      </c>
      <c r="E776" s="2">
        <f>(2383+2466+2466+2466)/4</f>
        <v>2445.25</v>
      </c>
      <c r="F776" s="2">
        <f t="shared" ref="F776:F781" si="125">(2461.5+2412.5+2424.5+2462.71)/4</f>
        <v>2440.3024999999998</v>
      </c>
      <c r="G776" s="3">
        <v>1</v>
      </c>
      <c r="H776">
        <v>3555</v>
      </c>
      <c r="I776">
        <v>752.6</v>
      </c>
      <c r="J776">
        <v>13152</v>
      </c>
      <c r="K776">
        <v>14940</v>
      </c>
      <c r="L776" s="2">
        <v>26.590624999999999</v>
      </c>
      <c r="M776" s="5">
        <v>138.03850000000003</v>
      </c>
      <c r="N776" s="1">
        <v>199.9778</v>
      </c>
      <c r="O776" s="2">
        <v>5.7</v>
      </c>
      <c r="P776">
        <v>111</v>
      </c>
    </row>
    <row r="777" spans="1:16" x14ac:dyDescent="0.35">
      <c r="A777" s="4">
        <v>44378</v>
      </c>
      <c r="B777" t="s">
        <v>19</v>
      </c>
      <c r="C777" t="s">
        <v>11</v>
      </c>
      <c r="D777">
        <v>1</v>
      </c>
      <c r="E777" s="2">
        <v>2650</v>
      </c>
      <c r="F777" s="2">
        <f t="shared" si="125"/>
        <v>2440.3024999999998</v>
      </c>
      <c r="G777" s="3">
        <v>1</v>
      </c>
      <c r="H777">
        <v>3555</v>
      </c>
      <c r="I777">
        <v>752.6</v>
      </c>
      <c r="J777">
        <v>13152</v>
      </c>
      <c r="K777">
        <v>14940</v>
      </c>
      <c r="L777" s="2">
        <v>26.590624999999999</v>
      </c>
      <c r="M777" s="5">
        <v>138.03850000000003</v>
      </c>
      <c r="N777" s="1">
        <v>199.9778</v>
      </c>
      <c r="O777" s="2">
        <v>5.7</v>
      </c>
      <c r="P777">
        <v>111</v>
      </c>
    </row>
    <row r="778" spans="1:16" x14ac:dyDescent="0.35">
      <c r="A778" s="4">
        <v>44378</v>
      </c>
      <c r="B778" t="s">
        <v>19</v>
      </c>
      <c r="C778" t="s">
        <v>12</v>
      </c>
      <c r="D778">
        <v>1</v>
      </c>
      <c r="E778" s="2">
        <v>2460</v>
      </c>
      <c r="F778" s="2">
        <f t="shared" si="125"/>
        <v>2440.3024999999998</v>
      </c>
      <c r="G778" s="3">
        <v>1</v>
      </c>
      <c r="H778">
        <v>3555</v>
      </c>
      <c r="I778">
        <v>752.6</v>
      </c>
      <c r="J778">
        <v>13152</v>
      </c>
      <c r="K778">
        <v>14940</v>
      </c>
      <c r="L778" s="2">
        <v>26.590624999999999</v>
      </c>
      <c r="M778" s="5">
        <v>138.03850000000003</v>
      </c>
      <c r="N778" s="1">
        <v>199.9778</v>
      </c>
      <c r="O778" s="2">
        <v>5.7</v>
      </c>
      <c r="P778">
        <v>111</v>
      </c>
    </row>
    <row r="779" spans="1:16" x14ac:dyDescent="0.35">
      <c r="A779" s="4">
        <v>44378</v>
      </c>
      <c r="B779" t="s">
        <v>19</v>
      </c>
      <c r="C779" t="s">
        <v>13</v>
      </c>
      <c r="D779">
        <v>1</v>
      </c>
      <c r="E779" s="2">
        <f>(2625*3+2590)/4</f>
        <v>2616.25</v>
      </c>
      <c r="F779" s="2">
        <f t="shared" si="125"/>
        <v>2440.3024999999998</v>
      </c>
      <c r="G779" s="3">
        <v>1</v>
      </c>
      <c r="H779">
        <v>3555</v>
      </c>
      <c r="I779">
        <v>752.6</v>
      </c>
      <c r="J779">
        <v>13152</v>
      </c>
      <c r="K779">
        <v>14940</v>
      </c>
      <c r="L779" s="2">
        <v>26.590624999999999</v>
      </c>
      <c r="M779" s="5">
        <v>138.03850000000003</v>
      </c>
      <c r="N779" s="1">
        <v>199.9778</v>
      </c>
      <c r="O779" s="2">
        <v>5.7</v>
      </c>
      <c r="P779">
        <v>111</v>
      </c>
    </row>
    <row r="780" spans="1:16" x14ac:dyDescent="0.35">
      <c r="A780" s="4">
        <v>44378</v>
      </c>
      <c r="B780" t="s">
        <v>19</v>
      </c>
      <c r="C780" t="s">
        <v>14</v>
      </c>
      <c r="D780">
        <v>1</v>
      </c>
      <c r="E780" s="2">
        <f>(2567+2593+2586+2593)/4</f>
        <v>2584.75</v>
      </c>
      <c r="F780" s="2">
        <f t="shared" si="125"/>
        <v>2440.3024999999998</v>
      </c>
      <c r="G780" s="3">
        <v>1</v>
      </c>
      <c r="H780">
        <v>3555</v>
      </c>
      <c r="I780">
        <v>752.6</v>
      </c>
      <c r="J780">
        <v>13152</v>
      </c>
      <c r="K780">
        <v>14940</v>
      </c>
      <c r="L780" s="2">
        <v>26.590624999999999</v>
      </c>
      <c r="M780" s="5">
        <v>138.03850000000003</v>
      </c>
      <c r="N780" s="1">
        <v>199.9778</v>
      </c>
      <c r="O780" s="2">
        <v>5.7</v>
      </c>
      <c r="P780">
        <v>111</v>
      </c>
    </row>
    <row r="781" spans="1:16" x14ac:dyDescent="0.35">
      <c r="A781" s="4">
        <v>44378</v>
      </c>
      <c r="B781" t="s">
        <v>19</v>
      </c>
      <c r="C781" t="s">
        <v>15</v>
      </c>
      <c r="D781">
        <v>1</v>
      </c>
      <c r="E781" s="2">
        <f>(2610*2+2550+2575)/4</f>
        <v>2586.25</v>
      </c>
      <c r="F781" s="2">
        <f t="shared" si="125"/>
        <v>2440.3024999999998</v>
      </c>
      <c r="G781" s="3">
        <v>1</v>
      </c>
      <c r="H781">
        <v>3555</v>
      </c>
      <c r="I781">
        <v>752.6</v>
      </c>
      <c r="J781">
        <v>13152</v>
      </c>
      <c r="K781">
        <v>14940</v>
      </c>
      <c r="L781" s="2">
        <v>26.590624999999999</v>
      </c>
      <c r="M781" s="5">
        <v>138.03850000000003</v>
      </c>
      <c r="N781" s="1">
        <v>199.9778</v>
      </c>
      <c r="O781" s="2">
        <v>5.7</v>
      </c>
      <c r="P781">
        <v>111</v>
      </c>
    </row>
    <row r="782" spans="1:16" x14ac:dyDescent="0.35">
      <c r="A782" s="4">
        <v>44378</v>
      </c>
      <c r="B782" t="s">
        <v>20</v>
      </c>
      <c r="C782" t="s">
        <v>10</v>
      </c>
      <c r="D782">
        <v>1</v>
      </c>
      <c r="E782" s="2">
        <f>(2016+2050+1950+2050)/4</f>
        <v>2016.5</v>
      </c>
      <c r="F782" s="2">
        <f t="shared" ref="F782:F787" si="126">(2265*2+2255+2245)/4</f>
        <v>2257.5</v>
      </c>
      <c r="G782" s="3">
        <v>1</v>
      </c>
      <c r="H782">
        <v>3555</v>
      </c>
      <c r="I782">
        <v>752.6</v>
      </c>
      <c r="J782">
        <v>13152</v>
      </c>
      <c r="K782">
        <v>14940</v>
      </c>
      <c r="L782" s="2">
        <v>26.590624999999999</v>
      </c>
      <c r="M782" s="5">
        <v>138.03850000000003</v>
      </c>
      <c r="N782" s="1">
        <v>199.9778</v>
      </c>
      <c r="O782" s="2">
        <v>5.7</v>
      </c>
      <c r="P782">
        <v>111</v>
      </c>
    </row>
    <row r="783" spans="1:16" x14ac:dyDescent="0.35">
      <c r="A783" s="4">
        <v>44378</v>
      </c>
      <c r="B783" t="s">
        <v>20</v>
      </c>
      <c r="C783" t="s">
        <v>11</v>
      </c>
      <c r="D783">
        <v>1</v>
      </c>
      <c r="E783" s="2">
        <v>2300</v>
      </c>
      <c r="F783" s="2">
        <f t="shared" si="126"/>
        <v>2257.5</v>
      </c>
      <c r="G783" s="3">
        <v>1</v>
      </c>
      <c r="H783">
        <v>3555</v>
      </c>
      <c r="I783">
        <v>752.6</v>
      </c>
      <c r="J783">
        <v>13152</v>
      </c>
      <c r="K783">
        <v>14940</v>
      </c>
      <c r="L783" s="2">
        <v>26.590624999999999</v>
      </c>
      <c r="M783" s="5">
        <v>138.03850000000003</v>
      </c>
      <c r="N783" s="1">
        <v>199.9778</v>
      </c>
      <c r="O783" s="2">
        <v>5.7</v>
      </c>
      <c r="P783">
        <v>111</v>
      </c>
    </row>
    <row r="784" spans="1:16" x14ac:dyDescent="0.35">
      <c r="A784" s="4">
        <v>44378</v>
      </c>
      <c r="B784" t="s">
        <v>20</v>
      </c>
      <c r="C784" t="s">
        <v>12</v>
      </c>
      <c r="D784">
        <v>1</v>
      </c>
      <c r="E784" s="2">
        <v>1920</v>
      </c>
      <c r="F784" s="2">
        <f t="shared" si="126"/>
        <v>2257.5</v>
      </c>
      <c r="G784" s="3">
        <v>1</v>
      </c>
      <c r="H784">
        <v>3555</v>
      </c>
      <c r="I784">
        <v>752.6</v>
      </c>
      <c r="J784">
        <v>13152</v>
      </c>
      <c r="K784">
        <v>14940</v>
      </c>
      <c r="L784" s="2">
        <v>26.590624999999999</v>
      </c>
      <c r="M784" s="5">
        <v>138.03850000000003</v>
      </c>
      <c r="N784" s="1">
        <v>199.9778</v>
      </c>
      <c r="O784" s="2">
        <v>5.7</v>
      </c>
      <c r="P784">
        <v>111</v>
      </c>
    </row>
    <row r="785" spans="1:16" x14ac:dyDescent="0.35">
      <c r="A785" s="4">
        <v>44378</v>
      </c>
      <c r="B785" t="s">
        <v>20</v>
      </c>
      <c r="C785" t="s">
        <v>13</v>
      </c>
      <c r="D785">
        <v>1</v>
      </c>
      <c r="E785" s="2">
        <f>(2275+2335+2375*2)/4</f>
        <v>2340</v>
      </c>
      <c r="F785" s="2">
        <f t="shared" si="126"/>
        <v>2257.5</v>
      </c>
      <c r="G785" s="3">
        <v>1</v>
      </c>
      <c r="H785">
        <v>3555</v>
      </c>
      <c r="I785">
        <v>752.6</v>
      </c>
      <c r="J785">
        <v>13152</v>
      </c>
      <c r="K785">
        <v>14940</v>
      </c>
      <c r="L785" s="2">
        <v>26.590624999999999</v>
      </c>
      <c r="M785" s="5">
        <v>138.03850000000003</v>
      </c>
      <c r="N785" s="1">
        <v>199.9778</v>
      </c>
      <c r="O785" s="2">
        <v>5.7</v>
      </c>
      <c r="P785">
        <v>111</v>
      </c>
    </row>
    <row r="786" spans="1:16" x14ac:dyDescent="0.35">
      <c r="A786" s="4">
        <v>44378</v>
      </c>
      <c r="B786" t="s">
        <v>20</v>
      </c>
      <c r="C786" t="s">
        <v>14</v>
      </c>
      <c r="D786">
        <v>1</v>
      </c>
      <c r="E786" s="2">
        <f>(2320+2310*2+2290)/4</f>
        <v>2307.5</v>
      </c>
      <c r="F786" s="2">
        <f t="shared" si="126"/>
        <v>2257.5</v>
      </c>
      <c r="G786" s="3">
        <v>1</v>
      </c>
      <c r="H786">
        <v>3555</v>
      </c>
      <c r="I786">
        <v>752.6</v>
      </c>
      <c r="J786">
        <v>13152</v>
      </c>
      <c r="K786">
        <v>14940</v>
      </c>
      <c r="L786" s="2">
        <v>26.590624999999999</v>
      </c>
      <c r="M786" s="5">
        <v>138.03850000000003</v>
      </c>
      <c r="N786" s="1">
        <v>199.9778</v>
      </c>
      <c r="O786" s="2">
        <v>5.7</v>
      </c>
      <c r="P786">
        <v>111</v>
      </c>
    </row>
    <row r="787" spans="1:16" x14ac:dyDescent="0.35">
      <c r="A787" s="4">
        <v>44378</v>
      </c>
      <c r="B787" t="s">
        <v>20</v>
      </c>
      <c r="C787" t="s">
        <v>15</v>
      </c>
      <c r="D787">
        <v>1</v>
      </c>
      <c r="E787" s="2">
        <f>(2245+2255+2265*2)/4</f>
        <v>2257.5</v>
      </c>
      <c r="F787" s="2">
        <f t="shared" si="126"/>
        <v>2257.5</v>
      </c>
      <c r="G787" s="3">
        <v>1</v>
      </c>
      <c r="H787">
        <v>3555</v>
      </c>
      <c r="I787">
        <v>752.6</v>
      </c>
      <c r="J787">
        <v>13152</v>
      </c>
      <c r="K787">
        <v>14940</v>
      </c>
      <c r="L787" s="2">
        <v>26.590624999999999</v>
      </c>
      <c r="M787" s="5">
        <v>138.03850000000003</v>
      </c>
      <c r="N787" s="1">
        <v>199.9778</v>
      </c>
      <c r="O787" s="2">
        <v>5.7</v>
      </c>
      <c r="P787">
        <v>111</v>
      </c>
    </row>
    <row r="788" spans="1:16" x14ac:dyDescent="0.35">
      <c r="A788" s="4">
        <v>44378</v>
      </c>
      <c r="B788" t="s">
        <v>21</v>
      </c>
      <c r="C788" t="s">
        <v>10</v>
      </c>
      <c r="D788">
        <v>1</v>
      </c>
      <c r="E788" s="2">
        <f>(1500+1750+1866+1750)/4</f>
        <v>1716.5</v>
      </c>
      <c r="F788" s="2">
        <f t="shared" ref="F788:F793" si="127">(2068+2085.2+2055+1978.8)/4</f>
        <v>2046.75</v>
      </c>
      <c r="G788" s="3">
        <v>1</v>
      </c>
      <c r="H788">
        <v>3555</v>
      </c>
      <c r="I788">
        <v>752.6</v>
      </c>
      <c r="J788">
        <v>13152</v>
      </c>
      <c r="K788">
        <v>14940</v>
      </c>
      <c r="L788" s="2">
        <v>26.590624999999999</v>
      </c>
      <c r="M788" s="5">
        <v>138.03850000000003</v>
      </c>
      <c r="N788" s="1">
        <v>199.9778</v>
      </c>
      <c r="O788" s="2">
        <v>5.7</v>
      </c>
      <c r="P788">
        <v>111</v>
      </c>
    </row>
    <row r="789" spans="1:16" x14ac:dyDescent="0.35">
      <c r="A789" s="4">
        <v>44378</v>
      </c>
      <c r="B789" t="s">
        <v>21</v>
      </c>
      <c r="C789" t="s">
        <v>11</v>
      </c>
      <c r="D789">
        <v>1</v>
      </c>
      <c r="E789" s="2">
        <v>2100</v>
      </c>
      <c r="F789" s="2">
        <f t="shared" si="127"/>
        <v>2046.75</v>
      </c>
      <c r="G789" s="3">
        <v>1</v>
      </c>
      <c r="H789">
        <v>3555</v>
      </c>
      <c r="I789">
        <v>752.6</v>
      </c>
      <c r="J789">
        <v>13152</v>
      </c>
      <c r="K789">
        <v>14940</v>
      </c>
      <c r="L789" s="2">
        <v>26.590624999999999</v>
      </c>
      <c r="M789" s="5">
        <v>138.03850000000003</v>
      </c>
      <c r="N789" s="1">
        <v>199.9778</v>
      </c>
      <c r="O789" s="2">
        <v>5.7</v>
      </c>
      <c r="P789">
        <v>111</v>
      </c>
    </row>
    <row r="790" spans="1:16" x14ac:dyDescent="0.35">
      <c r="A790" s="4">
        <v>44378</v>
      </c>
      <c r="B790" t="s">
        <v>21</v>
      </c>
      <c r="C790" t="s">
        <v>12</v>
      </c>
      <c r="D790">
        <v>1</v>
      </c>
      <c r="E790" s="2">
        <v>1800</v>
      </c>
      <c r="F790" s="2">
        <f t="shared" si="127"/>
        <v>2046.75</v>
      </c>
      <c r="G790" s="3">
        <v>1</v>
      </c>
      <c r="H790">
        <v>3555</v>
      </c>
      <c r="I790">
        <v>752.6</v>
      </c>
      <c r="J790">
        <v>13152</v>
      </c>
      <c r="K790">
        <v>14940</v>
      </c>
      <c r="L790" s="2">
        <v>26.590624999999999</v>
      </c>
      <c r="M790" s="5">
        <v>138.03850000000003</v>
      </c>
      <c r="N790" s="1">
        <v>199.9778</v>
      </c>
      <c r="O790" s="2">
        <v>5.7</v>
      </c>
      <c r="P790">
        <v>111</v>
      </c>
    </row>
    <row r="791" spans="1:16" x14ac:dyDescent="0.35">
      <c r="A791" s="4">
        <v>44378</v>
      </c>
      <c r="B791" t="s">
        <v>21</v>
      </c>
      <c r="C791" t="s">
        <v>13</v>
      </c>
      <c r="D791">
        <v>1</v>
      </c>
      <c r="E791" s="2">
        <f>(2175+2275*2+2280)/4</f>
        <v>2251.25</v>
      </c>
      <c r="F791" s="2">
        <f t="shared" si="127"/>
        <v>2046.75</v>
      </c>
      <c r="G791" s="3">
        <v>1</v>
      </c>
      <c r="H791">
        <v>3555</v>
      </c>
      <c r="I791">
        <v>752.6</v>
      </c>
      <c r="J791">
        <v>13152</v>
      </c>
      <c r="K791">
        <v>14940</v>
      </c>
      <c r="L791" s="2">
        <v>26.590624999999999</v>
      </c>
      <c r="M791" s="5">
        <v>138.03850000000003</v>
      </c>
      <c r="N791" s="1">
        <v>199.9778</v>
      </c>
      <c r="O791" s="2">
        <v>5.7</v>
      </c>
      <c r="P791">
        <v>111</v>
      </c>
    </row>
    <row r="792" spans="1:16" x14ac:dyDescent="0.35">
      <c r="A792" s="4">
        <v>44378</v>
      </c>
      <c r="B792" t="s">
        <v>21</v>
      </c>
      <c r="C792" t="s">
        <v>14</v>
      </c>
      <c r="D792">
        <v>1</v>
      </c>
      <c r="E792" s="2">
        <f>(2243+2250*2+2219)/4</f>
        <v>2240.5</v>
      </c>
      <c r="F792" s="2">
        <f t="shared" si="127"/>
        <v>2046.75</v>
      </c>
      <c r="G792" s="3">
        <v>1</v>
      </c>
      <c r="H792">
        <v>3555</v>
      </c>
      <c r="I792">
        <v>752.6</v>
      </c>
      <c r="J792">
        <v>13152</v>
      </c>
      <c r="K792">
        <v>14940</v>
      </c>
      <c r="L792" s="2">
        <v>26.590624999999999</v>
      </c>
      <c r="M792" s="5">
        <v>138.03850000000003</v>
      </c>
      <c r="N792" s="1">
        <v>199.9778</v>
      </c>
      <c r="O792" s="2">
        <v>5.7</v>
      </c>
      <c r="P792">
        <v>111</v>
      </c>
    </row>
    <row r="793" spans="1:16" x14ac:dyDescent="0.35">
      <c r="A793" s="4">
        <v>44378</v>
      </c>
      <c r="B793" t="s">
        <v>21</v>
      </c>
      <c r="C793" t="s">
        <v>15</v>
      </c>
      <c r="D793">
        <v>1</v>
      </c>
      <c r="E793" s="2">
        <f>(2200*2+2235)/3</f>
        <v>2211.6666666666665</v>
      </c>
      <c r="F793" s="2">
        <f t="shared" si="127"/>
        <v>2046.75</v>
      </c>
      <c r="G793" s="3">
        <v>1</v>
      </c>
      <c r="H793">
        <v>3555</v>
      </c>
      <c r="I793">
        <v>752.6</v>
      </c>
      <c r="J793">
        <v>13152</v>
      </c>
      <c r="K793">
        <v>14940</v>
      </c>
      <c r="L793" s="2">
        <v>26.590624999999999</v>
      </c>
      <c r="M793" s="5">
        <v>138.03850000000003</v>
      </c>
      <c r="N793" s="1">
        <v>199.9778</v>
      </c>
      <c r="O793" s="2">
        <v>5.7</v>
      </c>
      <c r="P793">
        <v>111</v>
      </c>
    </row>
    <row r="794" spans="1:16" x14ac:dyDescent="0.35">
      <c r="A794" s="4">
        <v>44378</v>
      </c>
      <c r="B794" t="s">
        <v>22</v>
      </c>
      <c r="C794" t="s">
        <v>10</v>
      </c>
      <c r="D794">
        <v>0</v>
      </c>
      <c r="E794" s="2" t="s">
        <v>27</v>
      </c>
      <c r="F794" s="2">
        <f t="shared" ref="F794:F799" si="128">(1900*2+1940+1958)/4</f>
        <v>1924.5</v>
      </c>
      <c r="G794" s="3">
        <v>1</v>
      </c>
      <c r="H794">
        <v>3555</v>
      </c>
      <c r="I794">
        <v>752.6</v>
      </c>
      <c r="J794">
        <v>13152</v>
      </c>
      <c r="K794">
        <v>14940</v>
      </c>
      <c r="L794" s="2">
        <v>26.590624999999999</v>
      </c>
      <c r="M794" s="5">
        <v>138.03850000000003</v>
      </c>
      <c r="N794" s="1">
        <v>199.9778</v>
      </c>
      <c r="O794" s="2">
        <v>5.7</v>
      </c>
      <c r="P794">
        <v>111</v>
      </c>
    </row>
    <row r="795" spans="1:16" x14ac:dyDescent="0.35">
      <c r="A795" s="4">
        <v>44378</v>
      </c>
      <c r="B795" t="s">
        <v>22</v>
      </c>
      <c r="C795" t="s">
        <v>11</v>
      </c>
      <c r="D795">
        <v>0</v>
      </c>
      <c r="E795" s="2" t="s">
        <v>27</v>
      </c>
      <c r="F795" s="2">
        <f t="shared" si="128"/>
        <v>1924.5</v>
      </c>
      <c r="G795" s="3">
        <v>1</v>
      </c>
      <c r="H795">
        <v>3555</v>
      </c>
      <c r="I795">
        <v>752.6</v>
      </c>
      <c r="J795">
        <v>13152</v>
      </c>
      <c r="K795">
        <v>14940</v>
      </c>
      <c r="L795" s="2">
        <v>26.590624999999999</v>
      </c>
      <c r="M795" s="5">
        <v>138.03850000000003</v>
      </c>
      <c r="N795" s="1">
        <v>199.9778</v>
      </c>
      <c r="O795" s="2">
        <v>5.7</v>
      </c>
      <c r="P795">
        <v>111</v>
      </c>
    </row>
    <row r="796" spans="1:16" x14ac:dyDescent="0.35">
      <c r="A796" s="4">
        <v>44378</v>
      </c>
      <c r="B796" t="s">
        <v>22</v>
      </c>
      <c r="C796" t="s">
        <v>12</v>
      </c>
      <c r="D796">
        <v>0</v>
      </c>
      <c r="E796" s="2" t="s">
        <v>27</v>
      </c>
      <c r="F796" s="2">
        <f t="shared" si="128"/>
        <v>1924.5</v>
      </c>
      <c r="G796" s="3">
        <v>1</v>
      </c>
      <c r="H796">
        <v>3555</v>
      </c>
      <c r="I796">
        <v>752.6</v>
      </c>
      <c r="J796">
        <v>13152</v>
      </c>
      <c r="K796">
        <v>14940</v>
      </c>
      <c r="L796" s="2">
        <v>26.590624999999999</v>
      </c>
      <c r="M796" s="5">
        <v>138.03850000000003</v>
      </c>
      <c r="N796" s="1">
        <v>199.9778</v>
      </c>
      <c r="O796" s="2">
        <v>5.7</v>
      </c>
      <c r="P796">
        <v>111</v>
      </c>
    </row>
    <row r="797" spans="1:16" x14ac:dyDescent="0.35">
      <c r="A797" s="4">
        <v>44378</v>
      </c>
      <c r="B797" t="s">
        <v>22</v>
      </c>
      <c r="C797" t="s">
        <v>13</v>
      </c>
      <c r="D797">
        <v>0</v>
      </c>
      <c r="E797" s="2" t="s">
        <v>27</v>
      </c>
      <c r="F797" s="2">
        <f t="shared" si="128"/>
        <v>1924.5</v>
      </c>
      <c r="G797" s="3">
        <v>1</v>
      </c>
      <c r="H797">
        <v>3555</v>
      </c>
      <c r="I797">
        <v>752.6</v>
      </c>
      <c r="J797">
        <v>13152</v>
      </c>
      <c r="K797">
        <v>14940</v>
      </c>
      <c r="L797" s="2">
        <v>26.590624999999999</v>
      </c>
      <c r="M797" s="5">
        <v>138.03850000000003</v>
      </c>
      <c r="N797" s="1">
        <v>199.9778</v>
      </c>
      <c r="O797" s="2">
        <v>5.7</v>
      </c>
      <c r="P797">
        <v>111</v>
      </c>
    </row>
    <row r="798" spans="1:16" x14ac:dyDescent="0.35">
      <c r="A798" s="4">
        <v>44378</v>
      </c>
      <c r="B798" t="s">
        <v>22</v>
      </c>
      <c r="C798" t="s">
        <v>14</v>
      </c>
      <c r="D798">
        <v>1</v>
      </c>
      <c r="E798" s="2">
        <f>(1900*2+1940+1958)/4</f>
        <v>1924.5</v>
      </c>
      <c r="F798" s="2">
        <f t="shared" si="128"/>
        <v>1924.5</v>
      </c>
      <c r="G798" s="3">
        <v>1</v>
      </c>
      <c r="H798">
        <v>3555</v>
      </c>
      <c r="I798">
        <v>752.6</v>
      </c>
      <c r="J798">
        <v>13152</v>
      </c>
      <c r="K798">
        <v>14940</v>
      </c>
      <c r="L798" s="2">
        <v>26.590624999999999</v>
      </c>
      <c r="M798" s="5">
        <v>138.03850000000003</v>
      </c>
      <c r="N798" s="1">
        <v>199.9778</v>
      </c>
      <c r="O798" s="2">
        <v>5.7</v>
      </c>
      <c r="P798">
        <v>111</v>
      </c>
    </row>
    <row r="799" spans="1:16" x14ac:dyDescent="0.35">
      <c r="A799" s="4">
        <v>44378</v>
      </c>
      <c r="B799" t="s">
        <v>22</v>
      </c>
      <c r="C799" t="s">
        <v>15</v>
      </c>
      <c r="D799">
        <v>0</v>
      </c>
      <c r="E799" s="2" t="s">
        <v>27</v>
      </c>
      <c r="F799" s="2">
        <f t="shared" si="128"/>
        <v>1924.5</v>
      </c>
      <c r="G799" s="3">
        <v>1</v>
      </c>
      <c r="H799">
        <v>3555</v>
      </c>
      <c r="I799">
        <v>752.6</v>
      </c>
      <c r="J799">
        <v>13152</v>
      </c>
      <c r="K799">
        <v>14940</v>
      </c>
      <c r="L799" s="2">
        <v>26.590624999999999</v>
      </c>
      <c r="M799" s="5">
        <v>138.03850000000003</v>
      </c>
      <c r="N799" s="1">
        <v>199.9778</v>
      </c>
      <c r="O799" s="2">
        <v>5.7</v>
      </c>
      <c r="P799">
        <v>111</v>
      </c>
    </row>
    <row r="800" spans="1:16" x14ac:dyDescent="0.35">
      <c r="A800" s="4">
        <v>44409</v>
      </c>
      <c r="B800" t="s">
        <v>16</v>
      </c>
      <c r="C800" t="s">
        <v>10</v>
      </c>
      <c r="D800">
        <v>1</v>
      </c>
      <c r="E800" s="2">
        <f>(3050+3083+3100)/3</f>
        <v>3077.6666666666665</v>
      </c>
      <c r="F800" s="2">
        <f t="shared" ref="F800:F805" si="129">(3156.25+3158.25*2)/3</f>
        <v>3157.5833333333335</v>
      </c>
      <c r="G800" s="3">
        <v>1</v>
      </c>
      <c r="H800">
        <v>2370</v>
      </c>
      <c r="I800">
        <v>2822.2</v>
      </c>
      <c r="J800">
        <v>17196</v>
      </c>
      <c r="K800">
        <v>14940</v>
      </c>
      <c r="L800" s="2">
        <v>26.287500000000001</v>
      </c>
      <c r="M800" s="5">
        <v>132.23650000000004</v>
      </c>
      <c r="N800" s="1">
        <v>200.4965</v>
      </c>
      <c r="O800" s="2">
        <v>6</v>
      </c>
      <c r="P800">
        <v>111</v>
      </c>
    </row>
    <row r="801" spans="1:16" x14ac:dyDescent="0.35">
      <c r="A801" s="4">
        <v>44409</v>
      </c>
      <c r="B801" t="s">
        <v>16</v>
      </c>
      <c r="C801" t="s">
        <v>11</v>
      </c>
      <c r="D801">
        <v>0</v>
      </c>
      <c r="E801" s="2" t="s">
        <v>27</v>
      </c>
      <c r="F801" s="2">
        <f t="shared" si="129"/>
        <v>3157.5833333333335</v>
      </c>
      <c r="G801" s="3">
        <v>1</v>
      </c>
      <c r="H801">
        <v>2370</v>
      </c>
      <c r="I801">
        <v>2822.2</v>
      </c>
      <c r="J801">
        <v>17196</v>
      </c>
      <c r="K801">
        <v>14940</v>
      </c>
      <c r="L801" s="2">
        <v>26.287500000000001</v>
      </c>
      <c r="M801" s="5">
        <v>132.23650000000004</v>
      </c>
      <c r="N801" s="1">
        <v>200.4965</v>
      </c>
      <c r="O801" s="2">
        <v>6</v>
      </c>
      <c r="P801">
        <v>111</v>
      </c>
    </row>
    <row r="802" spans="1:16" x14ac:dyDescent="0.35">
      <c r="A802" s="4">
        <v>44409</v>
      </c>
      <c r="B802" t="s">
        <v>16</v>
      </c>
      <c r="C802" t="s">
        <v>12</v>
      </c>
      <c r="D802">
        <v>1</v>
      </c>
      <c r="E802" s="2">
        <v>3100</v>
      </c>
      <c r="F802" s="2">
        <f t="shared" si="129"/>
        <v>3157.5833333333335</v>
      </c>
      <c r="G802" s="3">
        <v>1</v>
      </c>
      <c r="H802">
        <v>2370</v>
      </c>
      <c r="I802">
        <v>2822.2</v>
      </c>
      <c r="J802">
        <v>17196</v>
      </c>
      <c r="K802">
        <v>14940</v>
      </c>
      <c r="L802" s="2">
        <v>26.287500000000001</v>
      </c>
      <c r="M802" s="5">
        <v>132.23650000000004</v>
      </c>
      <c r="N802" s="1">
        <v>200.4965</v>
      </c>
      <c r="O802" s="2">
        <v>6</v>
      </c>
      <c r="P802">
        <v>111</v>
      </c>
    </row>
    <row r="803" spans="1:16" x14ac:dyDescent="0.35">
      <c r="A803" s="4">
        <v>44409</v>
      </c>
      <c r="B803" t="s">
        <v>16</v>
      </c>
      <c r="C803" t="s">
        <v>13</v>
      </c>
      <c r="D803">
        <v>1</v>
      </c>
      <c r="E803" s="2">
        <v>3150</v>
      </c>
      <c r="F803" s="2">
        <f t="shared" si="129"/>
        <v>3157.5833333333335</v>
      </c>
      <c r="G803" s="3">
        <v>1</v>
      </c>
      <c r="H803">
        <v>2370</v>
      </c>
      <c r="I803">
        <v>2822.2</v>
      </c>
      <c r="J803">
        <v>17196</v>
      </c>
      <c r="K803">
        <v>14940</v>
      </c>
      <c r="L803" s="2">
        <v>26.287500000000001</v>
      </c>
      <c r="M803" s="5">
        <v>132.23650000000004</v>
      </c>
      <c r="N803" s="1">
        <v>200.4965</v>
      </c>
      <c r="O803" s="2">
        <v>6</v>
      </c>
      <c r="P803">
        <v>111</v>
      </c>
    </row>
    <row r="804" spans="1:16" x14ac:dyDescent="0.35">
      <c r="A804" s="4">
        <v>44409</v>
      </c>
      <c r="B804" t="s">
        <v>16</v>
      </c>
      <c r="C804" t="s">
        <v>14</v>
      </c>
      <c r="D804">
        <v>1</v>
      </c>
      <c r="E804" s="2">
        <f>(3333+3275+3300)/3</f>
        <v>3302.6666666666665</v>
      </c>
      <c r="F804" s="2">
        <f t="shared" si="129"/>
        <v>3157.5833333333335</v>
      </c>
      <c r="G804" s="3">
        <v>1</v>
      </c>
      <c r="H804">
        <v>2370</v>
      </c>
      <c r="I804">
        <v>2822.2</v>
      </c>
      <c r="J804">
        <v>17196</v>
      </c>
      <c r="K804">
        <v>14940</v>
      </c>
      <c r="L804" s="2">
        <v>26.287500000000001</v>
      </c>
      <c r="M804" s="5">
        <v>132.23650000000004</v>
      </c>
      <c r="N804" s="1">
        <v>200.4965</v>
      </c>
      <c r="O804" s="2">
        <v>6</v>
      </c>
      <c r="P804">
        <v>111</v>
      </c>
    </row>
    <row r="805" spans="1:16" x14ac:dyDescent="0.35">
      <c r="A805" s="4">
        <v>44409</v>
      </c>
      <c r="B805" t="s">
        <v>16</v>
      </c>
      <c r="C805" t="s">
        <v>15</v>
      </c>
      <c r="D805">
        <v>0</v>
      </c>
      <c r="E805" s="2" t="s">
        <v>27</v>
      </c>
      <c r="F805" s="2">
        <f t="shared" si="129"/>
        <v>3157.5833333333335</v>
      </c>
      <c r="G805" s="3">
        <v>1</v>
      </c>
      <c r="H805">
        <v>2370</v>
      </c>
      <c r="I805">
        <v>2822.2</v>
      </c>
      <c r="J805">
        <v>17196</v>
      </c>
      <c r="K805">
        <v>14940</v>
      </c>
      <c r="L805" s="2">
        <v>26.287500000000001</v>
      </c>
      <c r="M805" s="5">
        <v>132.23650000000004</v>
      </c>
      <c r="N805" s="1">
        <v>200.4965</v>
      </c>
      <c r="O805" s="2">
        <v>6</v>
      </c>
      <c r="P805">
        <v>111</v>
      </c>
    </row>
    <row r="806" spans="1:16" x14ac:dyDescent="0.35">
      <c r="A806" s="4">
        <v>44409</v>
      </c>
      <c r="B806" t="s">
        <v>17</v>
      </c>
      <c r="C806" t="s">
        <v>10</v>
      </c>
      <c r="D806">
        <v>1</v>
      </c>
      <c r="E806" s="2">
        <f>(2750+2850+2883)/3</f>
        <v>2827.6666666666665</v>
      </c>
      <c r="F806" s="2">
        <f t="shared" ref="F806:F811" si="130">(2825.2+2804.25+2815)/3</f>
        <v>2814.8166666666671</v>
      </c>
      <c r="G806" s="3">
        <v>1</v>
      </c>
      <c r="H806">
        <v>2370</v>
      </c>
      <c r="I806">
        <v>2822.2</v>
      </c>
      <c r="J806">
        <v>17196</v>
      </c>
      <c r="K806">
        <v>14940</v>
      </c>
      <c r="L806" s="2">
        <v>26.287500000000001</v>
      </c>
      <c r="M806" s="5">
        <v>132.23650000000004</v>
      </c>
      <c r="N806" s="1">
        <v>200.4965</v>
      </c>
      <c r="O806" s="2">
        <v>6</v>
      </c>
      <c r="P806">
        <v>111</v>
      </c>
    </row>
    <row r="807" spans="1:16" x14ac:dyDescent="0.35">
      <c r="A807" s="4">
        <v>44409</v>
      </c>
      <c r="B807" t="s">
        <v>17</v>
      </c>
      <c r="C807" t="s">
        <v>11</v>
      </c>
      <c r="D807">
        <v>1</v>
      </c>
      <c r="E807" s="2">
        <v>2800</v>
      </c>
      <c r="F807" s="2">
        <f t="shared" si="130"/>
        <v>2814.8166666666671</v>
      </c>
      <c r="G807" s="3">
        <v>1</v>
      </c>
      <c r="H807">
        <v>2370</v>
      </c>
      <c r="I807">
        <v>2822.2</v>
      </c>
      <c r="J807">
        <v>17196</v>
      </c>
      <c r="K807">
        <v>14940</v>
      </c>
      <c r="L807" s="2">
        <v>26.287500000000001</v>
      </c>
      <c r="M807" s="5">
        <v>132.23650000000004</v>
      </c>
      <c r="N807" s="1">
        <v>200.4965</v>
      </c>
      <c r="O807" s="2">
        <v>6</v>
      </c>
      <c r="P807">
        <v>111</v>
      </c>
    </row>
    <row r="808" spans="1:16" x14ac:dyDescent="0.35">
      <c r="A808" s="4">
        <v>44409</v>
      </c>
      <c r="B808" t="s">
        <v>17</v>
      </c>
      <c r="C808" t="s">
        <v>12</v>
      </c>
      <c r="D808">
        <v>1</v>
      </c>
      <c r="E808" s="2">
        <v>2760</v>
      </c>
      <c r="F808" s="2">
        <f t="shared" si="130"/>
        <v>2814.8166666666671</v>
      </c>
      <c r="G808" s="3">
        <v>1</v>
      </c>
      <c r="H808">
        <v>2370</v>
      </c>
      <c r="I808">
        <v>2822.2</v>
      </c>
      <c r="J808">
        <v>17196</v>
      </c>
      <c r="K808">
        <v>14940</v>
      </c>
      <c r="L808" s="2">
        <v>26.287500000000001</v>
      </c>
      <c r="M808" s="5">
        <v>132.23650000000004</v>
      </c>
      <c r="N808" s="1">
        <v>200.4965</v>
      </c>
      <c r="O808" s="2">
        <v>6</v>
      </c>
      <c r="P808">
        <v>111</v>
      </c>
    </row>
    <row r="809" spans="1:16" x14ac:dyDescent="0.35">
      <c r="A809" s="4">
        <v>44409</v>
      </c>
      <c r="B809" t="s">
        <v>17</v>
      </c>
      <c r="C809" t="s">
        <v>13</v>
      </c>
      <c r="D809">
        <v>1</v>
      </c>
      <c r="E809" s="2">
        <f>(2725+2850+2790)/3</f>
        <v>2788.3333333333335</v>
      </c>
      <c r="F809" s="2">
        <f t="shared" si="130"/>
        <v>2814.8166666666671</v>
      </c>
      <c r="G809" s="3">
        <v>1</v>
      </c>
      <c r="H809">
        <v>2370</v>
      </c>
      <c r="I809">
        <v>2822.2</v>
      </c>
      <c r="J809">
        <v>17196</v>
      </c>
      <c r="K809">
        <v>14940</v>
      </c>
      <c r="L809" s="2">
        <v>26.287500000000001</v>
      </c>
      <c r="M809" s="5">
        <v>132.23650000000004</v>
      </c>
      <c r="N809" s="1">
        <v>200.4965</v>
      </c>
      <c r="O809" s="2">
        <v>6</v>
      </c>
      <c r="P809">
        <v>111</v>
      </c>
    </row>
    <row r="810" spans="1:16" x14ac:dyDescent="0.35">
      <c r="A810" s="4">
        <v>44409</v>
      </c>
      <c r="B810" t="s">
        <v>17</v>
      </c>
      <c r="C810" t="s">
        <v>14</v>
      </c>
      <c r="D810">
        <v>1</v>
      </c>
      <c r="E810" s="2">
        <f>(2833+2817+3025)/3</f>
        <v>2891.6666666666665</v>
      </c>
      <c r="F810" s="2">
        <f t="shared" si="130"/>
        <v>2814.8166666666671</v>
      </c>
      <c r="G810" s="3">
        <v>1</v>
      </c>
      <c r="H810">
        <v>2370</v>
      </c>
      <c r="I810">
        <v>2822.2</v>
      </c>
      <c r="J810">
        <v>17196</v>
      </c>
      <c r="K810">
        <v>14940</v>
      </c>
      <c r="L810" s="2">
        <v>26.287500000000001</v>
      </c>
      <c r="M810" s="5">
        <v>132.23650000000004</v>
      </c>
      <c r="N810" s="1">
        <v>200.4965</v>
      </c>
      <c r="O810" s="2">
        <v>6</v>
      </c>
      <c r="P810">
        <v>111</v>
      </c>
    </row>
    <row r="811" spans="1:16" x14ac:dyDescent="0.35">
      <c r="A811" s="4">
        <v>44409</v>
      </c>
      <c r="B811" t="s">
        <v>17</v>
      </c>
      <c r="C811" t="s">
        <v>15</v>
      </c>
      <c r="D811">
        <v>0</v>
      </c>
      <c r="E811" s="2" t="s">
        <v>27</v>
      </c>
      <c r="F811" s="2">
        <f t="shared" si="130"/>
        <v>2814.8166666666671</v>
      </c>
      <c r="G811" s="3">
        <v>1</v>
      </c>
      <c r="H811">
        <v>2370</v>
      </c>
      <c r="I811">
        <v>2822.2</v>
      </c>
      <c r="J811">
        <v>17196</v>
      </c>
      <c r="K811">
        <v>14940</v>
      </c>
      <c r="L811" s="2">
        <v>26.287500000000001</v>
      </c>
      <c r="M811" s="5">
        <v>132.23650000000004</v>
      </c>
      <c r="N811" s="1">
        <v>200.4965</v>
      </c>
      <c r="O811" s="2">
        <v>6</v>
      </c>
      <c r="P811">
        <v>111</v>
      </c>
    </row>
    <row r="812" spans="1:16" x14ac:dyDescent="0.35">
      <c r="A812" s="4">
        <v>44409</v>
      </c>
      <c r="B812" t="s">
        <v>18</v>
      </c>
      <c r="C812" t="s">
        <v>10</v>
      </c>
      <c r="D812">
        <v>1</v>
      </c>
      <c r="E812" s="2">
        <v>2660</v>
      </c>
      <c r="F812" s="2">
        <f t="shared" ref="F812:F817" si="131">(2653.33+2599.67+2593.57)/3</f>
        <v>2615.5233333333331</v>
      </c>
      <c r="G812" s="3">
        <v>1</v>
      </c>
      <c r="H812">
        <v>2370</v>
      </c>
      <c r="I812">
        <v>2822.2</v>
      </c>
      <c r="J812">
        <v>17196</v>
      </c>
      <c r="K812">
        <v>14940</v>
      </c>
      <c r="L812" s="2">
        <v>26.287500000000001</v>
      </c>
      <c r="M812" s="5">
        <v>132.23650000000004</v>
      </c>
      <c r="N812" s="1">
        <v>200.4965</v>
      </c>
      <c r="O812" s="2">
        <v>6</v>
      </c>
      <c r="P812">
        <v>111</v>
      </c>
    </row>
    <row r="813" spans="1:16" x14ac:dyDescent="0.35">
      <c r="A813" s="4">
        <v>44409</v>
      </c>
      <c r="B813" t="s">
        <v>18</v>
      </c>
      <c r="C813" t="s">
        <v>11</v>
      </c>
      <c r="D813">
        <v>1</v>
      </c>
      <c r="E813" s="2">
        <v>2700</v>
      </c>
      <c r="F813" s="2">
        <f t="shared" si="131"/>
        <v>2615.5233333333331</v>
      </c>
      <c r="G813" s="3">
        <v>1</v>
      </c>
      <c r="H813">
        <v>2370</v>
      </c>
      <c r="I813">
        <v>2822.2</v>
      </c>
      <c r="J813">
        <v>17196</v>
      </c>
      <c r="K813">
        <v>14940</v>
      </c>
      <c r="L813" s="2">
        <v>26.287500000000001</v>
      </c>
      <c r="M813" s="5">
        <v>132.23650000000004</v>
      </c>
      <c r="N813" s="1">
        <v>200.4965</v>
      </c>
      <c r="O813" s="2">
        <v>6</v>
      </c>
      <c r="P813">
        <v>111</v>
      </c>
    </row>
    <row r="814" spans="1:16" x14ac:dyDescent="0.35">
      <c r="A814" s="4">
        <v>44409</v>
      </c>
      <c r="B814" t="s">
        <v>18</v>
      </c>
      <c r="C814" t="s">
        <v>12</v>
      </c>
      <c r="D814">
        <v>1</v>
      </c>
      <c r="E814" s="2">
        <v>2595</v>
      </c>
      <c r="F814" s="2">
        <f t="shared" si="131"/>
        <v>2615.5233333333331</v>
      </c>
      <c r="G814" s="3">
        <v>1</v>
      </c>
      <c r="H814">
        <v>2370</v>
      </c>
      <c r="I814">
        <v>2822.2</v>
      </c>
      <c r="J814">
        <v>17196</v>
      </c>
      <c r="K814">
        <v>14940</v>
      </c>
      <c r="L814" s="2">
        <v>26.287500000000001</v>
      </c>
      <c r="M814" s="5">
        <v>132.23650000000004</v>
      </c>
      <c r="N814" s="1">
        <v>200.4965</v>
      </c>
      <c r="O814" s="2">
        <v>6</v>
      </c>
      <c r="P814">
        <v>111</v>
      </c>
    </row>
    <row r="815" spans="1:16" x14ac:dyDescent="0.35">
      <c r="A815" s="4">
        <v>44409</v>
      </c>
      <c r="B815" t="s">
        <v>18</v>
      </c>
      <c r="C815" t="s">
        <v>13</v>
      </c>
      <c r="D815">
        <v>1</v>
      </c>
      <c r="E815" s="2">
        <f>(2650+2720+2775)/3</f>
        <v>2715</v>
      </c>
      <c r="F815" s="2">
        <f t="shared" si="131"/>
        <v>2615.5233333333331</v>
      </c>
      <c r="G815" s="3">
        <v>1</v>
      </c>
      <c r="H815">
        <v>2370</v>
      </c>
      <c r="I815">
        <v>2822.2</v>
      </c>
      <c r="J815">
        <v>17196</v>
      </c>
      <c r="K815">
        <v>14940</v>
      </c>
      <c r="L815" s="2">
        <v>26.287500000000001</v>
      </c>
      <c r="M815" s="5">
        <v>132.23650000000004</v>
      </c>
      <c r="N815" s="1">
        <v>200.4965</v>
      </c>
      <c r="O815" s="2">
        <v>6</v>
      </c>
      <c r="P815">
        <v>111</v>
      </c>
    </row>
    <row r="816" spans="1:16" x14ac:dyDescent="0.35">
      <c r="A816" s="4">
        <v>44409</v>
      </c>
      <c r="B816" t="s">
        <v>18</v>
      </c>
      <c r="C816" t="s">
        <v>14</v>
      </c>
      <c r="D816">
        <v>1</v>
      </c>
      <c r="E816" s="2">
        <f>(2675+2683+2825)/3</f>
        <v>2727.6666666666665</v>
      </c>
      <c r="F816" s="2">
        <f t="shared" si="131"/>
        <v>2615.5233333333331</v>
      </c>
      <c r="G816" s="3">
        <v>1</v>
      </c>
      <c r="H816">
        <v>2370</v>
      </c>
      <c r="I816">
        <v>2822.2</v>
      </c>
      <c r="J816">
        <v>17196</v>
      </c>
      <c r="K816">
        <v>14940</v>
      </c>
      <c r="L816" s="2">
        <v>26.287500000000001</v>
      </c>
      <c r="M816" s="5">
        <v>132.23650000000004</v>
      </c>
      <c r="N816" s="1">
        <v>200.4965</v>
      </c>
      <c r="O816" s="2">
        <v>6</v>
      </c>
      <c r="P816">
        <v>111</v>
      </c>
    </row>
    <row r="817" spans="1:16" x14ac:dyDescent="0.35">
      <c r="A817" s="4">
        <v>44409</v>
      </c>
      <c r="B817" t="s">
        <v>18</v>
      </c>
      <c r="C817" t="s">
        <v>15</v>
      </c>
      <c r="D817">
        <v>1</v>
      </c>
      <c r="E817" s="2">
        <v>2700</v>
      </c>
      <c r="F817" s="2">
        <f t="shared" si="131"/>
        <v>2615.5233333333331</v>
      </c>
      <c r="G817" s="3">
        <v>1</v>
      </c>
      <c r="H817">
        <v>2370</v>
      </c>
      <c r="I817">
        <v>2822.2</v>
      </c>
      <c r="J817">
        <v>17196</v>
      </c>
      <c r="K817">
        <v>14940</v>
      </c>
      <c r="L817" s="2">
        <v>26.287500000000001</v>
      </c>
      <c r="M817" s="5">
        <v>132.23650000000004</v>
      </c>
      <c r="N817" s="1">
        <v>200.4965</v>
      </c>
      <c r="O817" s="2">
        <v>6</v>
      </c>
      <c r="P817">
        <v>111</v>
      </c>
    </row>
    <row r="818" spans="1:16" x14ac:dyDescent="0.35">
      <c r="A818" s="4">
        <v>44409</v>
      </c>
      <c r="B818" t="s">
        <v>19</v>
      </c>
      <c r="C818" t="s">
        <v>10</v>
      </c>
      <c r="D818">
        <v>1</v>
      </c>
      <c r="E818" s="2">
        <f>(2516+2500+2450)/3</f>
        <v>2488.6666666666665</v>
      </c>
      <c r="F818" s="2">
        <f t="shared" ref="F818:F823" si="132">(2465.57+2455.83+2507.17)/3</f>
        <v>2476.19</v>
      </c>
      <c r="G818" s="3">
        <v>1</v>
      </c>
      <c r="H818">
        <v>2370</v>
      </c>
      <c r="I818">
        <v>2822.2</v>
      </c>
      <c r="J818">
        <v>17196</v>
      </c>
      <c r="K818">
        <v>14940</v>
      </c>
      <c r="L818" s="2">
        <v>26.287500000000001</v>
      </c>
      <c r="M818" s="5">
        <v>132.23650000000004</v>
      </c>
      <c r="N818" s="1">
        <v>200.4965</v>
      </c>
      <c r="O818" s="2">
        <v>6</v>
      </c>
      <c r="P818">
        <v>111</v>
      </c>
    </row>
    <row r="819" spans="1:16" x14ac:dyDescent="0.35">
      <c r="A819" s="4">
        <v>44409</v>
      </c>
      <c r="B819" t="s">
        <v>19</v>
      </c>
      <c r="C819" t="s">
        <v>11</v>
      </c>
      <c r="D819">
        <v>1</v>
      </c>
      <c r="E819" s="2">
        <v>2600</v>
      </c>
      <c r="F819" s="2">
        <f t="shared" si="132"/>
        <v>2476.19</v>
      </c>
      <c r="G819" s="3">
        <v>1</v>
      </c>
      <c r="H819">
        <v>2370</v>
      </c>
      <c r="I819">
        <v>2822.2</v>
      </c>
      <c r="J819">
        <v>17196</v>
      </c>
      <c r="K819">
        <v>14940</v>
      </c>
      <c r="L819" s="2">
        <v>26.287500000000001</v>
      </c>
      <c r="M819" s="5">
        <v>132.23650000000004</v>
      </c>
      <c r="N819" s="1">
        <v>200.4965</v>
      </c>
      <c r="O819" s="2">
        <v>6</v>
      </c>
      <c r="P819">
        <v>111</v>
      </c>
    </row>
    <row r="820" spans="1:16" x14ac:dyDescent="0.35">
      <c r="A820" s="4">
        <v>44409</v>
      </c>
      <c r="B820" t="s">
        <v>19</v>
      </c>
      <c r="C820" t="s">
        <v>12</v>
      </c>
      <c r="D820">
        <v>1</v>
      </c>
      <c r="E820" s="2">
        <v>2460</v>
      </c>
      <c r="F820" s="2">
        <f t="shared" si="132"/>
        <v>2476.19</v>
      </c>
      <c r="G820" s="3">
        <v>1</v>
      </c>
      <c r="H820">
        <v>2370</v>
      </c>
      <c r="I820">
        <v>2822.2</v>
      </c>
      <c r="J820">
        <v>17196</v>
      </c>
      <c r="K820">
        <v>14940</v>
      </c>
      <c r="L820" s="2">
        <v>26.287500000000001</v>
      </c>
      <c r="M820" s="5">
        <v>132.23650000000004</v>
      </c>
      <c r="N820" s="1">
        <v>200.4965</v>
      </c>
      <c r="O820" s="2">
        <v>6</v>
      </c>
      <c r="P820">
        <v>111</v>
      </c>
    </row>
    <row r="821" spans="1:16" x14ac:dyDescent="0.35">
      <c r="A821" s="4">
        <v>44409</v>
      </c>
      <c r="B821" t="s">
        <v>19</v>
      </c>
      <c r="C821" t="s">
        <v>13</v>
      </c>
      <c r="D821">
        <v>1</v>
      </c>
      <c r="E821" s="2">
        <v>2650</v>
      </c>
      <c r="F821" s="2">
        <f t="shared" si="132"/>
        <v>2476.19</v>
      </c>
      <c r="G821" s="3">
        <v>1</v>
      </c>
      <c r="H821">
        <v>2370</v>
      </c>
      <c r="I821">
        <v>2822.2</v>
      </c>
      <c r="J821">
        <v>17196</v>
      </c>
      <c r="K821">
        <v>14940</v>
      </c>
      <c r="L821" s="2">
        <v>26.287500000000001</v>
      </c>
      <c r="M821" s="5">
        <v>132.23650000000004</v>
      </c>
      <c r="N821" s="1">
        <v>200.4965</v>
      </c>
      <c r="O821" s="2">
        <v>6</v>
      </c>
      <c r="P821">
        <v>111</v>
      </c>
    </row>
    <row r="822" spans="1:16" x14ac:dyDescent="0.35">
      <c r="A822" s="4">
        <v>44409</v>
      </c>
      <c r="B822" t="s">
        <v>19</v>
      </c>
      <c r="C822" t="s">
        <v>14</v>
      </c>
      <c r="D822">
        <v>1</v>
      </c>
      <c r="E822" s="2">
        <f>(2583*2+2600)/3</f>
        <v>2588.6666666666665</v>
      </c>
      <c r="F822" s="2">
        <f t="shared" si="132"/>
        <v>2476.19</v>
      </c>
      <c r="G822" s="3">
        <v>1</v>
      </c>
      <c r="H822">
        <v>2370</v>
      </c>
      <c r="I822">
        <v>2822.2</v>
      </c>
      <c r="J822">
        <v>17196</v>
      </c>
      <c r="K822">
        <v>14940</v>
      </c>
      <c r="L822" s="2">
        <v>26.287500000000001</v>
      </c>
      <c r="M822" s="5">
        <v>132.23650000000004</v>
      </c>
      <c r="N822" s="1">
        <v>200.4965</v>
      </c>
      <c r="O822" s="2">
        <v>6</v>
      </c>
      <c r="P822">
        <v>111</v>
      </c>
    </row>
    <row r="823" spans="1:16" x14ac:dyDescent="0.35">
      <c r="A823" s="4">
        <v>44409</v>
      </c>
      <c r="B823" t="s">
        <v>19</v>
      </c>
      <c r="C823" t="s">
        <v>15</v>
      </c>
      <c r="D823">
        <v>1</v>
      </c>
      <c r="E823" s="2">
        <v>2650</v>
      </c>
      <c r="F823" s="2">
        <f t="shared" si="132"/>
        <v>2476.19</v>
      </c>
      <c r="G823" s="3">
        <v>1</v>
      </c>
      <c r="H823">
        <v>2370</v>
      </c>
      <c r="I823">
        <v>2822.2</v>
      </c>
      <c r="J823">
        <v>17196</v>
      </c>
      <c r="K823">
        <v>14940</v>
      </c>
      <c r="L823" s="2">
        <v>26.287500000000001</v>
      </c>
      <c r="M823" s="5">
        <v>132.23650000000004</v>
      </c>
      <c r="N823" s="1">
        <v>200.4965</v>
      </c>
      <c r="O823" s="2">
        <v>6</v>
      </c>
      <c r="P823">
        <v>111</v>
      </c>
    </row>
    <row r="824" spans="1:16" x14ac:dyDescent="0.35">
      <c r="A824" s="4">
        <v>44409</v>
      </c>
      <c r="B824" t="s">
        <v>20</v>
      </c>
      <c r="C824" t="s">
        <v>10</v>
      </c>
      <c r="D824">
        <v>1</v>
      </c>
      <c r="E824" s="2">
        <f>(2050+2066+2083)/3</f>
        <v>2066.3333333333335</v>
      </c>
      <c r="F824" s="2">
        <f t="shared" ref="F824:F829" si="133">(2163.6+2173.2+2209.67)/3</f>
        <v>2182.1566666666663</v>
      </c>
      <c r="G824" s="3">
        <v>1</v>
      </c>
      <c r="H824">
        <v>2370</v>
      </c>
      <c r="I824">
        <v>2822.2</v>
      </c>
      <c r="J824">
        <v>17196</v>
      </c>
      <c r="K824">
        <v>14940</v>
      </c>
      <c r="L824" s="2">
        <v>26.287500000000001</v>
      </c>
      <c r="M824" s="5">
        <v>132.23650000000004</v>
      </c>
      <c r="N824" s="1">
        <v>200.4965</v>
      </c>
      <c r="O824" s="2">
        <v>6</v>
      </c>
      <c r="P824">
        <v>111</v>
      </c>
    </row>
    <row r="825" spans="1:16" x14ac:dyDescent="0.35">
      <c r="A825" s="4">
        <v>44409</v>
      </c>
      <c r="B825" t="s">
        <v>20</v>
      </c>
      <c r="C825" t="s">
        <v>11</v>
      </c>
      <c r="D825">
        <v>1</v>
      </c>
      <c r="E825" s="2">
        <v>2300</v>
      </c>
      <c r="F825" s="2">
        <f t="shared" si="133"/>
        <v>2182.1566666666663</v>
      </c>
      <c r="G825" s="3">
        <v>1</v>
      </c>
      <c r="H825">
        <v>2370</v>
      </c>
      <c r="I825">
        <v>2822.2</v>
      </c>
      <c r="J825">
        <v>17196</v>
      </c>
      <c r="K825">
        <v>14940</v>
      </c>
      <c r="L825" s="2">
        <v>26.287500000000001</v>
      </c>
      <c r="M825" s="5">
        <v>132.23650000000004</v>
      </c>
      <c r="N825" s="1">
        <v>200.4965</v>
      </c>
      <c r="O825" s="2">
        <v>6</v>
      </c>
      <c r="P825">
        <v>111</v>
      </c>
    </row>
    <row r="826" spans="1:16" x14ac:dyDescent="0.35">
      <c r="A826" s="4">
        <v>44409</v>
      </c>
      <c r="B826" t="s">
        <v>20</v>
      </c>
      <c r="C826" t="s">
        <v>12</v>
      </c>
      <c r="D826">
        <v>1</v>
      </c>
      <c r="E826" s="2">
        <v>1930</v>
      </c>
      <c r="F826" s="2">
        <f t="shared" si="133"/>
        <v>2182.1566666666663</v>
      </c>
      <c r="G826" s="3">
        <v>1</v>
      </c>
      <c r="H826">
        <v>2370</v>
      </c>
      <c r="I826">
        <v>2822.2</v>
      </c>
      <c r="J826">
        <v>17196</v>
      </c>
      <c r="K826">
        <v>14940</v>
      </c>
      <c r="L826" s="2">
        <v>26.287500000000001</v>
      </c>
      <c r="M826" s="5">
        <v>132.23650000000004</v>
      </c>
      <c r="N826" s="1">
        <v>200.4965</v>
      </c>
      <c r="O826" s="2">
        <v>6</v>
      </c>
      <c r="P826">
        <v>111</v>
      </c>
    </row>
    <row r="827" spans="1:16" x14ac:dyDescent="0.35">
      <c r="A827" s="4">
        <v>44409</v>
      </c>
      <c r="B827" t="s">
        <v>20</v>
      </c>
      <c r="C827" t="s">
        <v>13</v>
      </c>
      <c r="D827">
        <v>1</v>
      </c>
      <c r="E827" s="2">
        <f>(2375+2290+2250)/3</f>
        <v>2305</v>
      </c>
      <c r="F827" s="2">
        <f t="shared" si="133"/>
        <v>2182.1566666666663</v>
      </c>
      <c r="G827" s="3">
        <v>1</v>
      </c>
      <c r="H827">
        <v>2370</v>
      </c>
      <c r="I827">
        <v>2822.2</v>
      </c>
      <c r="J827">
        <v>17196</v>
      </c>
      <c r="K827">
        <v>14940</v>
      </c>
      <c r="L827" s="2">
        <v>26.287500000000001</v>
      </c>
      <c r="M827" s="5">
        <v>132.23650000000004</v>
      </c>
      <c r="N827" s="1">
        <v>200.4965</v>
      </c>
      <c r="O827" s="2">
        <v>6</v>
      </c>
      <c r="P827">
        <v>111</v>
      </c>
    </row>
    <row r="828" spans="1:16" x14ac:dyDescent="0.35">
      <c r="A828" s="4">
        <v>44409</v>
      </c>
      <c r="B828" t="s">
        <v>20</v>
      </c>
      <c r="C828" t="s">
        <v>14</v>
      </c>
      <c r="D828">
        <v>1</v>
      </c>
      <c r="E828" s="2">
        <f>(2288+2340+2320)/3</f>
        <v>2316</v>
      </c>
      <c r="F828" s="2">
        <f t="shared" si="133"/>
        <v>2182.1566666666663</v>
      </c>
      <c r="G828" s="3">
        <v>1</v>
      </c>
      <c r="H828">
        <v>2370</v>
      </c>
      <c r="I828">
        <v>2822.2</v>
      </c>
      <c r="J828">
        <v>17196</v>
      </c>
      <c r="K828">
        <v>14940</v>
      </c>
      <c r="L828" s="2">
        <v>26.287500000000001</v>
      </c>
      <c r="M828" s="5">
        <v>132.23650000000004</v>
      </c>
      <c r="N828" s="1">
        <v>200.4965</v>
      </c>
      <c r="O828" s="2">
        <v>6</v>
      </c>
      <c r="P828">
        <v>111</v>
      </c>
    </row>
    <row r="829" spans="1:16" x14ac:dyDescent="0.35">
      <c r="A829" s="4">
        <v>44409</v>
      </c>
      <c r="B829" t="s">
        <v>20</v>
      </c>
      <c r="C829" t="s">
        <v>15</v>
      </c>
      <c r="D829">
        <v>1</v>
      </c>
      <c r="E829" s="2">
        <v>2250</v>
      </c>
      <c r="F829" s="2">
        <f t="shared" si="133"/>
        <v>2182.1566666666663</v>
      </c>
      <c r="G829" s="3">
        <v>1</v>
      </c>
      <c r="H829">
        <v>2370</v>
      </c>
      <c r="I829">
        <v>2822.2</v>
      </c>
      <c r="J829">
        <v>17196</v>
      </c>
      <c r="K829">
        <v>14940</v>
      </c>
      <c r="L829" s="2">
        <v>26.287500000000001</v>
      </c>
      <c r="M829" s="5">
        <v>132.23650000000004</v>
      </c>
      <c r="N829" s="1">
        <v>200.4965</v>
      </c>
      <c r="O829" s="2">
        <v>6</v>
      </c>
      <c r="P829">
        <v>111</v>
      </c>
    </row>
    <row r="830" spans="1:16" x14ac:dyDescent="0.35">
      <c r="A830" s="4">
        <v>44409</v>
      </c>
      <c r="B830" t="s">
        <v>21</v>
      </c>
      <c r="C830" t="s">
        <v>10</v>
      </c>
      <c r="D830">
        <v>1</v>
      </c>
      <c r="E830" s="2">
        <f>(1800*3+50)/3</f>
        <v>1816.6666666666667</v>
      </c>
      <c r="F830" s="2">
        <f t="shared" ref="F830:F835" si="134">(2078+2065+2048.4)/3</f>
        <v>2063.7999999999997</v>
      </c>
      <c r="G830" s="3">
        <v>1</v>
      </c>
      <c r="H830">
        <v>2370</v>
      </c>
      <c r="I830">
        <v>2822.2</v>
      </c>
      <c r="J830">
        <v>17196</v>
      </c>
      <c r="K830">
        <v>14940</v>
      </c>
      <c r="L830" s="2">
        <v>26.287500000000001</v>
      </c>
      <c r="M830" s="5">
        <v>132.23650000000004</v>
      </c>
      <c r="N830" s="1">
        <v>200.4965</v>
      </c>
      <c r="O830" s="2">
        <v>6</v>
      </c>
      <c r="P830">
        <v>111</v>
      </c>
    </row>
    <row r="831" spans="1:16" x14ac:dyDescent="0.35">
      <c r="A831" s="4">
        <v>44409</v>
      </c>
      <c r="B831" t="s">
        <v>21</v>
      </c>
      <c r="C831" t="s">
        <v>11</v>
      </c>
      <c r="D831">
        <v>1</v>
      </c>
      <c r="E831" s="2">
        <v>2100</v>
      </c>
      <c r="F831" s="2">
        <f t="shared" si="134"/>
        <v>2063.7999999999997</v>
      </c>
      <c r="G831" s="3">
        <v>1</v>
      </c>
      <c r="H831">
        <v>2370</v>
      </c>
      <c r="I831">
        <v>2822.2</v>
      </c>
      <c r="J831">
        <v>17196</v>
      </c>
      <c r="K831">
        <v>14940</v>
      </c>
      <c r="L831" s="2">
        <v>26.287500000000001</v>
      </c>
      <c r="M831" s="5">
        <v>132.23650000000004</v>
      </c>
      <c r="N831" s="1">
        <v>200.4965</v>
      </c>
      <c r="O831" s="2">
        <v>6</v>
      </c>
      <c r="P831">
        <v>111</v>
      </c>
    </row>
    <row r="832" spans="1:16" x14ac:dyDescent="0.35">
      <c r="A832" s="4">
        <v>44409</v>
      </c>
      <c r="B832" t="s">
        <v>21</v>
      </c>
      <c r="C832" t="s">
        <v>12</v>
      </c>
      <c r="D832">
        <v>1</v>
      </c>
      <c r="E832" s="2">
        <v>1800</v>
      </c>
      <c r="F832" s="2">
        <f t="shared" si="134"/>
        <v>2063.7999999999997</v>
      </c>
      <c r="G832" s="3">
        <v>1</v>
      </c>
      <c r="H832">
        <v>2370</v>
      </c>
      <c r="I832">
        <v>2822.2</v>
      </c>
      <c r="J832">
        <v>17196</v>
      </c>
      <c r="K832">
        <v>14940</v>
      </c>
      <c r="L832" s="2">
        <v>26.287500000000001</v>
      </c>
      <c r="M832" s="5">
        <v>132.23650000000004</v>
      </c>
      <c r="N832" s="1">
        <v>200.4965</v>
      </c>
      <c r="O832" s="2">
        <v>6</v>
      </c>
      <c r="P832">
        <v>111</v>
      </c>
    </row>
    <row r="833" spans="1:16" x14ac:dyDescent="0.35">
      <c r="A833" s="4">
        <v>44409</v>
      </c>
      <c r="B833" t="s">
        <v>21</v>
      </c>
      <c r="C833" t="s">
        <v>13</v>
      </c>
      <c r="D833">
        <v>1</v>
      </c>
      <c r="E833" s="2">
        <v>2250</v>
      </c>
      <c r="F833" s="2">
        <f t="shared" si="134"/>
        <v>2063.7999999999997</v>
      </c>
      <c r="G833" s="3">
        <v>1</v>
      </c>
      <c r="H833">
        <v>2370</v>
      </c>
      <c r="I833">
        <v>2822.2</v>
      </c>
      <c r="J833">
        <v>17196</v>
      </c>
      <c r="K833">
        <v>14940</v>
      </c>
      <c r="L833" s="2">
        <v>26.287500000000001</v>
      </c>
      <c r="M833" s="5">
        <v>132.23650000000004</v>
      </c>
      <c r="N833" s="1">
        <v>200.4965</v>
      </c>
      <c r="O833" s="2">
        <v>6</v>
      </c>
      <c r="P833">
        <v>111</v>
      </c>
    </row>
    <row r="834" spans="1:16" x14ac:dyDescent="0.35">
      <c r="A834" s="4">
        <v>44409</v>
      </c>
      <c r="B834" t="s">
        <v>21</v>
      </c>
      <c r="C834" t="s">
        <v>14</v>
      </c>
      <c r="D834">
        <v>1</v>
      </c>
      <c r="E834" s="2">
        <f>(2243+2250+2192)/3</f>
        <v>2228.3333333333335</v>
      </c>
      <c r="F834" s="2">
        <f t="shared" si="134"/>
        <v>2063.7999999999997</v>
      </c>
      <c r="G834" s="3">
        <v>1</v>
      </c>
      <c r="H834">
        <v>2370</v>
      </c>
      <c r="I834">
        <v>2822.2</v>
      </c>
      <c r="J834">
        <v>17196</v>
      </c>
      <c r="K834">
        <v>14940</v>
      </c>
      <c r="L834" s="2">
        <v>26.287500000000001</v>
      </c>
      <c r="M834" s="5">
        <v>132.23650000000004</v>
      </c>
      <c r="N834" s="1">
        <v>200.4965</v>
      </c>
      <c r="O834" s="2">
        <v>6</v>
      </c>
      <c r="P834">
        <v>111</v>
      </c>
    </row>
    <row r="835" spans="1:16" x14ac:dyDescent="0.35">
      <c r="A835" s="4">
        <v>44409</v>
      </c>
      <c r="B835" t="s">
        <v>21</v>
      </c>
      <c r="C835" t="s">
        <v>15</v>
      </c>
      <c r="D835">
        <v>1</v>
      </c>
      <c r="E835" s="2">
        <v>2216.67</v>
      </c>
      <c r="F835" s="2">
        <f t="shared" si="134"/>
        <v>2063.7999999999997</v>
      </c>
      <c r="G835" s="3">
        <v>1</v>
      </c>
      <c r="H835">
        <v>2370</v>
      </c>
      <c r="I835">
        <v>2822.2</v>
      </c>
      <c r="J835">
        <v>17196</v>
      </c>
      <c r="K835">
        <v>14940</v>
      </c>
      <c r="L835" s="2">
        <v>26.287500000000001</v>
      </c>
      <c r="M835" s="5">
        <v>132.23650000000004</v>
      </c>
      <c r="N835" s="1">
        <v>200.4965</v>
      </c>
      <c r="O835" s="2">
        <v>6</v>
      </c>
      <c r="P835">
        <v>111</v>
      </c>
    </row>
    <row r="836" spans="1:16" x14ac:dyDescent="0.35">
      <c r="A836" s="4">
        <v>44409</v>
      </c>
      <c r="B836" t="s">
        <v>22</v>
      </c>
      <c r="C836" t="s">
        <v>10</v>
      </c>
      <c r="D836">
        <v>0</v>
      </c>
      <c r="E836" s="2" t="s">
        <v>27</v>
      </c>
      <c r="F836" s="2">
        <f t="shared" ref="F836:F841" si="135">(1817+1813+1900)/3</f>
        <v>1843.3333333333333</v>
      </c>
      <c r="G836" s="3">
        <v>1</v>
      </c>
      <c r="H836">
        <v>2370</v>
      </c>
      <c r="I836">
        <v>2822.2</v>
      </c>
      <c r="J836">
        <v>17196</v>
      </c>
      <c r="K836">
        <v>14940</v>
      </c>
      <c r="L836" s="2">
        <v>26.287500000000001</v>
      </c>
      <c r="M836" s="5">
        <v>132.23650000000004</v>
      </c>
      <c r="N836" s="1">
        <v>200.4965</v>
      </c>
      <c r="O836" s="2">
        <v>6</v>
      </c>
      <c r="P836">
        <v>111</v>
      </c>
    </row>
    <row r="837" spans="1:16" x14ac:dyDescent="0.35">
      <c r="A837" s="4">
        <v>44409</v>
      </c>
      <c r="B837" t="s">
        <v>22</v>
      </c>
      <c r="C837" t="s">
        <v>11</v>
      </c>
      <c r="D837">
        <v>0</v>
      </c>
      <c r="E837" s="2" t="s">
        <v>27</v>
      </c>
      <c r="F837" s="2">
        <f t="shared" si="135"/>
        <v>1843.3333333333333</v>
      </c>
      <c r="G837" s="3">
        <v>1</v>
      </c>
      <c r="H837">
        <v>2370</v>
      </c>
      <c r="I837">
        <v>2822.2</v>
      </c>
      <c r="J837">
        <v>17196</v>
      </c>
      <c r="K837">
        <v>14940</v>
      </c>
      <c r="L837" s="2">
        <v>26.287500000000001</v>
      </c>
      <c r="M837" s="5">
        <v>132.23650000000004</v>
      </c>
      <c r="N837" s="1">
        <v>200.4965</v>
      </c>
      <c r="O837" s="2">
        <v>6</v>
      </c>
      <c r="P837">
        <v>111</v>
      </c>
    </row>
    <row r="838" spans="1:16" x14ac:dyDescent="0.35">
      <c r="A838" s="4">
        <v>44409</v>
      </c>
      <c r="B838" t="s">
        <v>22</v>
      </c>
      <c r="C838" t="s">
        <v>12</v>
      </c>
      <c r="D838">
        <v>0</v>
      </c>
      <c r="E838" s="2" t="s">
        <v>27</v>
      </c>
      <c r="F838" s="2">
        <f t="shared" si="135"/>
        <v>1843.3333333333333</v>
      </c>
      <c r="G838" s="3">
        <v>1</v>
      </c>
      <c r="H838">
        <v>2370</v>
      </c>
      <c r="I838">
        <v>2822.2</v>
      </c>
      <c r="J838">
        <v>17196</v>
      </c>
      <c r="K838">
        <v>14940</v>
      </c>
      <c r="L838" s="2">
        <v>26.287500000000001</v>
      </c>
      <c r="M838" s="5">
        <v>132.23650000000004</v>
      </c>
      <c r="N838" s="1">
        <v>200.4965</v>
      </c>
      <c r="O838" s="2">
        <v>6</v>
      </c>
      <c r="P838">
        <v>111</v>
      </c>
    </row>
    <row r="839" spans="1:16" x14ac:dyDescent="0.35">
      <c r="A839" s="4">
        <v>44409</v>
      </c>
      <c r="B839" t="s">
        <v>22</v>
      </c>
      <c r="C839" t="s">
        <v>13</v>
      </c>
      <c r="D839">
        <v>0</v>
      </c>
      <c r="E839" s="2" t="s">
        <v>27</v>
      </c>
      <c r="F839" s="2">
        <f t="shared" si="135"/>
        <v>1843.3333333333333</v>
      </c>
      <c r="G839" s="3">
        <v>1</v>
      </c>
      <c r="H839">
        <v>2370</v>
      </c>
      <c r="I839">
        <v>2822.2</v>
      </c>
      <c r="J839">
        <v>17196</v>
      </c>
      <c r="K839">
        <v>14940</v>
      </c>
      <c r="L839" s="2">
        <v>26.287500000000001</v>
      </c>
      <c r="M839" s="5">
        <v>132.23650000000004</v>
      </c>
      <c r="N839" s="1">
        <v>200.4965</v>
      </c>
      <c r="O839" s="2">
        <v>6</v>
      </c>
      <c r="P839">
        <v>111</v>
      </c>
    </row>
    <row r="840" spans="1:16" x14ac:dyDescent="0.35">
      <c r="A840" s="4">
        <v>44409</v>
      </c>
      <c r="B840" t="s">
        <v>22</v>
      </c>
      <c r="C840" t="s">
        <v>14</v>
      </c>
      <c r="D840">
        <v>1</v>
      </c>
      <c r="E840" s="2">
        <f>(1817+1813+1900)/3</f>
        <v>1843.3333333333333</v>
      </c>
      <c r="F840" s="2">
        <f t="shared" si="135"/>
        <v>1843.3333333333333</v>
      </c>
      <c r="G840" s="3">
        <v>1</v>
      </c>
      <c r="H840">
        <v>2370</v>
      </c>
      <c r="I840">
        <v>2822.2</v>
      </c>
      <c r="J840">
        <v>17196</v>
      </c>
      <c r="K840">
        <v>14940</v>
      </c>
      <c r="L840" s="2">
        <v>26.287500000000001</v>
      </c>
      <c r="M840" s="5">
        <v>132.23650000000004</v>
      </c>
      <c r="N840" s="1">
        <v>200.4965</v>
      </c>
      <c r="O840" s="2">
        <v>6</v>
      </c>
      <c r="P840">
        <v>111</v>
      </c>
    </row>
    <row r="841" spans="1:16" x14ac:dyDescent="0.35">
      <c r="A841" s="4">
        <v>44409</v>
      </c>
      <c r="B841" t="s">
        <v>22</v>
      </c>
      <c r="C841" t="s">
        <v>15</v>
      </c>
      <c r="D841">
        <v>0</v>
      </c>
      <c r="E841" s="2" t="s">
        <v>27</v>
      </c>
      <c r="F841" s="2">
        <f t="shared" si="135"/>
        <v>1843.3333333333333</v>
      </c>
      <c r="G841" s="3">
        <v>1</v>
      </c>
      <c r="H841">
        <v>2370</v>
      </c>
      <c r="I841">
        <v>2822.2</v>
      </c>
      <c r="J841">
        <v>17196</v>
      </c>
      <c r="K841">
        <v>14940</v>
      </c>
      <c r="L841" s="2">
        <v>26.287500000000001</v>
      </c>
      <c r="M841" s="5">
        <v>132.23650000000004</v>
      </c>
      <c r="N841" s="1">
        <v>200.4965</v>
      </c>
      <c r="O841" s="2">
        <v>6</v>
      </c>
      <c r="P841">
        <v>111</v>
      </c>
    </row>
    <row r="842" spans="1:16" x14ac:dyDescent="0.35">
      <c r="A842" s="4">
        <v>44440</v>
      </c>
      <c r="B842" t="s">
        <v>16</v>
      </c>
      <c r="C842" t="s">
        <v>10</v>
      </c>
      <c r="D842">
        <v>1</v>
      </c>
      <c r="E842" s="2" t="s">
        <v>27</v>
      </c>
      <c r="F842" s="2" t="s">
        <v>27</v>
      </c>
      <c r="G842" s="3">
        <v>1</v>
      </c>
      <c r="H842">
        <v>1185</v>
      </c>
      <c r="I842">
        <v>2822.2</v>
      </c>
      <c r="J842">
        <v>21708</v>
      </c>
      <c r="K842">
        <v>19920</v>
      </c>
      <c r="L842" s="2">
        <v>26.593750000000004</v>
      </c>
      <c r="M842" s="5">
        <v>170.17950000000002</v>
      </c>
      <c r="N842" s="1">
        <v>201.98580000000001</v>
      </c>
      <c r="O842" s="2">
        <v>5.7</v>
      </c>
      <c r="P842">
        <v>111</v>
      </c>
    </row>
    <row r="843" spans="1:16" x14ac:dyDescent="0.35">
      <c r="A843" s="4">
        <v>44440</v>
      </c>
      <c r="B843" t="s">
        <v>16</v>
      </c>
      <c r="C843" t="s">
        <v>11</v>
      </c>
      <c r="D843">
        <v>0</v>
      </c>
      <c r="E843" s="2" t="s">
        <v>27</v>
      </c>
      <c r="F843" s="2" t="s">
        <v>27</v>
      </c>
      <c r="G843" s="3">
        <v>1</v>
      </c>
      <c r="H843">
        <v>1185</v>
      </c>
      <c r="I843">
        <v>2822.2</v>
      </c>
      <c r="J843">
        <v>21708</v>
      </c>
      <c r="K843">
        <v>19920</v>
      </c>
      <c r="L843" s="2">
        <v>26.593750000000004</v>
      </c>
      <c r="M843" s="5">
        <v>170.17950000000002</v>
      </c>
      <c r="N843" s="1">
        <v>201.98580000000001</v>
      </c>
      <c r="O843" s="2">
        <v>5.7</v>
      </c>
      <c r="P843">
        <v>111</v>
      </c>
    </row>
    <row r="844" spans="1:16" x14ac:dyDescent="0.35">
      <c r="A844" s="4">
        <v>44440</v>
      </c>
      <c r="B844" t="s">
        <v>16</v>
      </c>
      <c r="C844" t="s">
        <v>12</v>
      </c>
      <c r="D844">
        <v>1</v>
      </c>
      <c r="E844" s="2" t="s">
        <v>27</v>
      </c>
      <c r="F844" s="2" t="s">
        <v>27</v>
      </c>
      <c r="G844" s="3">
        <v>1</v>
      </c>
      <c r="H844">
        <v>1185</v>
      </c>
      <c r="I844">
        <v>2822.2</v>
      </c>
      <c r="J844">
        <v>21708</v>
      </c>
      <c r="K844">
        <v>19920</v>
      </c>
      <c r="L844" s="2">
        <v>26.593750000000004</v>
      </c>
      <c r="M844" s="5">
        <v>170.17950000000002</v>
      </c>
      <c r="N844" s="1">
        <v>201.98580000000001</v>
      </c>
      <c r="O844" s="2">
        <v>5.7</v>
      </c>
      <c r="P844">
        <v>111</v>
      </c>
    </row>
    <row r="845" spans="1:16" x14ac:dyDescent="0.35">
      <c r="A845" s="4">
        <v>44440</v>
      </c>
      <c r="B845" t="s">
        <v>16</v>
      </c>
      <c r="C845" t="s">
        <v>13</v>
      </c>
      <c r="D845">
        <v>1</v>
      </c>
      <c r="E845" s="2" t="s">
        <v>27</v>
      </c>
      <c r="F845" s="2" t="s">
        <v>27</v>
      </c>
      <c r="G845" s="3">
        <v>1</v>
      </c>
      <c r="H845">
        <v>1185</v>
      </c>
      <c r="I845">
        <v>2822.2</v>
      </c>
      <c r="J845">
        <v>21708</v>
      </c>
      <c r="K845">
        <v>19920</v>
      </c>
      <c r="L845" s="2">
        <v>26.593750000000004</v>
      </c>
      <c r="M845" s="5">
        <v>170.17950000000002</v>
      </c>
      <c r="N845" s="1">
        <v>201.98580000000001</v>
      </c>
      <c r="O845" s="2">
        <v>5.7</v>
      </c>
      <c r="P845">
        <v>111</v>
      </c>
    </row>
    <row r="846" spans="1:16" x14ac:dyDescent="0.35">
      <c r="A846" s="4">
        <v>44440</v>
      </c>
      <c r="B846" t="s">
        <v>16</v>
      </c>
      <c r="C846" t="s">
        <v>14</v>
      </c>
      <c r="D846">
        <v>1</v>
      </c>
      <c r="E846" s="2" t="s">
        <v>27</v>
      </c>
      <c r="F846" s="2" t="s">
        <v>27</v>
      </c>
      <c r="G846" s="3">
        <v>1</v>
      </c>
      <c r="H846">
        <v>1185</v>
      </c>
      <c r="I846">
        <v>2822.2</v>
      </c>
      <c r="J846">
        <v>21708</v>
      </c>
      <c r="K846">
        <v>19920</v>
      </c>
      <c r="L846" s="2">
        <v>26.593750000000004</v>
      </c>
      <c r="M846" s="5">
        <v>170.17950000000002</v>
      </c>
      <c r="N846" s="1">
        <v>201.98580000000001</v>
      </c>
      <c r="O846" s="2">
        <v>5.7</v>
      </c>
      <c r="P846">
        <v>111</v>
      </c>
    </row>
    <row r="847" spans="1:16" x14ac:dyDescent="0.35">
      <c r="A847" s="4">
        <v>44440</v>
      </c>
      <c r="B847" t="s">
        <v>16</v>
      </c>
      <c r="C847" t="s">
        <v>15</v>
      </c>
      <c r="D847">
        <v>0</v>
      </c>
      <c r="E847" s="2" t="s">
        <v>27</v>
      </c>
      <c r="F847" s="2" t="s">
        <v>27</v>
      </c>
      <c r="G847" s="3">
        <v>1</v>
      </c>
      <c r="H847">
        <v>1185</v>
      </c>
      <c r="I847">
        <v>2822.2</v>
      </c>
      <c r="J847">
        <v>21708</v>
      </c>
      <c r="K847">
        <v>19920</v>
      </c>
      <c r="L847" s="2">
        <v>26.593750000000004</v>
      </c>
      <c r="M847" s="5">
        <v>170.17950000000002</v>
      </c>
      <c r="N847" s="1">
        <v>201.98580000000001</v>
      </c>
      <c r="O847" s="2">
        <v>5.7</v>
      </c>
      <c r="P847">
        <v>111</v>
      </c>
    </row>
    <row r="848" spans="1:16" x14ac:dyDescent="0.35">
      <c r="A848" s="4">
        <v>44440</v>
      </c>
      <c r="B848" t="s">
        <v>17</v>
      </c>
      <c r="C848" t="s">
        <v>10</v>
      </c>
      <c r="D848">
        <v>1</v>
      </c>
      <c r="E848" s="2" t="s">
        <v>27</v>
      </c>
      <c r="F848" s="2" t="s">
        <v>27</v>
      </c>
      <c r="G848" s="3">
        <v>1</v>
      </c>
      <c r="H848">
        <v>1185</v>
      </c>
      <c r="I848">
        <v>2822.2</v>
      </c>
      <c r="J848">
        <v>21708</v>
      </c>
      <c r="K848">
        <v>19920</v>
      </c>
      <c r="L848" s="2">
        <v>26.593750000000004</v>
      </c>
      <c r="M848" s="5">
        <v>170.17950000000002</v>
      </c>
      <c r="N848" s="1">
        <v>201.98580000000001</v>
      </c>
      <c r="O848" s="2">
        <v>5.7</v>
      </c>
      <c r="P848">
        <v>111</v>
      </c>
    </row>
    <row r="849" spans="1:16" x14ac:dyDescent="0.35">
      <c r="A849" s="4">
        <v>44440</v>
      </c>
      <c r="B849" t="s">
        <v>17</v>
      </c>
      <c r="C849" t="s">
        <v>11</v>
      </c>
      <c r="D849">
        <v>1</v>
      </c>
      <c r="E849" s="2" t="s">
        <v>27</v>
      </c>
      <c r="F849" s="2" t="s">
        <v>27</v>
      </c>
      <c r="G849" s="3">
        <v>1</v>
      </c>
      <c r="H849">
        <v>1185</v>
      </c>
      <c r="I849">
        <v>2822.2</v>
      </c>
      <c r="J849">
        <v>21708</v>
      </c>
      <c r="K849">
        <v>19920</v>
      </c>
      <c r="L849" s="2">
        <v>26.593750000000004</v>
      </c>
      <c r="M849" s="5">
        <v>170.17950000000002</v>
      </c>
      <c r="N849" s="1">
        <v>201.98580000000001</v>
      </c>
      <c r="O849" s="2">
        <v>5.7</v>
      </c>
      <c r="P849">
        <v>111</v>
      </c>
    </row>
    <row r="850" spans="1:16" x14ac:dyDescent="0.35">
      <c r="A850" s="4">
        <v>44440</v>
      </c>
      <c r="B850" t="s">
        <v>17</v>
      </c>
      <c r="C850" t="s">
        <v>12</v>
      </c>
      <c r="D850">
        <v>1</v>
      </c>
      <c r="E850" s="2" t="s">
        <v>27</v>
      </c>
      <c r="F850" s="2" t="s">
        <v>27</v>
      </c>
      <c r="G850" s="3">
        <v>1</v>
      </c>
      <c r="H850">
        <v>1185</v>
      </c>
      <c r="I850">
        <v>2822.2</v>
      </c>
      <c r="J850">
        <v>21708</v>
      </c>
      <c r="K850">
        <v>19920</v>
      </c>
      <c r="L850" s="2">
        <v>26.593750000000004</v>
      </c>
      <c r="M850" s="5">
        <v>170.17950000000002</v>
      </c>
      <c r="N850" s="1">
        <v>201.98580000000001</v>
      </c>
      <c r="O850" s="2">
        <v>5.7</v>
      </c>
      <c r="P850">
        <v>111</v>
      </c>
    </row>
    <row r="851" spans="1:16" x14ac:dyDescent="0.35">
      <c r="A851" s="4">
        <v>44440</v>
      </c>
      <c r="B851" t="s">
        <v>17</v>
      </c>
      <c r="C851" t="s">
        <v>13</v>
      </c>
      <c r="D851">
        <v>1</v>
      </c>
      <c r="E851" s="2" t="s">
        <v>27</v>
      </c>
      <c r="F851" s="2" t="s">
        <v>27</v>
      </c>
      <c r="G851" s="3">
        <v>1</v>
      </c>
      <c r="H851">
        <v>1185</v>
      </c>
      <c r="I851">
        <v>2822.2</v>
      </c>
      <c r="J851">
        <v>21708</v>
      </c>
      <c r="K851">
        <v>19920</v>
      </c>
      <c r="L851" s="2">
        <v>26.593750000000004</v>
      </c>
      <c r="M851" s="5">
        <v>170.17950000000002</v>
      </c>
      <c r="N851" s="1">
        <v>201.98580000000001</v>
      </c>
      <c r="O851" s="2">
        <v>5.7</v>
      </c>
      <c r="P851">
        <v>111</v>
      </c>
    </row>
    <row r="852" spans="1:16" x14ac:dyDescent="0.35">
      <c r="A852" s="4">
        <v>44440</v>
      </c>
      <c r="B852" t="s">
        <v>17</v>
      </c>
      <c r="C852" t="s">
        <v>14</v>
      </c>
      <c r="D852">
        <v>1</v>
      </c>
      <c r="E852" s="2" t="s">
        <v>27</v>
      </c>
      <c r="F852" s="2" t="s">
        <v>27</v>
      </c>
      <c r="G852" s="3">
        <v>1</v>
      </c>
      <c r="H852">
        <v>1185</v>
      </c>
      <c r="I852">
        <v>2822.2</v>
      </c>
      <c r="J852">
        <v>21708</v>
      </c>
      <c r="K852">
        <v>19920</v>
      </c>
      <c r="L852" s="2">
        <v>26.593750000000004</v>
      </c>
      <c r="M852" s="5">
        <v>170.17950000000002</v>
      </c>
      <c r="N852" s="1">
        <v>201.98580000000001</v>
      </c>
      <c r="O852" s="2">
        <v>5.7</v>
      </c>
      <c r="P852">
        <v>111</v>
      </c>
    </row>
    <row r="853" spans="1:16" x14ac:dyDescent="0.35">
      <c r="A853" s="4">
        <v>44440</v>
      </c>
      <c r="B853" t="s">
        <v>17</v>
      </c>
      <c r="C853" t="s">
        <v>15</v>
      </c>
      <c r="D853">
        <v>0</v>
      </c>
      <c r="E853" s="2" t="s">
        <v>27</v>
      </c>
      <c r="F853" s="2" t="s">
        <v>27</v>
      </c>
      <c r="G853" s="3">
        <v>1</v>
      </c>
      <c r="H853">
        <v>1185</v>
      </c>
      <c r="I853">
        <v>2822.2</v>
      </c>
      <c r="J853">
        <v>21708</v>
      </c>
      <c r="K853">
        <v>19920</v>
      </c>
      <c r="L853" s="2">
        <v>26.593750000000004</v>
      </c>
      <c r="M853" s="5">
        <v>170.17950000000002</v>
      </c>
      <c r="N853" s="1">
        <v>201.98580000000001</v>
      </c>
      <c r="O853" s="2">
        <v>5.7</v>
      </c>
      <c r="P853">
        <v>111</v>
      </c>
    </row>
    <row r="854" spans="1:16" x14ac:dyDescent="0.35">
      <c r="A854" s="4">
        <v>44440</v>
      </c>
      <c r="B854" t="s">
        <v>18</v>
      </c>
      <c r="C854" t="s">
        <v>10</v>
      </c>
      <c r="D854">
        <v>1</v>
      </c>
      <c r="E854" s="2" t="s">
        <v>27</v>
      </c>
      <c r="F854" s="2" t="s">
        <v>27</v>
      </c>
      <c r="G854" s="3">
        <v>1</v>
      </c>
      <c r="H854">
        <v>1185</v>
      </c>
      <c r="I854">
        <v>2822.2</v>
      </c>
      <c r="J854">
        <v>21708</v>
      </c>
      <c r="K854">
        <v>19920</v>
      </c>
      <c r="L854" s="2">
        <v>26.593750000000004</v>
      </c>
      <c r="M854" s="5">
        <v>170.17950000000002</v>
      </c>
      <c r="N854" s="1">
        <v>201.98580000000001</v>
      </c>
      <c r="O854" s="2">
        <v>5.7</v>
      </c>
      <c r="P854">
        <v>111</v>
      </c>
    </row>
    <row r="855" spans="1:16" x14ac:dyDescent="0.35">
      <c r="A855" s="4">
        <v>44440</v>
      </c>
      <c r="B855" t="s">
        <v>18</v>
      </c>
      <c r="C855" t="s">
        <v>11</v>
      </c>
      <c r="D855">
        <v>1</v>
      </c>
      <c r="E855" s="2" t="s">
        <v>27</v>
      </c>
      <c r="F855" s="2" t="s">
        <v>27</v>
      </c>
      <c r="G855" s="3">
        <v>1</v>
      </c>
      <c r="H855">
        <v>1185</v>
      </c>
      <c r="I855">
        <v>2822.2</v>
      </c>
      <c r="J855">
        <v>21708</v>
      </c>
      <c r="K855">
        <v>19920</v>
      </c>
      <c r="L855" s="2">
        <v>26.593750000000004</v>
      </c>
      <c r="M855" s="5">
        <v>170.17950000000002</v>
      </c>
      <c r="N855" s="1">
        <v>201.98580000000001</v>
      </c>
      <c r="O855" s="2">
        <v>5.7</v>
      </c>
      <c r="P855">
        <v>111</v>
      </c>
    </row>
    <row r="856" spans="1:16" x14ac:dyDescent="0.35">
      <c r="A856" s="4">
        <v>44440</v>
      </c>
      <c r="B856" t="s">
        <v>18</v>
      </c>
      <c r="C856" t="s">
        <v>12</v>
      </c>
      <c r="D856">
        <v>1</v>
      </c>
      <c r="E856" s="2" t="s">
        <v>27</v>
      </c>
      <c r="F856" s="2" t="s">
        <v>27</v>
      </c>
      <c r="G856" s="3">
        <v>1</v>
      </c>
      <c r="H856">
        <v>1185</v>
      </c>
      <c r="I856">
        <v>2822.2</v>
      </c>
      <c r="J856">
        <v>21708</v>
      </c>
      <c r="K856">
        <v>19920</v>
      </c>
      <c r="L856" s="2">
        <v>26.593750000000004</v>
      </c>
      <c r="M856" s="5">
        <v>170.17950000000002</v>
      </c>
      <c r="N856" s="1">
        <v>201.98580000000001</v>
      </c>
      <c r="O856" s="2">
        <v>5.7</v>
      </c>
      <c r="P856">
        <v>111</v>
      </c>
    </row>
    <row r="857" spans="1:16" x14ac:dyDescent="0.35">
      <c r="A857" s="4">
        <v>44440</v>
      </c>
      <c r="B857" t="s">
        <v>18</v>
      </c>
      <c r="C857" t="s">
        <v>13</v>
      </c>
      <c r="D857">
        <v>1</v>
      </c>
      <c r="E857" s="2" t="s">
        <v>27</v>
      </c>
      <c r="F857" s="2" t="s">
        <v>27</v>
      </c>
      <c r="G857" s="3">
        <v>1</v>
      </c>
      <c r="H857">
        <v>1185</v>
      </c>
      <c r="I857">
        <v>2822.2</v>
      </c>
      <c r="J857">
        <v>21708</v>
      </c>
      <c r="K857">
        <v>19920</v>
      </c>
      <c r="L857" s="2">
        <v>26.593750000000004</v>
      </c>
      <c r="M857" s="5">
        <v>170.17950000000002</v>
      </c>
      <c r="N857" s="1">
        <v>201.98580000000001</v>
      </c>
      <c r="O857" s="2">
        <v>5.7</v>
      </c>
      <c r="P857">
        <v>111</v>
      </c>
    </row>
    <row r="858" spans="1:16" x14ac:dyDescent="0.35">
      <c r="A858" s="4">
        <v>44440</v>
      </c>
      <c r="B858" t="s">
        <v>18</v>
      </c>
      <c r="C858" t="s">
        <v>14</v>
      </c>
      <c r="D858">
        <v>1</v>
      </c>
      <c r="E858" s="2" t="s">
        <v>27</v>
      </c>
      <c r="F858" s="2" t="s">
        <v>27</v>
      </c>
      <c r="G858" s="3">
        <v>1</v>
      </c>
      <c r="H858">
        <v>1185</v>
      </c>
      <c r="I858">
        <v>2822.2</v>
      </c>
      <c r="J858">
        <v>21708</v>
      </c>
      <c r="K858">
        <v>19920</v>
      </c>
      <c r="L858" s="2">
        <v>26.593750000000004</v>
      </c>
      <c r="M858" s="5">
        <v>170.17950000000002</v>
      </c>
      <c r="N858" s="1">
        <v>201.98580000000001</v>
      </c>
      <c r="O858" s="2">
        <v>5.7</v>
      </c>
      <c r="P858">
        <v>111</v>
      </c>
    </row>
    <row r="859" spans="1:16" x14ac:dyDescent="0.35">
      <c r="A859" s="4">
        <v>44440</v>
      </c>
      <c r="B859" t="s">
        <v>18</v>
      </c>
      <c r="C859" t="s">
        <v>15</v>
      </c>
      <c r="D859">
        <v>1</v>
      </c>
      <c r="E859" s="2" t="s">
        <v>27</v>
      </c>
      <c r="F859" s="2" t="s">
        <v>27</v>
      </c>
      <c r="G859" s="3">
        <v>1</v>
      </c>
      <c r="H859">
        <v>1185</v>
      </c>
      <c r="I859">
        <v>2822.2</v>
      </c>
      <c r="J859">
        <v>21708</v>
      </c>
      <c r="K859">
        <v>19920</v>
      </c>
      <c r="L859" s="2">
        <v>26.593750000000004</v>
      </c>
      <c r="M859" s="5">
        <v>170.17950000000002</v>
      </c>
      <c r="N859" s="1">
        <v>201.98580000000001</v>
      </c>
      <c r="O859" s="2">
        <v>5.7</v>
      </c>
      <c r="P859">
        <v>111</v>
      </c>
    </row>
    <row r="860" spans="1:16" x14ac:dyDescent="0.35">
      <c r="A860" s="4">
        <v>44440</v>
      </c>
      <c r="B860" t="s">
        <v>19</v>
      </c>
      <c r="C860" t="s">
        <v>10</v>
      </c>
      <c r="D860">
        <v>1</v>
      </c>
      <c r="E860" s="2" t="s">
        <v>27</v>
      </c>
      <c r="F860" s="2" t="s">
        <v>27</v>
      </c>
      <c r="G860" s="3">
        <v>1</v>
      </c>
      <c r="H860">
        <v>1185</v>
      </c>
      <c r="I860">
        <v>2822.2</v>
      </c>
      <c r="J860">
        <v>21708</v>
      </c>
      <c r="K860">
        <v>19920</v>
      </c>
      <c r="L860" s="2">
        <v>26.593750000000004</v>
      </c>
      <c r="M860" s="5">
        <v>170.17950000000002</v>
      </c>
      <c r="N860" s="1">
        <v>201.98580000000001</v>
      </c>
      <c r="O860" s="2">
        <v>5.7</v>
      </c>
      <c r="P860">
        <v>111</v>
      </c>
    </row>
    <row r="861" spans="1:16" x14ac:dyDescent="0.35">
      <c r="A861" s="4">
        <v>44440</v>
      </c>
      <c r="B861" t="s">
        <v>19</v>
      </c>
      <c r="C861" t="s">
        <v>11</v>
      </c>
      <c r="D861">
        <v>1</v>
      </c>
      <c r="E861" s="2" t="s">
        <v>27</v>
      </c>
      <c r="F861" s="2" t="s">
        <v>27</v>
      </c>
      <c r="G861" s="3">
        <v>1</v>
      </c>
      <c r="H861">
        <v>1185</v>
      </c>
      <c r="I861">
        <v>2822.2</v>
      </c>
      <c r="J861">
        <v>21708</v>
      </c>
      <c r="K861">
        <v>19920</v>
      </c>
      <c r="L861" s="2">
        <v>26.593750000000004</v>
      </c>
      <c r="M861" s="5">
        <v>170.17950000000002</v>
      </c>
      <c r="N861" s="1">
        <v>201.98580000000001</v>
      </c>
      <c r="O861" s="2">
        <v>5.7</v>
      </c>
      <c r="P861">
        <v>111</v>
      </c>
    </row>
    <row r="862" spans="1:16" x14ac:dyDescent="0.35">
      <c r="A862" s="4">
        <v>44440</v>
      </c>
      <c r="B862" t="s">
        <v>19</v>
      </c>
      <c r="C862" t="s">
        <v>12</v>
      </c>
      <c r="D862">
        <v>1</v>
      </c>
      <c r="E862" s="2" t="s">
        <v>27</v>
      </c>
      <c r="F862" s="2" t="s">
        <v>27</v>
      </c>
      <c r="G862" s="3">
        <v>1</v>
      </c>
      <c r="H862">
        <v>1185</v>
      </c>
      <c r="I862">
        <v>2822.2</v>
      </c>
      <c r="J862">
        <v>21708</v>
      </c>
      <c r="K862">
        <v>19920</v>
      </c>
      <c r="L862" s="2">
        <v>26.593750000000004</v>
      </c>
      <c r="M862" s="5">
        <v>170.17950000000002</v>
      </c>
      <c r="N862" s="1">
        <v>201.98580000000001</v>
      </c>
      <c r="O862" s="2">
        <v>5.7</v>
      </c>
      <c r="P862">
        <v>111</v>
      </c>
    </row>
    <row r="863" spans="1:16" x14ac:dyDescent="0.35">
      <c r="A863" s="4">
        <v>44440</v>
      </c>
      <c r="B863" t="s">
        <v>19</v>
      </c>
      <c r="C863" t="s">
        <v>13</v>
      </c>
      <c r="D863">
        <v>1</v>
      </c>
      <c r="E863" s="2" t="s">
        <v>27</v>
      </c>
      <c r="F863" s="2" t="s">
        <v>27</v>
      </c>
      <c r="G863" s="3">
        <v>1</v>
      </c>
      <c r="H863">
        <v>1185</v>
      </c>
      <c r="I863">
        <v>2822.2</v>
      </c>
      <c r="J863">
        <v>21708</v>
      </c>
      <c r="K863">
        <v>19920</v>
      </c>
      <c r="L863" s="2">
        <v>26.593750000000004</v>
      </c>
      <c r="M863" s="5">
        <v>170.17950000000002</v>
      </c>
      <c r="N863" s="1">
        <v>201.98580000000001</v>
      </c>
      <c r="O863" s="2">
        <v>5.7</v>
      </c>
      <c r="P863">
        <v>111</v>
      </c>
    </row>
    <row r="864" spans="1:16" x14ac:dyDescent="0.35">
      <c r="A864" s="4">
        <v>44440</v>
      </c>
      <c r="B864" t="s">
        <v>19</v>
      </c>
      <c r="C864" t="s">
        <v>14</v>
      </c>
      <c r="D864">
        <v>1</v>
      </c>
      <c r="E864" s="2" t="s">
        <v>27</v>
      </c>
      <c r="F864" s="2" t="s">
        <v>27</v>
      </c>
      <c r="G864" s="3">
        <v>1</v>
      </c>
      <c r="H864">
        <v>1185</v>
      </c>
      <c r="I864">
        <v>2822.2</v>
      </c>
      <c r="J864">
        <v>21708</v>
      </c>
      <c r="K864">
        <v>19920</v>
      </c>
      <c r="L864" s="2">
        <v>26.593750000000004</v>
      </c>
      <c r="M864" s="5">
        <v>170.17950000000002</v>
      </c>
      <c r="N864" s="1">
        <v>201.98580000000001</v>
      </c>
      <c r="O864" s="2">
        <v>5.7</v>
      </c>
      <c r="P864">
        <v>111</v>
      </c>
    </row>
    <row r="865" spans="1:16" x14ac:dyDescent="0.35">
      <c r="A865" s="4">
        <v>44440</v>
      </c>
      <c r="B865" t="s">
        <v>19</v>
      </c>
      <c r="C865" t="s">
        <v>15</v>
      </c>
      <c r="D865">
        <v>1</v>
      </c>
      <c r="E865" s="2" t="s">
        <v>27</v>
      </c>
      <c r="F865" s="2" t="s">
        <v>27</v>
      </c>
      <c r="G865" s="3">
        <v>1</v>
      </c>
      <c r="H865">
        <v>1185</v>
      </c>
      <c r="I865">
        <v>2822.2</v>
      </c>
      <c r="J865">
        <v>21708</v>
      </c>
      <c r="K865">
        <v>19920</v>
      </c>
      <c r="L865" s="2">
        <v>26.593750000000004</v>
      </c>
      <c r="M865" s="5">
        <v>170.17950000000002</v>
      </c>
      <c r="N865" s="1">
        <v>201.98580000000001</v>
      </c>
      <c r="O865" s="2">
        <v>5.7</v>
      </c>
      <c r="P865">
        <v>111</v>
      </c>
    </row>
    <row r="866" spans="1:16" x14ac:dyDescent="0.35">
      <c r="A866" s="4">
        <v>44440</v>
      </c>
      <c r="B866" t="s">
        <v>20</v>
      </c>
      <c r="C866" t="s">
        <v>10</v>
      </c>
      <c r="D866">
        <v>1</v>
      </c>
      <c r="E866" s="2" t="s">
        <v>27</v>
      </c>
      <c r="F866" s="2" t="s">
        <v>27</v>
      </c>
      <c r="G866" s="3">
        <v>1</v>
      </c>
      <c r="H866">
        <v>1185</v>
      </c>
      <c r="I866">
        <v>2822.2</v>
      </c>
      <c r="J866">
        <v>21708</v>
      </c>
      <c r="K866">
        <v>19920</v>
      </c>
      <c r="L866" s="2">
        <v>26.593750000000004</v>
      </c>
      <c r="M866" s="5">
        <v>170.17950000000002</v>
      </c>
      <c r="N866" s="1">
        <v>201.98580000000001</v>
      </c>
      <c r="O866" s="2">
        <v>5.7</v>
      </c>
      <c r="P866">
        <v>111</v>
      </c>
    </row>
    <row r="867" spans="1:16" x14ac:dyDescent="0.35">
      <c r="A867" s="4">
        <v>44440</v>
      </c>
      <c r="B867" t="s">
        <v>20</v>
      </c>
      <c r="C867" t="s">
        <v>11</v>
      </c>
      <c r="D867">
        <v>1</v>
      </c>
      <c r="E867" s="2" t="s">
        <v>27</v>
      </c>
      <c r="F867" s="2" t="s">
        <v>27</v>
      </c>
      <c r="G867" s="3">
        <v>1</v>
      </c>
      <c r="H867">
        <v>1185</v>
      </c>
      <c r="I867">
        <v>2822.2</v>
      </c>
      <c r="J867">
        <v>21708</v>
      </c>
      <c r="K867">
        <v>19920</v>
      </c>
      <c r="L867" s="2">
        <v>26.593750000000004</v>
      </c>
      <c r="M867" s="5">
        <v>170.17950000000002</v>
      </c>
      <c r="N867" s="1">
        <v>201.98580000000001</v>
      </c>
      <c r="O867" s="2">
        <v>5.7</v>
      </c>
      <c r="P867">
        <v>111</v>
      </c>
    </row>
    <row r="868" spans="1:16" x14ac:dyDescent="0.35">
      <c r="A868" s="4">
        <v>44440</v>
      </c>
      <c r="B868" t="s">
        <v>20</v>
      </c>
      <c r="C868" t="s">
        <v>12</v>
      </c>
      <c r="D868">
        <v>1</v>
      </c>
      <c r="E868" s="2" t="s">
        <v>27</v>
      </c>
      <c r="F868" s="2" t="s">
        <v>27</v>
      </c>
      <c r="G868" s="3">
        <v>1</v>
      </c>
      <c r="H868">
        <v>1185</v>
      </c>
      <c r="I868">
        <v>2822.2</v>
      </c>
      <c r="J868">
        <v>21708</v>
      </c>
      <c r="K868">
        <v>19920</v>
      </c>
      <c r="L868" s="2">
        <v>26.593750000000004</v>
      </c>
      <c r="M868" s="5">
        <v>170.17950000000002</v>
      </c>
      <c r="N868" s="1">
        <v>201.98580000000001</v>
      </c>
      <c r="O868" s="2">
        <v>5.7</v>
      </c>
      <c r="P868">
        <v>111</v>
      </c>
    </row>
    <row r="869" spans="1:16" x14ac:dyDescent="0.35">
      <c r="A869" s="4">
        <v>44440</v>
      </c>
      <c r="B869" t="s">
        <v>20</v>
      </c>
      <c r="C869" t="s">
        <v>13</v>
      </c>
      <c r="D869">
        <v>1</v>
      </c>
      <c r="E869" s="2" t="s">
        <v>27</v>
      </c>
      <c r="F869" s="2" t="s">
        <v>27</v>
      </c>
      <c r="G869" s="3">
        <v>1</v>
      </c>
      <c r="H869">
        <v>1185</v>
      </c>
      <c r="I869">
        <v>2822.2</v>
      </c>
      <c r="J869">
        <v>21708</v>
      </c>
      <c r="K869">
        <v>19920</v>
      </c>
      <c r="L869" s="2">
        <v>26.593750000000004</v>
      </c>
      <c r="M869" s="5">
        <v>170.17950000000002</v>
      </c>
      <c r="N869" s="1">
        <v>201.98580000000001</v>
      </c>
      <c r="O869" s="2">
        <v>5.7</v>
      </c>
      <c r="P869">
        <v>111</v>
      </c>
    </row>
    <row r="870" spans="1:16" x14ac:dyDescent="0.35">
      <c r="A870" s="4">
        <v>44440</v>
      </c>
      <c r="B870" t="s">
        <v>20</v>
      </c>
      <c r="C870" t="s">
        <v>14</v>
      </c>
      <c r="D870">
        <v>1</v>
      </c>
      <c r="E870" s="2" t="s">
        <v>27</v>
      </c>
      <c r="F870" s="2" t="s">
        <v>27</v>
      </c>
      <c r="G870" s="3">
        <v>1</v>
      </c>
      <c r="H870">
        <v>1185</v>
      </c>
      <c r="I870">
        <v>2822.2</v>
      </c>
      <c r="J870">
        <v>21708</v>
      </c>
      <c r="K870">
        <v>19920</v>
      </c>
      <c r="L870" s="2">
        <v>26.593750000000004</v>
      </c>
      <c r="M870" s="5">
        <v>170.17950000000002</v>
      </c>
      <c r="N870" s="1">
        <v>201.98580000000001</v>
      </c>
      <c r="O870" s="2">
        <v>5.7</v>
      </c>
      <c r="P870">
        <v>111</v>
      </c>
    </row>
    <row r="871" spans="1:16" x14ac:dyDescent="0.35">
      <c r="A871" s="4">
        <v>44440</v>
      </c>
      <c r="B871" t="s">
        <v>20</v>
      </c>
      <c r="C871" t="s">
        <v>15</v>
      </c>
      <c r="D871">
        <v>1</v>
      </c>
      <c r="E871" s="2" t="s">
        <v>27</v>
      </c>
      <c r="F871" s="2" t="s">
        <v>27</v>
      </c>
      <c r="G871" s="3">
        <v>1</v>
      </c>
      <c r="H871">
        <v>1185</v>
      </c>
      <c r="I871">
        <v>2822.2</v>
      </c>
      <c r="J871">
        <v>21708</v>
      </c>
      <c r="K871">
        <v>19920</v>
      </c>
      <c r="L871" s="2">
        <v>26.593750000000004</v>
      </c>
      <c r="M871" s="5">
        <v>170.17950000000002</v>
      </c>
      <c r="N871" s="1">
        <v>201.98580000000001</v>
      </c>
      <c r="O871" s="2">
        <v>5.7</v>
      </c>
      <c r="P871">
        <v>111</v>
      </c>
    </row>
    <row r="872" spans="1:16" x14ac:dyDescent="0.35">
      <c r="A872" s="4">
        <v>44440</v>
      </c>
      <c r="B872" t="s">
        <v>21</v>
      </c>
      <c r="C872" t="s">
        <v>10</v>
      </c>
      <c r="D872">
        <v>1</v>
      </c>
      <c r="E872" s="2" t="s">
        <v>27</v>
      </c>
      <c r="F872" s="2" t="s">
        <v>27</v>
      </c>
      <c r="G872" s="3">
        <v>1</v>
      </c>
      <c r="H872">
        <v>1185</v>
      </c>
      <c r="I872">
        <v>2822.2</v>
      </c>
      <c r="J872">
        <v>21708</v>
      </c>
      <c r="K872">
        <v>19920</v>
      </c>
      <c r="L872" s="2">
        <v>26.593750000000004</v>
      </c>
      <c r="M872" s="5">
        <v>170.17950000000002</v>
      </c>
      <c r="N872" s="1">
        <v>201.98580000000001</v>
      </c>
      <c r="O872" s="2">
        <v>5.7</v>
      </c>
      <c r="P872">
        <v>111</v>
      </c>
    </row>
    <row r="873" spans="1:16" x14ac:dyDescent="0.35">
      <c r="A873" s="4">
        <v>44440</v>
      </c>
      <c r="B873" t="s">
        <v>21</v>
      </c>
      <c r="C873" t="s">
        <v>11</v>
      </c>
      <c r="D873">
        <v>1</v>
      </c>
      <c r="E873" s="2" t="s">
        <v>27</v>
      </c>
      <c r="F873" s="2" t="s">
        <v>27</v>
      </c>
      <c r="G873" s="3">
        <v>1</v>
      </c>
      <c r="H873">
        <v>1185</v>
      </c>
      <c r="I873">
        <v>2822.2</v>
      </c>
      <c r="J873">
        <v>21708</v>
      </c>
      <c r="K873">
        <v>19920</v>
      </c>
      <c r="L873" s="2">
        <v>26.593750000000004</v>
      </c>
      <c r="M873" s="5">
        <v>170.17950000000002</v>
      </c>
      <c r="N873" s="1">
        <v>201.98580000000001</v>
      </c>
      <c r="O873" s="2">
        <v>5.7</v>
      </c>
      <c r="P873">
        <v>111</v>
      </c>
    </row>
    <row r="874" spans="1:16" x14ac:dyDescent="0.35">
      <c r="A874" s="4">
        <v>44440</v>
      </c>
      <c r="B874" t="s">
        <v>21</v>
      </c>
      <c r="C874" t="s">
        <v>12</v>
      </c>
      <c r="D874">
        <v>1</v>
      </c>
      <c r="E874" s="2" t="s">
        <v>27</v>
      </c>
      <c r="F874" s="2" t="s">
        <v>27</v>
      </c>
      <c r="G874" s="3">
        <v>1</v>
      </c>
      <c r="H874">
        <v>1185</v>
      </c>
      <c r="I874">
        <v>2822.2</v>
      </c>
      <c r="J874">
        <v>21708</v>
      </c>
      <c r="K874">
        <v>19920</v>
      </c>
      <c r="L874" s="2">
        <v>26.593750000000004</v>
      </c>
      <c r="M874" s="5">
        <v>170.17950000000002</v>
      </c>
      <c r="N874" s="1">
        <v>201.98580000000001</v>
      </c>
      <c r="O874" s="2">
        <v>5.7</v>
      </c>
      <c r="P874">
        <v>111</v>
      </c>
    </row>
    <row r="875" spans="1:16" x14ac:dyDescent="0.35">
      <c r="A875" s="4">
        <v>44440</v>
      </c>
      <c r="B875" t="s">
        <v>21</v>
      </c>
      <c r="C875" t="s">
        <v>13</v>
      </c>
      <c r="D875">
        <v>1</v>
      </c>
      <c r="E875" s="2" t="s">
        <v>27</v>
      </c>
      <c r="F875" s="2" t="s">
        <v>27</v>
      </c>
      <c r="G875" s="3">
        <v>1</v>
      </c>
      <c r="H875">
        <v>1185</v>
      </c>
      <c r="I875">
        <v>2822.2</v>
      </c>
      <c r="J875">
        <v>21708</v>
      </c>
      <c r="K875">
        <v>19920</v>
      </c>
      <c r="L875" s="2">
        <v>26.593750000000004</v>
      </c>
      <c r="M875" s="5">
        <v>170.17950000000002</v>
      </c>
      <c r="N875" s="1">
        <v>201.98580000000001</v>
      </c>
      <c r="O875" s="2">
        <v>5.7</v>
      </c>
      <c r="P875">
        <v>111</v>
      </c>
    </row>
    <row r="876" spans="1:16" x14ac:dyDescent="0.35">
      <c r="A876" s="4">
        <v>44440</v>
      </c>
      <c r="B876" t="s">
        <v>21</v>
      </c>
      <c r="C876" t="s">
        <v>14</v>
      </c>
      <c r="D876">
        <v>1</v>
      </c>
      <c r="E876" s="2" t="s">
        <v>27</v>
      </c>
      <c r="F876" s="2" t="s">
        <v>27</v>
      </c>
      <c r="G876" s="3">
        <v>1</v>
      </c>
      <c r="H876">
        <v>1185</v>
      </c>
      <c r="I876">
        <v>2822.2</v>
      </c>
      <c r="J876">
        <v>21708</v>
      </c>
      <c r="K876">
        <v>19920</v>
      </c>
      <c r="L876" s="2">
        <v>26.593750000000004</v>
      </c>
      <c r="M876" s="5">
        <v>170.17950000000002</v>
      </c>
      <c r="N876" s="1">
        <v>201.98580000000001</v>
      </c>
      <c r="O876" s="2">
        <v>5.7</v>
      </c>
      <c r="P876">
        <v>111</v>
      </c>
    </row>
    <row r="877" spans="1:16" x14ac:dyDescent="0.35">
      <c r="A877" s="4">
        <v>44440</v>
      </c>
      <c r="B877" t="s">
        <v>21</v>
      </c>
      <c r="C877" t="s">
        <v>15</v>
      </c>
      <c r="D877">
        <v>1</v>
      </c>
      <c r="E877" s="2" t="s">
        <v>27</v>
      </c>
      <c r="F877" s="2" t="s">
        <v>27</v>
      </c>
      <c r="G877" s="3">
        <v>1</v>
      </c>
      <c r="H877">
        <v>1185</v>
      </c>
      <c r="I877">
        <v>2822.2</v>
      </c>
      <c r="J877">
        <v>21708</v>
      </c>
      <c r="K877">
        <v>19920</v>
      </c>
      <c r="L877" s="2">
        <v>26.593750000000004</v>
      </c>
      <c r="M877" s="5">
        <v>170.17950000000002</v>
      </c>
      <c r="N877" s="1">
        <v>201.98580000000001</v>
      </c>
      <c r="O877" s="2">
        <v>5.7</v>
      </c>
      <c r="P877">
        <v>111</v>
      </c>
    </row>
    <row r="878" spans="1:16" x14ac:dyDescent="0.35">
      <c r="A878" s="4">
        <v>44440</v>
      </c>
      <c r="B878" t="s">
        <v>22</v>
      </c>
      <c r="C878" t="s">
        <v>10</v>
      </c>
      <c r="D878">
        <v>0</v>
      </c>
      <c r="E878" s="2" t="s">
        <v>27</v>
      </c>
      <c r="F878" s="2" t="s">
        <v>27</v>
      </c>
      <c r="G878" s="3">
        <v>1</v>
      </c>
      <c r="H878">
        <v>1185</v>
      </c>
      <c r="I878">
        <v>2822.2</v>
      </c>
      <c r="J878">
        <v>21708</v>
      </c>
      <c r="K878">
        <v>19920</v>
      </c>
      <c r="L878" s="2">
        <v>26.593750000000004</v>
      </c>
      <c r="M878" s="5">
        <v>170.17950000000002</v>
      </c>
      <c r="N878" s="1">
        <v>201.98580000000001</v>
      </c>
      <c r="O878" s="2">
        <v>5.7</v>
      </c>
      <c r="P878">
        <v>111</v>
      </c>
    </row>
    <row r="879" spans="1:16" x14ac:dyDescent="0.35">
      <c r="A879" s="4">
        <v>44440</v>
      </c>
      <c r="B879" t="s">
        <v>22</v>
      </c>
      <c r="C879" t="s">
        <v>11</v>
      </c>
      <c r="D879">
        <v>0</v>
      </c>
      <c r="E879" s="2" t="s">
        <v>27</v>
      </c>
      <c r="F879" s="2" t="s">
        <v>27</v>
      </c>
      <c r="G879" s="3">
        <v>1</v>
      </c>
      <c r="H879">
        <v>1185</v>
      </c>
      <c r="I879">
        <v>2822.2</v>
      </c>
      <c r="J879">
        <v>21708</v>
      </c>
      <c r="K879">
        <v>19920</v>
      </c>
      <c r="L879" s="2">
        <v>26.593750000000004</v>
      </c>
      <c r="M879" s="5">
        <v>170.17950000000002</v>
      </c>
      <c r="N879" s="1">
        <v>201.98580000000001</v>
      </c>
      <c r="O879" s="2">
        <v>5.7</v>
      </c>
      <c r="P879">
        <v>111</v>
      </c>
    </row>
    <row r="880" spans="1:16" x14ac:dyDescent="0.35">
      <c r="A880" s="4">
        <v>44440</v>
      </c>
      <c r="B880" t="s">
        <v>22</v>
      </c>
      <c r="C880" t="s">
        <v>12</v>
      </c>
      <c r="D880">
        <v>0</v>
      </c>
      <c r="E880" s="2" t="s">
        <v>27</v>
      </c>
      <c r="F880" s="2" t="s">
        <v>27</v>
      </c>
      <c r="G880" s="3">
        <v>1</v>
      </c>
      <c r="H880">
        <v>1185</v>
      </c>
      <c r="I880">
        <v>2822.2</v>
      </c>
      <c r="J880">
        <v>21708</v>
      </c>
      <c r="K880">
        <v>19920</v>
      </c>
      <c r="L880" s="2">
        <v>26.593750000000004</v>
      </c>
      <c r="M880" s="5">
        <v>170.17950000000002</v>
      </c>
      <c r="N880" s="1">
        <v>201.98580000000001</v>
      </c>
      <c r="O880" s="2">
        <v>5.7</v>
      </c>
      <c r="P880">
        <v>111</v>
      </c>
    </row>
    <row r="881" spans="1:16" x14ac:dyDescent="0.35">
      <c r="A881" s="4">
        <v>44440</v>
      </c>
      <c r="B881" t="s">
        <v>22</v>
      </c>
      <c r="C881" t="s">
        <v>13</v>
      </c>
      <c r="D881">
        <v>0</v>
      </c>
      <c r="E881" s="2" t="s">
        <v>27</v>
      </c>
      <c r="F881" s="2" t="s">
        <v>27</v>
      </c>
      <c r="G881" s="3">
        <v>1</v>
      </c>
      <c r="H881">
        <v>1185</v>
      </c>
      <c r="I881">
        <v>2822.2</v>
      </c>
      <c r="J881">
        <v>21708</v>
      </c>
      <c r="K881">
        <v>19920</v>
      </c>
      <c r="L881" s="2">
        <v>26.593750000000004</v>
      </c>
      <c r="M881" s="5">
        <v>170.17950000000002</v>
      </c>
      <c r="N881" s="1">
        <v>201.98580000000001</v>
      </c>
      <c r="O881" s="2">
        <v>5.7</v>
      </c>
      <c r="P881">
        <v>111</v>
      </c>
    </row>
    <row r="882" spans="1:16" x14ac:dyDescent="0.35">
      <c r="A882" s="4">
        <v>44440</v>
      </c>
      <c r="B882" t="s">
        <v>22</v>
      </c>
      <c r="C882" t="s">
        <v>14</v>
      </c>
      <c r="D882">
        <v>1</v>
      </c>
      <c r="E882" s="2" t="s">
        <v>27</v>
      </c>
      <c r="F882" s="2" t="s">
        <v>27</v>
      </c>
      <c r="G882" s="3">
        <v>1</v>
      </c>
      <c r="H882">
        <v>1185</v>
      </c>
      <c r="I882">
        <v>2822.2</v>
      </c>
      <c r="J882">
        <v>21708</v>
      </c>
      <c r="K882">
        <v>19920</v>
      </c>
      <c r="L882" s="2">
        <v>26.593750000000004</v>
      </c>
      <c r="M882" s="5">
        <v>170.17950000000002</v>
      </c>
      <c r="N882" s="1">
        <v>201.98580000000001</v>
      </c>
      <c r="O882" s="2">
        <v>5.7</v>
      </c>
      <c r="P882">
        <v>111</v>
      </c>
    </row>
    <row r="883" spans="1:16" x14ac:dyDescent="0.35">
      <c r="A883" s="4">
        <v>44440</v>
      </c>
      <c r="B883" t="s">
        <v>22</v>
      </c>
      <c r="C883" t="s">
        <v>15</v>
      </c>
      <c r="D883">
        <v>0</v>
      </c>
      <c r="E883" s="2" t="s">
        <v>27</v>
      </c>
      <c r="F883" s="2" t="s">
        <v>27</v>
      </c>
      <c r="G883" s="3">
        <v>1</v>
      </c>
      <c r="H883">
        <v>1185</v>
      </c>
      <c r="I883">
        <v>2822.2</v>
      </c>
      <c r="J883">
        <v>21708</v>
      </c>
      <c r="K883">
        <v>19920</v>
      </c>
      <c r="L883" s="2">
        <v>26.593750000000004</v>
      </c>
      <c r="M883" s="5">
        <v>170.17950000000002</v>
      </c>
      <c r="N883" s="1">
        <v>201.98580000000001</v>
      </c>
      <c r="O883" s="2">
        <v>5.7</v>
      </c>
      <c r="P883">
        <v>111</v>
      </c>
    </row>
    <row r="884" spans="1:16" x14ac:dyDescent="0.35">
      <c r="A884" s="4">
        <v>44470</v>
      </c>
      <c r="B884" t="s">
        <v>16</v>
      </c>
      <c r="C884" t="s">
        <v>10</v>
      </c>
      <c r="D884">
        <v>1</v>
      </c>
      <c r="E884" s="2">
        <v>3100</v>
      </c>
      <c r="F884" s="2">
        <f t="shared" ref="F884:F889" si="136">(3166.67+3222+3222+3311.5)/4</f>
        <v>3230.5425</v>
      </c>
      <c r="G884" s="3">
        <v>1</v>
      </c>
      <c r="H884">
        <v>2370</v>
      </c>
      <c r="I884">
        <v>2822.2</v>
      </c>
      <c r="J884">
        <v>27156</v>
      </c>
      <c r="K884">
        <v>24900</v>
      </c>
      <c r="L884" s="2">
        <v>26.346250000000001</v>
      </c>
      <c r="M884" s="5">
        <v>341.85200000000003</v>
      </c>
      <c r="N884" s="1">
        <v>201.0899</v>
      </c>
      <c r="O884" s="2">
        <v>7.6</v>
      </c>
      <c r="P884">
        <v>111</v>
      </c>
    </row>
    <row r="885" spans="1:16" x14ac:dyDescent="0.35">
      <c r="A885" s="4">
        <v>44470</v>
      </c>
      <c r="B885" t="s">
        <v>16</v>
      </c>
      <c r="C885" t="s">
        <v>11</v>
      </c>
      <c r="D885">
        <v>0</v>
      </c>
      <c r="E885" s="2" t="s">
        <v>27</v>
      </c>
      <c r="F885" s="2">
        <f t="shared" si="136"/>
        <v>3230.5425</v>
      </c>
      <c r="G885" s="3">
        <v>1</v>
      </c>
      <c r="H885">
        <v>2370</v>
      </c>
      <c r="I885">
        <v>2822.2</v>
      </c>
      <c r="J885">
        <v>27156</v>
      </c>
      <c r="K885">
        <v>24900</v>
      </c>
      <c r="L885" s="2">
        <v>26.346250000000001</v>
      </c>
      <c r="M885" s="5">
        <v>341.85200000000003</v>
      </c>
      <c r="N885" s="1">
        <v>201.0899</v>
      </c>
      <c r="O885" s="2">
        <v>7.6</v>
      </c>
      <c r="P885">
        <v>111</v>
      </c>
    </row>
    <row r="886" spans="1:16" x14ac:dyDescent="0.35">
      <c r="A886" s="4">
        <v>44470</v>
      </c>
      <c r="B886" t="s">
        <v>16</v>
      </c>
      <c r="C886" t="s">
        <v>12</v>
      </c>
      <c r="D886">
        <v>1</v>
      </c>
      <c r="E886" s="2">
        <v>3108.25</v>
      </c>
      <c r="F886" s="2">
        <f t="shared" si="136"/>
        <v>3230.5425</v>
      </c>
      <c r="G886" s="3">
        <v>1</v>
      </c>
      <c r="H886">
        <v>2370</v>
      </c>
      <c r="I886">
        <v>2822.2</v>
      </c>
      <c r="J886">
        <v>27156</v>
      </c>
      <c r="K886">
        <v>24900</v>
      </c>
      <c r="L886" s="2">
        <v>26.346250000000001</v>
      </c>
      <c r="M886" s="5">
        <v>341.85200000000003</v>
      </c>
      <c r="N886" s="1">
        <v>201.0899</v>
      </c>
      <c r="O886" s="2">
        <v>7.6</v>
      </c>
      <c r="P886">
        <v>111</v>
      </c>
    </row>
    <row r="887" spans="1:16" x14ac:dyDescent="0.35">
      <c r="A887" s="4">
        <v>44470</v>
      </c>
      <c r="B887" t="s">
        <v>16</v>
      </c>
      <c r="C887" t="s">
        <v>13</v>
      </c>
      <c r="D887">
        <v>1</v>
      </c>
      <c r="E887" s="2">
        <v>3350</v>
      </c>
      <c r="F887" s="2">
        <f t="shared" si="136"/>
        <v>3230.5425</v>
      </c>
      <c r="G887" s="3">
        <v>1</v>
      </c>
      <c r="H887">
        <v>2370</v>
      </c>
      <c r="I887">
        <v>2822.2</v>
      </c>
      <c r="J887">
        <v>27156</v>
      </c>
      <c r="K887">
        <v>24900</v>
      </c>
      <c r="L887" s="2">
        <v>26.346250000000001</v>
      </c>
      <c r="M887" s="5">
        <v>341.85200000000003</v>
      </c>
      <c r="N887" s="1">
        <v>201.0899</v>
      </c>
      <c r="O887" s="2">
        <v>7.6</v>
      </c>
      <c r="P887">
        <v>111</v>
      </c>
    </row>
    <row r="888" spans="1:16" x14ac:dyDescent="0.35">
      <c r="A888" s="4">
        <v>44470</v>
      </c>
      <c r="B888" t="s">
        <v>16</v>
      </c>
      <c r="C888" t="s">
        <v>14</v>
      </c>
      <c r="D888">
        <v>1</v>
      </c>
      <c r="E888" s="2">
        <f>(3463+3388*2+3400)/4</f>
        <v>3409.75</v>
      </c>
      <c r="F888" s="2">
        <f t="shared" si="136"/>
        <v>3230.5425</v>
      </c>
      <c r="G888" s="3">
        <v>1</v>
      </c>
      <c r="H888">
        <v>2370</v>
      </c>
      <c r="I888">
        <v>2822.2</v>
      </c>
      <c r="J888">
        <v>27156</v>
      </c>
      <c r="K888">
        <v>24900</v>
      </c>
      <c r="L888" s="2">
        <v>26.346250000000001</v>
      </c>
      <c r="M888" s="5">
        <v>341.85200000000003</v>
      </c>
      <c r="N888" s="1">
        <v>201.0899</v>
      </c>
      <c r="O888" s="2">
        <v>7.6</v>
      </c>
      <c r="P888">
        <v>111</v>
      </c>
    </row>
    <row r="889" spans="1:16" x14ac:dyDescent="0.35">
      <c r="A889" s="4">
        <v>44470</v>
      </c>
      <c r="B889" t="s">
        <v>16</v>
      </c>
      <c r="C889" t="s">
        <v>15</v>
      </c>
      <c r="D889">
        <v>0</v>
      </c>
      <c r="E889" s="2" t="s">
        <v>27</v>
      </c>
      <c r="F889" s="2">
        <f t="shared" si="136"/>
        <v>3230.5425</v>
      </c>
      <c r="G889" s="3">
        <v>1</v>
      </c>
      <c r="H889">
        <v>2370</v>
      </c>
      <c r="I889">
        <v>2822.2</v>
      </c>
      <c r="J889">
        <v>27156</v>
      </c>
      <c r="K889">
        <v>24900</v>
      </c>
      <c r="L889" s="2">
        <v>26.346250000000001</v>
      </c>
      <c r="M889" s="5">
        <v>341.85200000000003</v>
      </c>
      <c r="N889" s="1">
        <v>201.0899</v>
      </c>
      <c r="O889" s="2">
        <v>7.6</v>
      </c>
      <c r="P889">
        <v>111</v>
      </c>
    </row>
    <row r="890" spans="1:16" x14ac:dyDescent="0.35">
      <c r="A890" s="4">
        <v>44470</v>
      </c>
      <c r="B890" t="s">
        <v>17</v>
      </c>
      <c r="C890" t="s">
        <v>10</v>
      </c>
      <c r="D890">
        <v>1</v>
      </c>
      <c r="E890" s="2">
        <f>(2916+2825+2900+2850)/4</f>
        <v>2872.75</v>
      </c>
      <c r="F890" s="2">
        <f t="shared" ref="F890:F895" si="137">(2867+2840+2863+2847.67)/4</f>
        <v>2854.4175</v>
      </c>
      <c r="G890" s="3">
        <v>1</v>
      </c>
      <c r="H890">
        <v>2370</v>
      </c>
      <c r="I890">
        <v>2822.2</v>
      </c>
      <c r="J890">
        <v>27156</v>
      </c>
      <c r="K890">
        <v>24900</v>
      </c>
      <c r="L890" s="2">
        <v>26.346250000000001</v>
      </c>
      <c r="M890" s="5">
        <v>341.85200000000003</v>
      </c>
      <c r="N890" s="1">
        <v>201.0899</v>
      </c>
      <c r="O890" s="2">
        <v>7.6</v>
      </c>
      <c r="P890">
        <v>111</v>
      </c>
    </row>
    <row r="891" spans="1:16" x14ac:dyDescent="0.35">
      <c r="A891" s="4">
        <v>44470</v>
      </c>
      <c r="B891" t="s">
        <v>17</v>
      </c>
      <c r="C891" t="s">
        <v>11</v>
      </c>
      <c r="D891">
        <v>1</v>
      </c>
      <c r="E891" s="2" t="s">
        <v>27</v>
      </c>
      <c r="F891" s="2">
        <f t="shared" si="137"/>
        <v>2854.4175</v>
      </c>
      <c r="G891" s="3">
        <v>1</v>
      </c>
      <c r="H891">
        <v>2370</v>
      </c>
      <c r="I891">
        <v>2822.2</v>
      </c>
      <c r="J891">
        <v>27156</v>
      </c>
      <c r="K891">
        <v>24900</v>
      </c>
      <c r="L891" s="2">
        <v>26.346250000000001</v>
      </c>
      <c r="M891" s="5">
        <v>341.85200000000003</v>
      </c>
      <c r="N891" s="1">
        <v>201.0899</v>
      </c>
      <c r="O891" s="2">
        <v>7.6</v>
      </c>
      <c r="P891">
        <v>111</v>
      </c>
    </row>
    <row r="892" spans="1:16" x14ac:dyDescent="0.35">
      <c r="A892" s="4">
        <v>44470</v>
      </c>
      <c r="B892" t="s">
        <v>17</v>
      </c>
      <c r="C892" t="s">
        <v>12</v>
      </c>
      <c r="D892">
        <v>1</v>
      </c>
      <c r="E892" s="2">
        <v>2760</v>
      </c>
      <c r="F892" s="2">
        <f t="shared" si="137"/>
        <v>2854.4175</v>
      </c>
      <c r="G892" s="3">
        <v>1</v>
      </c>
      <c r="H892">
        <v>2370</v>
      </c>
      <c r="I892">
        <v>2822.2</v>
      </c>
      <c r="J892">
        <v>27156</v>
      </c>
      <c r="K892">
        <v>24900</v>
      </c>
      <c r="L892" s="2">
        <v>26.346250000000001</v>
      </c>
      <c r="M892" s="5">
        <v>341.85200000000003</v>
      </c>
      <c r="N892" s="1">
        <v>201.0899</v>
      </c>
      <c r="O892" s="2">
        <v>7.6</v>
      </c>
      <c r="P892">
        <v>111</v>
      </c>
    </row>
    <row r="893" spans="1:16" x14ac:dyDescent="0.35">
      <c r="A893" s="4">
        <v>44470</v>
      </c>
      <c r="B893" t="s">
        <v>17</v>
      </c>
      <c r="C893" t="s">
        <v>13</v>
      </c>
      <c r="D893">
        <v>1</v>
      </c>
      <c r="E893" s="2">
        <v>2825</v>
      </c>
      <c r="F893" s="2">
        <f t="shared" si="137"/>
        <v>2854.4175</v>
      </c>
      <c r="G893" s="3">
        <v>1</v>
      </c>
      <c r="H893">
        <v>2370</v>
      </c>
      <c r="I893">
        <v>2822.2</v>
      </c>
      <c r="J893">
        <v>27156</v>
      </c>
      <c r="K893">
        <v>24900</v>
      </c>
      <c r="L893" s="2">
        <v>26.346250000000001</v>
      </c>
      <c r="M893" s="5">
        <v>341.85200000000003</v>
      </c>
      <c r="N893" s="1">
        <v>201.0899</v>
      </c>
      <c r="O893" s="2">
        <v>7.6</v>
      </c>
      <c r="P893">
        <v>111</v>
      </c>
    </row>
    <row r="894" spans="1:16" x14ac:dyDescent="0.35">
      <c r="A894" s="4">
        <v>44470</v>
      </c>
      <c r="B894" t="s">
        <v>17</v>
      </c>
      <c r="C894" t="s">
        <v>14</v>
      </c>
      <c r="D894">
        <v>1</v>
      </c>
      <c r="E894" s="2">
        <f>(2933+2967+2950+2967)/4</f>
        <v>2954.25</v>
      </c>
      <c r="F894" s="2">
        <f t="shared" si="137"/>
        <v>2854.4175</v>
      </c>
      <c r="G894" s="3">
        <v>1</v>
      </c>
      <c r="H894">
        <v>2370</v>
      </c>
      <c r="I894">
        <v>2822.2</v>
      </c>
      <c r="J894">
        <v>27156</v>
      </c>
      <c r="K894">
        <v>24900</v>
      </c>
      <c r="L894" s="2">
        <v>26.346250000000001</v>
      </c>
      <c r="M894" s="5">
        <v>341.85200000000003</v>
      </c>
      <c r="N894" s="1">
        <v>201.0899</v>
      </c>
      <c r="O894" s="2">
        <v>7.6</v>
      </c>
      <c r="P894">
        <v>111</v>
      </c>
    </row>
    <row r="895" spans="1:16" x14ac:dyDescent="0.35">
      <c r="A895" s="4">
        <v>44470</v>
      </c>
      <c r="B895" t="s">
        <v>17</v>
      </c>
      <c r="C895" t="s">
        <v>15</v>
      </c>
      <c r="D895">
        <v>0</v>
      </c>
      <c r="E895" s="2" t="s">
        <v>27</v>
      </c>
      <c r="F895" s="2">
        <f t="shared" si="137"/>
        <v>2854.4175</v>
      </c>
      <c r="G895" s="3">
        <v>1</v>
      </c>
      <c r="H895">
        <v>2370</v>
      </c>
      <c r="I895">
        <v>2822.2</v>
      </c>
      <c r="J895">
        <v>27156</v>
      </c>
      <c r="K895">
        <v>24900</v>
      </c>
      <c r="L895" s="2">
        <v>26.346250000000001</v>
      </c>
      <c r="M895" s="5">
        <v>341.85200000000003</v>
      </c>
      <c r="N895" s="1">
        <v>201.0899</v>
      </c>
      <c r="O895" s="2">
        <v>7.6</v>
      </c>
      <c r="P895">
        <v>111</v>
      </c>
    </row>
    <row r="896" spans="1:16" x14ac:dyDescent="0.35">
      <c r="A896" s="4">
        <v>44470</v>
      </c>
      <c r="B896" t="s">
        <v>18</v>
      </c>
      <c r="C896" t="s">
        <v>10</v>
      </c>
      <c r="D896">
        <v>1</v>
      </c>
      <c r="E896" s="2">
        <f>(2650+2700+2525+2816)/4</f>
        <v>2672.75</v>
      </c>
      <c r="F896" s="2">
        <f t="shared" ref="F896:F901" si="138">(2599.83+2543.33+2653.83+2559)/4</f>
        <v>2588.9974999999999</v>
      </c>
      <c r="G896" s="3">
        <v>1</v>
      </c>
      <c r="H896">
        <v>2370</v>
      </c>
      <c r="I896">
        <v>2822.2</v>
      </c>
      <c r="J896">
        <v>27156</v>
      </c>
      <c r="K896">
        <v>24900</v>
      </c>
      <c r="L896" s="2">
        <v>26.346250000000001</v>
      </c>
      <c r="M896" s="5">
        <v>341.85200000000003</v>
      </c>
      <c r="N896" s="1">
        <v>201.0899</v>
      </c>
      <c r="O896" s="2">
        <v>7.6</v>
      </c>
      <c r="P896">
        <v>111</v>
      </c>
    </row>
    <row r="897" spans="1:16" x14ac:dyDescent="0.35">
      <c r="A897" s="4">
        <v>44470</v>
      </c>
      <c r="B897" t="s">
        <v>18</v>
      </c>
      <c r="C897" t="s">
        <v>11</v>
      </c>
      <c r="D897">
        <v>1</v>
      </c>
      <c r="E897" s="2" t="s">
        <v>27</v>
      </c>
      <c r="F897" s="2">
        <f t="shared" si="138"/>
        <v>2588.9974999999999</v>
      </c>
      <c r="G897" s="3">
        <v>1</v>
      </c>
      <c r="H897">
        <v>2370</v>
      </c>
      <c r="I897">
        <v>2822.2</v>
      </c>
      <c r="J897">
        <v>27156</v>
      </c>
      <c r="K897">
        <v>24900</v>
      </c>
      <c r="L897" s="2">
        <v>26.346250000000001</v>
      </c>
      <c r="M897" s="5">
        <v>341.85200000000003</v>
      </c>
      <c r="N897" s="1">
        <v>201.0899</v>
      </c>
      <c r="O897" s="2">
        <v>7.6</v>
      </c>
      <c r="P897">
        <v>111</v>
      </c>
    </row>
    <row r="898" spans="1:16" x14ac:dyDescent="0.35">
      <c r="A898" s="4">
        <v>44470</v>
      </c>
      <c r="B898" t="s">
        <v>18</v>
      </c>
      <c r="C898" t="s">
        <v>12</v>
      </c>
      <c r="D898">
        <v>1</v>
      </c>
      <c r="E898" s="2">
        <v>2595</v>
      </c>
      <c r="F898" s="2">
        <f t="shared" si="138"/>
        <v>2588.9974999999999</v>
      </c>
      <c r="G898" s="3">
        <v>1</v>
      </c>
      <c r="H898">
        <v>2370</v>
      </c>
      <c r="I898">
        <v>2822.2</v>
      </c>
      <c r="J898">
        <v>27156</v>
      </c>
      <c r="K898">
        <v>24900</v>
      </c>
      <c r="L898" s="2">
        <v>26.346250000000001</v>
      </c>
      <c r="M898" s="5">
        <v>341.85200000000003</v>
      </c>
      <c r="N898" s="1">
        <v>201.0899</v>
      </c>
      <c r="O898" s="2">
        <v>7.6</v>
      </c>
      <c r="P898">
        <v>111</v>
      </c>
    </row>
    <row r="899" spans="1:16" x14ac:dyDescent="0.35">
      <c r="A899" s="4">
        <v>44470</v>
      </c>
      <c r="B899" t="s">
        <v>18</v>
      </c>
      <c r="C899" t="s">
        <v>13</v>
      </c>
      <c r="D899">
        <v>1</v>
      </c>
      <c r="E899" s="2">
        <v>2700</v>
      </c>
      <c r="F899" s="2">
        <f t="shared" si="138"/>
        <v>2588.9974999999999</v>
      </c>
      <c r="G899" s="3">
        <v>1</v>
      </c>
      <c r="H899">
        <v>2370</v>
      </c>
      <c r="I899">
        <v>2822.2</v>
      </c>
      <c r="J899">
        <v>27156</v>
      </c>
      <c r="K899">
        <v>24900</v>
      </c>
      <c r="L899" s="2">
        <v>26.346250000000001</v>
      </c>
      <c r="M899" s="5">
        <v>341.85200000000003</v>
      </c>
      <c r="N899" s="1">
        <v>201.0899</v>
      </c>
      <c r="O899" s="2">
        <v>7.6</v>
      </c>
      <c r="P899">
        <v>111</v>
      </c>
    </row>
    <row r="900" spans="1:16" x14ac:dyDescent="0.35">
      <c r="A900" s="4">
        <v>44470</v>
      </c>
      <c r="B900" t="s">
        <v>18</v>
      </c>
      <c r="C900" t="s">
        <v>14</v>
      </c>
      <c r="D900">
        <v>1</v>
      </c>
      <c r="E900" s="2">
        <f>(2738*2+2710+2670)/4</f>
        <v>2714</v>
      </c>
      <c r="F900" s="2">
        <f t="shared" si="138"/>
        <v>2588.9974999999999</v>
      </c>
      <c r="G900" s="3">
        <v>1</v>
      </c>
      <c r="H900">
        <v>2370</v>
      </c>
      <c r="I900">
        <v>2822.2</v>
      </c>
      <c r="J900">
        <v>27156</v>
      </c>
      <c r="K900">
        <v>24900</v>
      </c>
      <c r="L900" s="2">
        <v>26.346250000000001</v>
      </c>
      <c r="M900" s="5">
        <v>341.85200000000003</v>
      </c>
      <c r="N900" s="1">
        <v>201.0899</v>
      </c>
      <c r="O900" s="2">
        <v>7.6</v>
      </c>
      <c r="P900">
        <v>111</v>
      </c>
    </row>
    <row r="901" spans="1:16" x14ac:dyDescent="0.35">
      <c r="A901" s="4">
        <v>44470</v>
      </c>
      <c r="B901" t="s">
        <v>18</v>
      </c>
      <c r="C901" t="s">
        <v>15</v>
      </c>
      <c r="D901">
        <v>1</v>
      </c>
      <c r="E901" s="2">
        <v>2650</v>
      </c>
      <c r="F901" s="2">
        <f t="shared" si="138"/>
        <v>2588.9974999999999</v>
      </c>
      <c r="G901" s="3">
        <v>1</v>
      </c>
      <c r="H901">
        <v>2370</v>
      </c>
      <c r="I901">
        <v>2822.2</v>
      </c>
      <c r="J901">
        <v>27156</v>
      </c>
      <c r="K901">
        <v>24900</v>
      </c>
      <c r="L901" s="2">
        <v>26.346250000000001</v>
      </c>
      <c r="M901" s="5">
        <v>341.85200000000003</v>
      </c>
      <c r="N901" s="1">
        <v>201.0899</v>
      </c>
      <c r="O901" s="2">
        <v>7.6</v>
      </c>
      <c r="P901">
        <v>111</v>
      </c>
    </row>
    <row r="902" spans="1:16" x14ac:dyDescent="0.35">
      <c r="A902" s="4">
        <v>44470</v>
      </c>
      <c r="B902" t="s">
        <v>19</v>
      </c>
      <c r="C902" t="s">
        <v>10</v>
      </c>
      <c r="D902">
        <v>1</v>
      </c>
      <c r="E902" s="2">
        <f>(2550+2400+2500*2)/4</f>
        <v>2487.5</v>
      </c>
      <c r="F902" s="2">
        <f t="shared" ref="F902:F907" si="139">(2380.6+2407+2414.67+2423)/4</f>
        <v>2406.3175000000001</v>
      </c>
      <c r="G902" s="3">
        <v>1</v>
      </c>
      <c r="H902">
        <v>2370</v>
      </c>
      <c r="I902">
        <v>2822.2</v>
      </c>
      <c r="J902">
        <v>27156</v>
      </c>
      <c r="K902">
        <v>24900</v>
      </c>
      <c r="L902" s="2">
        <v>26.346250000000001</v>
      </c>
      <c r="M902" s="5">
        <v>341.85200000000003</v>
      </c>
      <c r="N902" s="1">
        <v>201.0899</v>
      </c>
      <c r="O902" s="2">
        <v>7.6</v>
      </c>
      <c r="P902">
        <v>111</v>
      </c>
    </row>
    <row r="903" spans="1:16" x14ac:dyDescent="0.35">
      <c r="A903" s="4">
        <v>44470</v>
      </c>
      <c r="B903" t="s">
        <v>19</v>
      </c>
      <c r="C903" t="s">
        <v>11</v>
      </c>
      <c r="D903">
        <v>1</v>
      </c>
      <c r="E903" s="2" t="s">
        <v>27</v>
      </c>
      <c r="F903" s="2">
        <f t="shared" si="139"/>
        <v>2406.3175000000001</v>
      </c>
      <c r="G903" s="3">
        <v>1</v>
      </c>
      <c r="H903">
        <v>2370</v>
      </c>
      <c r="I903">
        <v>2822.2</v>
      </c>
      <c r="J903">
        <v>27156</v>
      </c>
      <c r="K903">
        <v>24900</v>
      </c>
      <c r="L903" s="2">
        <v>26.346250000000001</v>
      </c>
      <c r="M903" s="5">
        <v>341.85200000000003</v>
      </c>
      <c r="N903" s="1">
        <v>201.0899</v>
      </c>
      <c r="O903" s="2">
        <v>7.6</v>
      </c>
      <c r="P903">
        <v>111</v>
      </c>
    </row>
    <row r="904" spans="1:16" x14ac:dyDescent="0.35">
      <c r="A904" s="4">
        <v>44470</v>
      </c>
      <c r="B904" t="s">
        <v>19</v>
      </c>
      <c r="C904" t="s">
        <v>12</v>
      </c>
      <c r="D904">
        <v>1</v>
      </c>
      <c r="E904" s="2">
        <v>2465</v>
      </c>
      <c r="F904" s="2">
        <f t="shared" si="139"/>
        <v>2406.3175000000001</v>
      </c>
      <c r="G904" s="3">
        <v>1</v>
      </c>
      <c r="H904">
        <v>2370</v>
      </c>
      <c r="I904">
        <v>2822.2</v>
      </c>
      <c r="J904">
        <v>27156</v>
      </c>
      <c r="K904">
        <v>24900</v>
      </c>
      <c r="L904" s="2">
        <v>26.346250000000001</v>
      </c>
      <c r="M904" s="5">
        <v>341.85200000000003</v>
      </c>
      <c r="N904" s="1">
        <v>201.0899</v>
      </c>
      <c r="O904" s="2">
        <v>7.6</v>
      </c>
      <c r="P904">
        <v>111</v>
      </c>
    </row>
    <row r="905" spans="1:16" x14ac:dyDescent="0.35">
      <c r="A905" s="4">
        <v>44470</v>
      </c>
      <c r="B905" t="s">
        <v>19</v>
      </c>
      <c r="C905" t="s">
        <v>13</v>
      </c>
      <c r="D905">
        <v>1</v>
      </c>
      <c r="E905" s="2">
        <v>2625</v>
      </c>
      <c r="F905" s="2">
        <f t="shared" si="139"/>
        <v>2406.3175000000001</v>
      </c>
      <c r="G905" s="3">
        <v>1</v>
      </c>
      <c r="H905">
        <v>2370</v>
      </c>
      <c r="I905">
        <v>2822.2</v>
      </c>
      <c r="J905">
        <v>27156</v>
      </c>
      <c r="K905">
        <v>24900</v>
      </c>
      <c r="L905" s="2">
        <v>26.346250000000001</v>
      </c>
      <c r="M905" s="5">
        <v>341.85200000000003</v>
      </c>
      <c r="N905" s="1">
        <v>201.0899</v>
      </c>
      <c r="O905" s="2">
        <v>7.6</v>
      </c>
      <c r="P905">
        <v>111</v>
      </c>
    </row>
    <row r="906" spans="1:16" x14ac:dyDescent="0.35">
      <c r="A906" s="4">
        <v>44470</v>
      </c>
      <c r="B906" t="s">
        <v>19</v>
      </c>
      <c r="C906" t="s">
        <v>14</v>
      </c>
      <c r="D906">
        <v>1</v>
      </c>
      <c r="E906" s="2">
        <f>(2593+2607+2593*2)/4</f>
        <v>2596.5</v>
      </c>
      <c r="F906" s="2">
        <f t="shared" si="139"/>
        <v>2406.3175000000001</v>
      </c>
      <c r="G906" s="3">
        <v>1</v>
      </c>
      <c r="H906">
        <v>2370</v>
      </c>
      <c r="I906">
        <v>2822.2</v>
      </c>
      <c r="J906">
        <v>27156</v>
      </c>
      <c r="K906">
        <v>24900</v>
      </c>
      <c r="L906" s="2">
        <v>26.346250000000001</v>
      </c>
      <c r="M906" s="5">
        <v>341.85200000000003</v>
      </c>
      <c r="N906" s="1">
        <v>201.0899</v>
      </c>
      <c r="O906" s="2">
        <v>7.6</v>
      </c>
      <c r="P906">
        <v>111</v>
      </c>
    </row>
    <row r="907" spans="1:16" x14ac:dyDescent="0.35">
      <c r="A907" s="4">
        <v>44470</v>
      </c>
      <c r="B907" t="s">
        <v>19</v>
      </c>
      <c r="C907" t="s">
        <v>15</v>
      </c>
      <c r="D907">
        <v>1</v>
      </c>
      <c r="E907" s="2">
        <v>2600</v>
      </c>
      <c r="F907" s="2">
        <f t="shared" si="139"/>
        <v>2406.3175000000001</v>
      </c>
      <c r="G907" s="3">
        <v>1</v>
      </c>
      <c r="H907">
        <v>2370</v>
      </c>
      <c r="I907">
        <v>2822.2</v>
      </c>
      <c r="J907">
        <v>27156</v>
      </c>
      <c r="K907">
        <v>24900</v>
      </c>
      <c r="L907" s="2">
        <v>26.346250000000001</v>
      </c>
      <c r="M907" s="5">
        <v>341.85200000000003</v>
      </c>
      <c r="N907" s="1">
        <v>201.0899</v>
      </c>
      <c r="O907" s="2">
        <v>7.6</v>
      </c>
      <c r="P907">
        <v>111</v>
      </c>
    </row>
    <row r="908" spans="1:16" x14ac:dyDescent="0.35">
      <c r="A908" s="4">
        <v>44470</v>
      </c>
      <c r="B908" t="s">
        <v>20</v>
      </c>
      <c r="C908" t="s">
        <v>10</v>
      </c>
      <c r="D908">
        <v>1</v>
      </c>
      <c r="E908" s="2">
        <v>1975</v>
      </c>
      <c r="F908" s="2">
        <f t="shared" ref="F908:F913" si="140">(2133.2+2137.8+2141.8+2108.5)/4</f>
        <v>2130.3249999999998</v>
      </c>
      <c r="G908" s="3">
        <v>1</v>
      </c>
      <c r="H908">
        <v>2370</v>
      </c>
      <c r="I908">
        <v>2822.2</v>
      </c>
      <c r="J908">
        <v>27156</v>
      </c>
      <c r="K908">
        <v>24900</v>
      </c>
      <c r="L908" s="2">
        <v>26.346250000000001</v>
      </c>
      <c r="M908" s="5">
        <v>341.85200000000003</v>
      </c>
      <c r="N908" s="1">
        <v>201.0899</v>
      </c>
      <c r="O908" s="2">
        <v>7.6</v>
      </c>
      <c r="P908">
        <v>111</v>
      </c>
    </row>
    <row r="909" spans="1:16" x14ac:dyDescent="0.35">
      <c r="A909" s="4">
        <v>44470</v>
      </c>
      <c r="B909" t="s">
        <v>20</v>
      </c>
      <c r="C909" t="s">
        <v>11</v>
      </c>
      <c r="D909">
        <v>1</v>
      </c>
      <c r="E909" s="2" t="s">
        <v>27</v>
      </c>
      <c r="F909" s="2">
        <f t="shared" si="140"/>
        <v>2130.3249999999998</v>
      </c>
      <c r="G909" s="3">
        <v>1</v>
      </c>
      <c r="H909">
        <v>2370</v>
      </c>
      <c r="I909">
        <v>2822.2</v>
      </c>
      <c r="J909">
        <v>27156</v>
      </c>
      <c r="K909">
        <v>24900</v>
      </c>
      <c r="L909" s="2">
        <v>26.346250000000001</v>
      </c>
      <c r="M909" s="5">
        <v>341.85200000000003</v>
      </c>
      <c r="N909" s="1">
        <v>201.0899</v>
      </c>
      <c r="O909" s="2">
        <v>7.6</v>
      </c>
      <c r="P909">
        <v>111</v>
      </c>
    </row>
    <row r="910" spans="1:16" x14ac:dyDescent="0.35">
      <c r="A910" s="4">
        <v>44470</v>
      </c>
      <c r="B910" t="s">
        <v>20</v>
      </c>
      <c r="C910" t="s">
        <v>12</v>
      </c>
      <c r="D910">
        <v>1</v>
      </c>
      <c r="E910" s="2">
        <v>1925</v>
      </c>
      <c r="F910" s="2">
        <f t="shared" si="140"/>
        <v>2130.3249999999998</v>
      </c>
      <c r="G910" s="3">
        <v>1</v>
      </c>
      <c r="H910">
        <v>2370</v>
      </c>
      <c r="I910">
        <v>2822.2</v>
      </c>
      <c r="J910">
        <v>27156</v>
      </c>
      <c r="K910">
        <v>24900</v>
      </c>
      <c r="L910" s="2">
        <v>26.346250000000001</v>
      </c>
      <c r="M910" s="5">
        <v>341.85200000000003</v>
      </c>
      <c r="N910" s="1">
        <v>201.0899</v>
      </c>
      <c r="O910" s="2">
        <v>7.6</v>
      </c>
      <c r="P910">
        <v>111</v>
      </c>
    </row>
    <row r="911" spans="1:16" x14ac:dyDescent="0.35">
      <c r="A911" s="4">
        <v>44470</v>
      </c>
      <c r="B911" t="s">
        <v>20</v>
      </c>
      <c r="C911" t="s">
        <v>13</v>
      </c>
      <c r="D911">
        <v>1</v>
      </c>
      <c r="E911" s="2">
        <v>2275</v>
      </c>
      <c r="F911" s="2">
        <f t="shared" si="140"/>
        <v>2130.3249999999998</v>
      </c>
      <c r="G911" s="3">
        <v>1</v>
      </c>
      <c r="H911">
        <v>2370</v>
      </c>
      <c r="I911">
        <v>2822.2</v>
      </c>
      <c r="J911">
        <v>27156</v>
      </c>
      <c r="K911">
        <v>24900</v>
      </c>
      <c r="L911" s="2">
        <v>26.346250000000001</v>
      </c>
      <c r="M911" s="5">
        <v>341.85200000000003</v>
      </c>
      <c r="N911" s="1">
        <v>201.0899</v>
      </c>
      <c r="O911" s="2">
        <v>7.6</v>
      </c>
      <c r="P911">
        <v>111</v>
      </c>
    </row>
    <row r="912" spans="1:16" x14ac:dyDescent="0.35">
      <c r="A912" s="4">
        <v>44470</v>
      </c>
      <c r="B912" t="s">
        <v>20</v>
      </c>
      <c r="C912" t="s">
        <v>14</v>
      </c>
      <c r="D912">
        <v>1</v>
      </c>
      <c r="E912" s="2">
        <f>(2296+2284+2264*2)/4</f>
        <v>2277</v>
      </c>
      <c r="F912" s="2">
        <f t="shared" si="140"/>
        <v>2130.3249999999998</v>
      </c>
      <c r="G912" s="3">
        <v>1</v>
      </c>
      <c r="H912">
        <v>2370</v>
      </c>
      <c r="I912">
        <v>2822.2</v>
      </c>
      <c r="J912">
        <v>27156</v>
      </c>
      <c r="K912">
        <v>24900</v>
      </c>
      <c r="L912" s="2">
        <v>26.346250000000001</v>
      </c>
      <c r="M912" s="5">
        <v>341.85200000000003</v>
      </c>
      <c r="N912" s="1">
        <v>201.0899</v>
      </c>
      <c r="O912" s="2">
        <v>7.6</v>
      </c>
      <c r="P912">
        <v>111</v>
      </c>
    </row>
    <row r="913" spans="1:16" x14ac:dyDescent="0.35">
      <c r="A913" s="4">
        <v>44470</v>
      </c>
      <c r="B913" t="s">
        <v>20</v>
      </c>
      <c r="C913" t="s">
        <v>15</v>
      </c>
      <c r="D913">
        <v>1</v>
      </c>
      <c r="E913" s="2">
        <v>2250</v>
      </c>
      <c r="F913" s="2">
        <f t="shared" si="140"/>
        <v>2130.3249999999998</v>
      </c>
      <c r="G913" s="3">
        <v>1</v>
      </c>
      <c r="H913">
        <v>2370</v>
      </c>
      <c r="I913">
        <v>2822.2</v>
      </c>
      <c r="J913">
        <v>27156</v>
      </c>
      <c r="K913">
        <v>24900</v>
      </c>
      <c r="L913" s="2">
        <v>26.346250000000001</v>
      </c>
      <c r="M913" s="5">
        <v>341.85200000000003</v>
      </c>
      <c r="N913" s="1">
        <v>201.0899</v>
      </c>
      <c r="O913" s="2">
        <v>7.6</v>
      </c>
      <c r="P913">
        <v>111</v>
      </c>
    </row>
    <row r="914" spans="1:16" x14ac:dyDescent="0.35">
      <c r="A914" s="4">
        <v>44470</v>
      </c>
      <c r="B914" t="s">
        <v>21</v>
      </c>
      <c r="C914" t="s">
        <v>10</v>
      </c>
      <c r="D914">
        <v>1</v>
      </c>
      <c r="E914" s="2">
        <f>(1800+1816+1850+1900)/4</f>
        <v>1841.5</v>
      </c>
      <c r="F914" s="2">
        <f t="shared" ref="F914:F919" si="141">(2047.8+2043.4+2051.4+2028.5)/4</f>
        <v>2042.7750000000001</v>
      </c>
      <c r="G914" s="3">
        <v>1</v>
      </c>
      <c r="H914">
        <v>2370</v>
      </c>
      <c r="I914">
        <v>2822.2</v>
      </c>
      <c r="J914">
        <v>27156</v>
      </c>
      <c r="K914">
        <v>24900</v>
      </c>
      <c r="L914" s="2">
        <v>26.346250000000001</v>
      </c>
      <c r="M914" s="5">
        <v>341.85200000000003</v>
      </c>
      <c r="N914" s="1">
        <v>201.0899</v>
      </c>
      <c r="O914" s="2">
        <v>7.6</v>
      </c>
      <c r="P914">
        <v>111</v>
      </c>
    </row>
    <row r="915" spans="1:16" x14ac:dyDescent="0.35">
      <c r="A915" s="4">
        <v>44470</v>
      </c>
      <c r="B915" t="s">
        <v>21</v>
      </c>
      <c r="C915" t="s">
        <v>11</v>
      </c>
      <c r="D915">
        <v>1</v>
      </c>
      <c r="E915" s="2" t="s">
        <v>27</v>
      </c>
      <c r="F915" s="2">
        <f t="shared" si="141"/>
        <v>2042.7750000000001</v>
      </c>
      <c r="G915" s="3">
        <v>1</v>
      </c>
      <c r="H915">
        <v>2370</v>
      </c>
      <c r="I915">
        <v>2822.2</v>
      </c>
      <c r="J915">
        <v>27156</v>
      </c>
      <c r="K915">
        <v>24900</v>
      </c>
      <c r="L915" s="2">
        <v>26.346250000000001</v>
      </c>
      <c r="M915" s="5">
        <v>341.85200000000003</v>
      </c>
      <c r="N915" s="1">
        <v>201.0899</v>
      </c>
      <c r="O915" s="2">
        <v>7.6</v>
      </c>
      <c r="P915">
        <v>111</v>
      </c>
    </row>
    <row r="916" spans="1:16" x14ac:dyDescent="0.35">
      <c r="A916" s="4">
        <v>44470</v>
      </c>
      <c r="B916" t="s">
        <v>21</v>
      </c>
      <c r="C916" t="s">
        <v>12</v>
      </c>
      <c r="D916">
        <v>1</v>
      </c>
      <c r="E916" s="2">
        <v>1800</v>
      </c>
      <c r="F916" s="2">
        <f t="shared" si="141"/>
        <v>2042.7750000000001</v>
      </c>
      <c r="G916" s="3">
        <v>1</v>
      </c>
      <c r="H916">
        <v>2370</v>
      </c>
      <c r="I916">
        <v>2822.2</v>
      </c>
      <c r="J916">
        <v>27156</v>
      </c>
      <c r="K916">
        <v>24900</v>
      </c>
      <c r="L916" s="2">
        <v>26.346250000000001</v>
      </c>
      <c r="M916" s="5">
        <v>341.85200000000003</v>
      </c>
      <c r="N916" s="1">
        <v>201.0899</v>
      </c>
      <c r="O916" s="2">
        <v>7.6</v>
      </c>
      <c r="P916">
        <v>111</v>
      </c>
    </row>
    <row r="917" spans="1:16" x14ac:dyDescent="0.35">
      <c r="A917" s="4">
        <v>44470</v>
      </c>
      <c r="B917" t="s">
        <v>21</v>
      </c>
      <c r="C917" t="s">
        <v>13</v>
      </c>
      <c r="D917">
        <v>1</v>
      </c>
      <c r="E917" s="2">
        <v>2218.67</v>
      </c>
      <c r="F917" s="2">
        <f t="shared" si="141"/>
        <v>2042.7750000000001</v>
      </c>
      <c r="G917" s="3">
        <v>1</v>
      </c>
      <c r="H917">
        <v>2370</v>
      </c>
      <c r="I917">
        <v>2822.2</v>
      </c>
      <c r="J917">
        <v>27156</v>
      </c>
      <c r="K917">
        <v>24900</v>
      </c>
      <c r="L917" s="2">
        <v>26.346250000000001</v>
      </c>
      <c r="M917" s="5">
        <v>341.85200000000003</v>
      </c>
      <c r="N917" s="1">
        <v>201.0899</v>
      </c>
      <c r="O917" s="2">
        <v>7.6</v>
      </c>
      <c r="P917">
        <v>111</v>
      </c>
    </row>
    <row r="918" spans="1:16" x14ac:dyDescent="0.35">
      <c r="A918" s="4">
        <v>44470</v>
      </c>
      <c r="B918" t="s">
        <v>21</v>
      </c>
      <c r="C918" t="s">
        <v>14</v>
      </c>
      <c r="D918">
        <v>1</v>
      </c>
      <c r="E918" s="2">
        <f>(2203+2217+2207+2214)/4</f>
        <v>2210.25</v>
      </c>
      <c r="F918" s="2">
        <f t="shared" si="141"/>
        <v>2042.7750000000001</v>
      </c>
      <c r="G918" s="3">
        <v>1</v>
      </c>
      <c r="H918">
        <v>2370</v>
      </c>
      <c r="I918">
        <v>2822.2</v>
      </c>
      <c r="J918">
        <v>27156</v>
      </c>
      <c r="K918">
        <v>24900</v>
      </c>
      <c r="L918" s="2">
        <v>26.346250000000001</v>
      </c>
      <c r="M918" s="5">
        <v>341.85200000000003</v>
      </c>
      <c r="N918" s="1">
        <v>201.0899</v>
      </c>
      <c r="O918" s="2">
        <v>7.6</v>
      </c>
      <c r="P918">
        <v>111</v>
      </c>
    </row>
    <row r="919" spans="1:16" x14ac:dyDescent="0.35">
      <c r="A919" s="4">
        <v>44470</v>
      </c>
      <c r="B919" t="s">
        <v>21</v>
      </c>
      <c r="C919" t="s">
        <v>15</v>
      </c>
      <c r="D919">
        <v>1</v>
      </c>
      <c r="E919" s="2">
        <v>2200</v>
      </c>
      <c r="F919" s="2">
        <f t="shared" si="141"/>
        <v>2042.7750000000001</v>
      </c>
      <c r="G919" s="3">
        <v>1</v>
      </c>
      <c r="H919">
        <v>2370</v>
      </c>
      <c r="I919">
        <v>2822.2</v>
      </c>
      <c r="J919">
        <v>27156</v>
      </c>
      <c r="K919">
        <v>24900</v>
      </c>
      <c r="L919" s="2">
        <v>26.346250000000001</v>
      </c>
      <c r="M919" s="5">
        <v>341.85200000000003</v>
      </c>
      <c r="N919" s="1">
        <v>201.0899</v>
      </c>
      <c r="O919" s="2">
        <v>7.6</v>
      </c>
      <c r="P919">
        <v>111</v>
      </c>
    </row>
    <row r="920" spans="1:16" x14ac:dyDescent="0.35">
      <c r="A920" s="4">
        <v>44470</v>
      </c>
      <c r="B920" t="s">
        <v>22</v>
      </c>
      <c r="C920" t="s">
        <v>10</v>
      </c>
      <c r="D920">
        <v>0</v>
      </c>
      <c r="E920" s="2" t="s">
        <v>27</v>
      </c>
      <c r="F920" s="2">
        <f t="shared" ref="F920:F925" si="142">(1950+1910+1890+1870)/4</f>
        <v>1905</v>
      </c>
      <c r="G920" s="3">
        <v>1</v>
      </c>
      <c r="H920">
        <v>2370</v>
      </c>
      <c r="I920">
        <v>2822.2</v>
      </c>
      <c r="J920">
        <v>27156</v>
      </c>
      <c r="K920">
        <v>24900</v>
      </c>
      <c r="L920" s="2">
        <v>26.346250000000001</v>
      </c>
      <c r="M920" s="5">
        <v>341.85200000000003</v>
      </c>
      <c r="N920" s="1">
        <v>201.0899</v>
      </c>
      <c r="O920" s="2">
        <v>7.6</v>
      </c>
      <c r="P920">
        <v>111</v>
      </c>
    </row>
    <row r="921" spans="1:16" x14ac:dyDescent="0.35">
      <c r="A921" s="4">
        <v>44470</v>
      </c>
      <c r="B921" t="s">
        <v>22</v>
      </c>
      <c r="C921" t="s">
        <v>11</v>
      </c>
      <c r="D921">
        <v>0</v>
      </c>
      <c r="E921" s="2" t="s">
        <v>27</v>
      </c>
      <c r="F921" s="2">
        <f t="shared" si="142"/>
        <v>1905</v>
      </c>
      <c r="G921" s="3">
        <v>1</v>
      </c>
      <c r="H921">
        <v>2370</v>
      </c>
      <c r="I921">
        <v>2822.2</v>
      </c>
      <c r="J921">
        <v>27156</v>
      </c>
      <c r="K921">
        <v>24900</v>
      </c>
      <c r="L921" s="2">
        <v>26.346250000000001</v>
      </c>
      <c r="M921" s="5">
        <v>341.85200000000003</v>
      </c>
      <c r="N921" s="1">
        <v>201.0899</v>
      </c>
      <c r="O921" s="2">
        <v>7.6</v>
      </c>
      <c r="P921">
        <v>111</v>
      </c>
    </row>
    <row r="922" spans="1:16" x14ac:dyDescent="0.35">
      <c r="A922" s="4">
        <v>44470</v>
      </c>
      <c r="B922" t="s">
        <v>22</v>
      </c>
      <c r="C922" t="s">
        <v>12</v>
      </c>
      <c r="D922">
        <v>0</v>
      </c>
      <c r="E922" s="2" t="s">
        <v>27</v>
      </c>
      <c r="F922" s="2">
        <f t="shared" si="142"/>
        <v>1905</v>
      </c>
      <c r="G922" s="3">
        <v>1</v>
      </c>
      <c r="H922">
        <v>2370</v>
      </c>
      <c r="I922">
        <v>2822.2</v>
      </c>
      <c r="J922">
        <v>27156</v>
      </c>
      <c r="K922">
        <v>24900</v>
      </c>
      <c r="L922" s="2">
        <v>26.346250000000001</v>
      </c>
      <c r="M922" s="5">
        <v>341.85200000000003</v>
      </c>
      <c r="N922" s="1">
        <v>201.0899</v>
      </c>
      <c r="O922" s="2">
        <v>7.6</v>
      </c>
      <c r="P922">
        <v>111</v>
      </c>
    </row>
    <row r="923" spans="1:16" x14ac:dyDescent="0.35">
      <c r="A923" s="4">
        <v>44470</v>
      </c>
      <c r="B923" t="s">
        <v>22</v>
      </c>
      <c r="C923" t="s">
        <v>13</v>
      </c>
      <c r="D923">
        <v>0</v>
      </c>
      <c r="E923" s="2" t="s">
        <v>27</v>
      </c>
      <c r="F923" s="2">
        <f t="shared" si="142"/>
        <v>1905</v>
      </c>
      <c r="G923" s="3">
        <v>1</v>
      </c>
      <c r="H923">
        <v>2370</v>
      </c>
      <c r="I923">
        <v>2822.2</v>
      </c>
      <c r="J923">
        <v>27156</v>
      </c>
      <c r="K923">
        <v>24900</v>
      </c>
      <c r="L923" s="2">
        <v>26.346250000000001</v>
      </c>
      <c r="M923" s="5">
        <v>341.85200000000003</v>
      </c>
      <c r="N923" s="1">
        <v>201.0899</v>
      </c>
      <c r="O923" s="2">
        <v>7.6</v>
      </c>
      <c r="P923">
        <v>111</v>
      </c>
    </row>
    <row r="924" spans="1:16" x14ac:dyDescent="0.35">
      <c r="A924" s="4">
        <v>44470</v>
      </c>
      <c r="B924" t="s">
        <v>22</v>
      </c>
      <c r="C924" t="s">
        <v>14</v>
      </c>
      <c r="D924">
        <v>1</v>
      </c>
      <c r="E924" s="2">
        <f>(1950+1910+1890+1870)/4</f>
        <v>1905</v>
      </c>
      <c r="F924" s="2">
        <f t="shared" si="142"/>
        <v>1905</v>
      </c>
      <c r="G924" s="3">
        <v>1</v>
      </c>
      <c r="H924">
        <v>2370</v>
      </c>
      <c r="I924">
        <v>2822.2</v>
      </c>
      <c r="J924">
        <v>27156</v>
      </c>
      <c r="K924">
        <v>24900</v>
      </c>
      <c r="L924" s="2">
        <v>26.346250000000001</v>
      </c>
      <c r="M924" s="5">
        <v>341.85200000000003</v>
      </c>
      <c r="N924" s="1">
        <v>201.0899</v>
      </c>
      <c r="O924" s="2">
        <v>7.6</v>
      </c>
      <c r="P924">
        <v>111</v>
      </c>
    </row>
    <row r="925" spans="1:16" x14ac:dyDescent="0.35">
      <c r="A925" s="4">
        <v>44470</v>
      </c>
      <c r="B925" t="s">
        <v>22</v>
      </c>
      <c r="C925" t="s">
        <v>15</v>
      </c>
      <c r="D925">
        <v>0</v>
      </c>
      <c r="E925" s="2" t="s">
        <v>27</v>
      </c>
      <c r="F925" s="2">
        <f t="shared" si="142"/>
        <v>1905</v>
      </c>
      <c r="G925" s="3">
        <v>1</v>
      </c>
      <c r="H925">
        <v>2370</v>
      </c>
      <c r="I925">
        <v>2822.2</v>
      </c>
      <c r="J925">
        <v>27156</v>
      </c>
      <c r="K925">
        <v>24900</v>
      </c>
      <c r="L925" s="2">
        <v>26.346250000000001</v>
      </c>
      <c r="M925" s="5">
        <v>341.85200000000003</v>
      </c>
      <c r="N925" s="1">
        <v>201.0899</v>
      </c>
      <c r="O925" s="2">
        <v>7.6</v>
      </c>
      <c r="P925">
        <v>111</v>
      </c>
    </row>
    <row r="926" spans="1:16" x14ac:dyDescent="0.35">
      <c r="A926" s="4">
        <v>44501</v>
      </c>
      <c r="B926" t="s">
        <v>16</v>
      </c>
      <c r="C926" t="s">
        <v>10</v>
      </c>
      <c r="D926">
        <v>1</v>
      </c>
      <c r="E926" s="2">
        <f>(3200+3100+3133+3100+3200)/5</f>
        <v>3146.6</v>
      </c>
      <c r="F926" s="2">
        <f t="shared" ref="F926:F931" si="143">(3303.25+3271.25+3280.75+3271.25+3287.5)/5</f>
        <v>3282.8</v>
      </c>
      <c r="G926" s="3">
        <v>1</v>
      </c>
      <c r="H926">
        <v>3555</v>
      </c>
      <c r="I926">
        <v>1693.3</v>
      </c>
      <c r="J926">
        <v>24900</v>
      </c>
      <c r="K926">
        <v>29880</v>
      </c>
      <c r="L926" s="2">
        <v>25.869374999999998</v>
      </c>
      <c r="M926" s="5">
        <v>470.62900000000002</v>
      </c>
      <c r="N926" s="1">
        <v>201.85820000000001</v>
      </c>
      <c r="O926" s="2">
        <v>9.9</v>
      </c>
      <c r="P926">
        <v>111</v>
      </c>
    </row>
    <row r="927" spans="1:16" x14ac:dyDescent="0.35">
      <c r="A927" s="4">
        <v>44501</v>
      </c>
      <c r="B927" t="s">
        <v>16</v>
      </c>
      <c r="C927" t="s">
        <v>11</v>
      </c>
      <c r="D927">
        <v>0</v>
      </c>
      <c r="E927" s="2" t="s">
        <v>27</v>
      </c>
      <c r="F927" s="2">
        <f t="shared" si="143"/>
        <v>3282.8</v>
      </c>
      <c r="G927" s="3">
        <v>1</v>
      </c>
      <c r="H927">
        <v>3555</v>
      </c>
      <c r="I927">
        <v>1693.3</v>
      </c>
      <c r="J927">
        <v>24900</v>
      </c>
      <c r="K927">
        <v>29880</v>
      </c>
      <c r="L927" s="2">
        <v>25.869374999999998</v>
      </c>
      <c r="M927" s="5">
        <v>470.62900000000002</v>
      </c>
      <c r="N927" s="1">
        <v>201.85820000000001</v>
      </c>
      <c r="O927" s="2">
        <v>9.9</v>
      </c>
      <c r="P927">
        <v>111</v>
      </c>
    </row>
    <row r="928" spans="1:16" x14ac:dyDescent="0.35">
      <c r="A928" s="4">
        <v>44501</v>
      </c>
      <c r="B928" t="s">
        <v>16</v>
      </c>
      <c r="C928" t="s">
        <v>12</v>
      </c>
      <c r="D928">
        <v>1</v>
      </c>
      <c r="E928" s="2">
        <f>(3150+3135+3140+3135+3150)/5</f>
        <v>3142</v>
      </c>
      <c r="F928" s="2">
        <f t="shared" si="143"/>
        <v>3282.8</v>
      </c>
      <c r="G928" s="3">
        <v>1</v>
      </c>
      <c r="H928">
        <v>3555</v>
      </c>
      <c r="I928">
        <v>1693.3</v>
      </c>
      <c r="J928">
        <v>24900</v>
      </c>
      <c r="K928">
        <v>29880</v>
      </c>
      <c r="L928" s="2">
        <v>25.869374999999998</v>
      </c>
      <c r="M928" s="5">
        <v>470.62900000000002</v>
      </c>
      <c r="N928" s="1">
        <v>201.85820000000001</v>
      </c>
      <c r="O928" s="2">
        <v>9.9</v>
      </c>
      <c r="P928">
        <v>111</v>
      </c>
    </row>
    <row r="929" spans="1:16" x14ac:dyDescent="0.35">
      <c r="A929" s="4">
        <v>44501</v>
      </c>
      <c r="B929" t="s">
        <v>16</v>
      </c>
      <c r="C929" t="s">
        <v>13</v>
      </c>
      <c r="D929">
        <v>1</v>
      </c>
      <c r="E929" s="2">
        <v>3350</v>
      </c>
      <c r="F929" s="2">
        <f t="shared" si="143"/>
        <v>3282.8</v>
      </c>
      <c r="G929" s="3">
        <v>1</v>
      </c>
      <c r="H929">
        <v>3555</v>
      </c>
      <c r="I929">
        <v>1693.3</v>
      </c>
      <c r="J929">
        <v>24900</v>
      </c>
      <c r="K929">
        <v>29880</v>
      </c>
      <c r="L929" s="2">
        <v>25.869374999999998</v>
      </c>
      <c r="M929" s="5">
        <v>470.62900000000002</v>
      </c>
      <c r="N929" s="1">
        <v>201.85820000000001</v>
      </c>
      <c r="O929" s="2">
        <v>9.9</v>
      </c>
      <c r="P929">
        <v>111</v>
      </c>
    </row>
    <row r="930" spans="1:16" x14ac:dyDescent="0.35">
      <c r="A930" s="4">
        <v>44501</v>
      </c>
      <c r="B930" t="s">
        <v>16</v>
      </c>
      <c r="C930" t="s">
        <v>14</v>
      </c>
      <c r="D930">
        <v>1</v>
      </c>
      <c r="E930" s="2">
        <f>(3450+3500*3+3513)/5</f>
        <v>3492.6</v>
      </c>
      <c r="F930" s="2">
        <f t="shared" si="143"/>
        <v>3282.8</v>
      </c>
      <c r="G930" s="3">
        <v>1</v>
      </c>
      <c r="H930">
        <v>3555</v>
      </c>
      <c r="I930">
        <v>1693.3</v>
      </c>
      <c r="J930">
        <v>24900</v>
      </c>
      <c r="K930">
        <v>29880</v>
      </c>
      <c r="L930" s="2">
        <v>25.869374999999998</v>
      </c>
      <c r="M930" s="5">
        <v>470.62900000000002</v>
      </c>
      <c r="N930" s="1">
        <v>201.85820000000001</v>
      </c>
      <c r="O930" s="2">
        <v>9.9</v>
      </c>
      <c r="P930">
        <v>111</v>
      </c>
    </row>
    <row r="931" spans="1:16" x14ac:dyDescent="0.35">
      <c r="A931" s="4">
        <v>44501</v>
      </c>
      <c r="B931" t="s">
        <v>16</v>
      </c>
      <c r="C931" t="s">
        <v>15</v>
      </c>
      <c r="D931">
        <v>0</v>
      </c>
      <c r="E931" s="2" t="s">
        <v>27</v>
      </c>
      <c r="F931" s="2">
        <f t="shared" si="143"/>
        <v>3282.8</v>
      </c>
      <c r="G931" s="3">
        <v>1</v>
      </c>
      <c r="H931">
        <v>3555</v>
      </c>
      <c r="I931">
        <v>1693.3</v>
      </c>
      <c r="J931">
        <v>24900</v>
      </c>
      <c r="K931">
        <v>29880</v>
      </c>
      <c r="L931" s="2">
        <v>25.869374999999998</v>
      </c>
      <c r="M931" s="5">
        <v>470.62900000000002</v>
      </c>
      <c r="N931" s="1">
        <v>201.85820000000001</v>
      </c>
      <c r="O931" s="2">
        <v>9.9</v>
      </c>
      <c r="P931">
        <v>111</v>
      </c>
    </row>
    <row r="932" spans="1:16" x14ac:dyDescent="0.35">
      <c r="A932" s="4">
        <v>44501</v>
      </c>
      <c r="B932" t="s">
        <v>17</v>
      </c>
      <c r="C932" t="s">
        <v>10</v>
      </c>
      <c r="D932">
        <v>1</v>
      </c>
      <c r="E932" s="2">
        <f>(2883+2870+2850+2900+2966)/5</f>
        <v>2893.8</v>
      </c>
      <c r="F932" s="2">
        <f t="shared" ref="F932:F937" si="144">(2860.2+2847+2880.4+2902.6+2930.2)/5</f>
        <v>2884.0800000000004</v>
      </c>
      <c r="G932" s="3">
        <v>1</v>
      </c>
      <c r="H932">
        <v>3555</v>
      </c>
      <c r="I932">
        <v>1693.3</v>
      </c>
      <c r="J932">
        <v>24900</v>
      </c>
      <c r="K932">
        <v>29880</v>
      </c>
      <c r="L932" s="2">
        <v>25.869374999999998</v>
      </c>
      <c r="M932" s="5">
        <v>470.62900000000002</v>
      </c>
      <c r="N932" s="1">
        <v>201.85820000000001</v>
      </c>
      <c r="O932" s="2">
        <v>9.9</v>
      </c>
      <c r="P932">
        <v>111</v>
      </c>
    </row>
    <row r="933" spans="1:16" x14ac:dyDescent="0.35">
      <c r="A933" s="4">
        <v>44501</v>
      </c>
      <c r="B933" t="s">
        <v>17</v>
      </c>
      <c r="C933" t="s">
        <v>11</v>
      </c>
      <c r="D933">
        <v>1</v>
      </c>
      <c r="E933" s="2">
        <f>(2900*2+3100+3200*2)/5</f>
        <v>3060</v>
      </c>
      <c r="F933" s="2">
        <f t="shared" si="144"/>
        <v>2884.0800000000004</v>
      </c>
      <c r="G933" s="3">
        <v>1</v>
      </c>
      <c r="H933">
        <v>3555</v>
      </c>
      <c r="I933">
        <v>1693.3</v>
      </c>
      <c r="J933">
        <v>24900</v>
      </c>
      <c r="K933">
        <v>29880</v>
      </c>
      <c r="L933" s="2">
        <v>25.869374999999998</v>
      </c>
      <c r="M933" s="5">
        <v>470.62900000000002</v>
      </c>
      <c r="N933" s="1">
        <v>201.85820000000001</v>
      </c>
      <c r="O933" s="2">
        <v>9.9</v>
      </c>
      <c r="P933">
        <v>111</v>
      </c>
    </row>
    <row r="934" spans="1:16" x14ac:dyDescent="0.35">
      <c r="A934" s="4">
        <v>44501</v>
      </c>
      <c r="B934" t="s">
        <v>17</v>
      </c>
      <c r="C934" t="s">
        <v>12</v>
      </c>
      <c r="D934">
        <v>1</v>
      </c>
      <c r="E934" s="2">
        <v>2720</v>
      </c>
      <c r="F934" s="2">
        <f t="shared" si="144"/>
        <v>2884.0800000000004</v>
      </c>
      <c r="G934" s="3">
        <v>1</v>
      </c>
      <c r="H934">
        <v>3555</v>
      </c>
      <c r="I934">
        <v>1693.3</v>
      </c>
      <c r="J934">
        <v>24900</v>
      </c>
      <c r="K934">
        <v>29880</v>
      </c>
      <c r="L934" s="2">
        <v>25.869374999999998</v>
      </c>
      <c r="M934" s="5">
        <v>470.62900000000002</v>
      </c>
      <c r="N934" s="1">
        <v>201.85820000000001</v>
      </c>
      <c r="O934" s="2">
        <v>9.9</v>
      </c>
      <c r="P934">
        <v>111</v>
      </c>
    </row>
    <row r="935" spans="1:16" x14ac:dyDescent="0.35">
      <c r="A935" s="4">
        <v>44501</v>
      </c>
      <c r="B935" t="s">
        <v>17</v>
      </c>
      <c r="C935" t="s">
        <v>13</v>
      </c>
      <c r="D935">
        <v>1</v>
      </c>
      <c r="E935" s="2">
        <v>2770</v>
      </c>
      <c r="F935" s="2">
        <f t="shared" si="144"/>
        <v>2884.0800000000004</v>
      </c>
      <c r="G935" s="3">
        <v>1</v>
      </c>
      <c r="H935">
        <v>3555</v>
      </c>
      <c r="I935">
        <v>1693.3</v>
      </c>
      <c r="J935">
        <v>24900</v>
      </c>
      <c r="K935">
        <v>29880</v>
      </c>
      <c r="L935" s="2">
        <v>25.869374999999998</v>
      </c>
      <c r="M935" s="5">
        <v>470.62900000000002</v>
      </c>
      <c r="N935" s="1">
        <v>201.85820000000001</v>
      </c>
      <c r="O935" s="2">
        <v>9.9</v>
      </c>
      <c r="P935">
        <v>111</v>
      </c>
    </row>
    <row r="936" spans="1:16" x14ac:dyDescent="0.35">
      <c r="A936" s="4">
        <v>44501</v>
      </c>
      <c r="B936" t="s">
        <v>17</v>
      </c>
      <c r="C936" t="s">
        <v>14</v>
      </c>
      <c r="D936">
        <v>1</v>
      </c>
      <c r="E936" s="2">
        <f>(3033+2933+2917+3100+2900)/5</f>
        <v>2976.6</v>
      </c>
      <c r="F936" s="2">
        <f t="shared" si="144"/>
        <v>2884.0800000000004</v>
      </c>
      <c r="G936" s="3">
        <v>1</v>
      </c>
      <c r="H936">
        <v>3555</v>
      </c>
      <c r="I936">
        <v>1693.3</v>
      </c>
      <c r="J936">
        <v>24900</v>
      </c>
      <c r="K936">
        <v>29880</v>
      </c>
      <c r="L936" s="2">
        <v>25.869374999999998</v>
      </c>
      <c r="M936" s="5">
        <v>470.62900000000002</v>
      </c>
      <c r="N936" s="1">
        <v>201.85820000000001</v>
      </c>
      <c r="O936" s="2">
        <v>9.9</v>
      </c>
      <c r="P936">
        <v>111</v>
      </c>
    </row>
    <row r="937" spans="1:16" x14ac:dyDescent="0.35">
      <c r="A937" s="4">
        <v>44501</v>
      </c>
      <c r="B937" t="s">
        <v>17</v>
      </c>
      <c r="C937" t="s">
        <v>15</v>
      </c>
      <c r="D937">
        <v>0</v>
      </c>
      <c r="E937" s="2" t="s">
        <v>27</v>
      </c>
      <c r="F937" s="2">
        <f t="shared" si="144"/>
        <v>2884.0800000000004</v>
      </c>
      <c r="G937" s="3">
        <v>1</v>
      </c>
      <c r="H937">
        <v>3555</v>
      </c>
      <c r="I937">
        <v>1693.3</v>
      </c>
      <c r="J937">
        <v>24900</v>
      </c>
      <c r="K937">
        <v>29880</v>
      </c>
      <c r="L937" s="2">
        <v>25.869374999999998</v>
      </c>
      <c r="M937" s="5">
        <v>470.62900000000002</v>
      </c>
      <c r="N937" s="1">
        <v>201.85820000000001</v>
      </c>
      <c r="O937" s="2">
        <v>9.9</v>
      </c>
      <c r="P937">
        <v>111</v>
      </c>
    </row>
    <row r="938" spans="1:16" x14ac:dyDescent="0.35">
      <c r="A938" s="4">
        <v>44501</v>
      </c>
      <c r="B938" t="s">
        <v>18</v>
      </c>
      <c r="C938" t="s">
        <v>10</v>
      </c>
      <c r="D938">
        <v>1</v>
      </c>
      <c r="E938" s="2">
        <f>(2716*2+2700+2750+2775)/5</f>
        <v>2731.4</v>
      </c>
      <c r="F938" s="2">
        <f t="shared" ref="F938:F943" si="145">(2630+2648.14+2650+2642.14+2650.43)/5</f>
        <v>2644.1419999999998</v>
      </c>
      <c r="G938" s="3">
        <v>1</v>
      </c>
      <c r="H938">
        <v>3555</v>
      </c>
      <c r="I938">
        <v>1693.3</v>
      </c>
      <c r="J938">
        <v>24900</v>
      </c>
      <c r="K938">
        <v>29880</v>
      </c>
      <c r="L938" s="2">
        <v>25.869374999999998</v>
      </c>
      <c r="M938" s="5">
        <v>470.62900000000002</v>
      </c>
      <c r="N938" s="1">
        <v>201.85820000000001</v>
      </c>
      <c r="O938" s="2">
        <v>9.9</v>
      </c>
      <c r="P938">
        <v>111</v>
      </c>
    </row>
    <row r="939" spans="1:16" x14ac:dyDescent="0.35">
      <c r="A939" s="4">
        <v>44501</v>
      </c>
      <c r="B939" t="s">
        <v>18</v>
      </c>
      <c r="C939" t="s">
        <v>11</v>
      </c>
      <c r="D939">
        <v>1</v>
      </c>
      <c r="E939" s="2">
        <v>2820</v>
      </c>
      <c r="F939" s="2">
        <f t="shared" si="145"/>
        <v>2644.1419999999998</v>
      </c>
      <c r="G939" s="3">
        <v>1</v>
      </c>
      <c r="H939">
        <v>3555</v>
      </c>
      <c r="I939">
        <v>1693.3</v>
      </c>
      <c r="J939">
        <v>24900</v>
      </c>
      <c r="K939">
        <v>29880</v>
      </c>
      <c r="L939" s="2">
        <v>25.869374999999998</v>
      </c>
      <c r="M939" s="5">
        <v>470.62900000000002</v>
      </c>
      <c r="N939" s="1">
        <v>201.85820000000001</v>
      </c>
      <c r="O939" s="2">
        <v>9.9</v>
      </c>
      <c r="P939">
        <v>111</v>
      </c>
    </row>
    <row r="940" spans="1:16" x14ac:dyDescent="0.35">
      <c r="A940" s="4">
        <v>44501</v>
      </c>
      <c r="B940" t="s">
        <v>18</v>
      </c>
      <c r="C940" t="s">
        <v>12</v>
      </c>
      <c r="D940">
        <v>1</v>
      </c>
      <c r="E940" s="2">
        <v>2595</v>
      </c>
      <c r="F940" s="2">
        <f t="shared" si="145"/>
        <v>2644.1419999999998</v>
      </c>
      <c r="G940" s="3">
        <v>1</v>
      </c>
      <c r="H940">
        <v>3555</v>
      </c>
      <c r="I940">
        <v>1693.3</v>
      </c>
      <c r="J940">
        <v>24900</v>
      </c>
      <c r="K940">
        <v>29880</v>
      </c>
      <c r="L940" s="2">
        <v>25.869374999999998</v>
      </c>
      <c r="M940" s="5">
        <v>470.62900000000002</v>
      </c>
      <c r="N940" s="1">
        <v>201.85820000000001</v>
      </c>
      <c r="O940" s="2">
        <v>9.9</v>
      </c>
      <c r="P940">
        <v>111</v>
      </c>
    </row>
    <row r="941" spans="1:16" x14ac:dyDescent="0.35">
      <c r="A941" s="4">
        <v>44501</v>
      </c>
      <c r="B941" t="s">
        <v>18</v>
      </c>
      <c r="C941" t="s">
        <v>13</v>
      </c>
      <c r="D941">
        <v>1</v>
      </c>
      <c r="E941" s="2">
        <v>2675</v>
      </c>
      <c r="F941" s="2">
        <f t="shared" si="145"/>
        <v>2644.1419999999998</v>
      </c>
      <c r="G941" s="3">
        <v>1</v>
      </c>
      <c r="H941">
        <v>3555</v>
      </c>
      <c r="I941">
        <v>1693.3</v>
      </c>
      <c r="J941">
        <v>24900</v>
      </c>
      <c r="K941">
        <v>29880</v>
      </c>
      <c r="L941" s="2">
        <v>25.869374999999998</v>
      </c>
      <c r="M941" s="5">
        <v>470.62900000000002</v>
      </c>
      <c r="N941" s="1">
        <v>201.85820000000001</v>
      </c>
      <c r="O941" s="2">
        <v>9.9</v>
      </c>
      <c r="P941">
        <v>111</v>
      </c>
    </row>
    <row r="942" spans="1:16" x14ac:dyDescent="0.35">
      <c r="A942" s="4">
        <v>44501</v>
      </c>
      <c r="B942" t="s">
        <v>18</v>
      </c>
      <c r="C942" t="s">
        <v>14</v>
      </c>
      <c r="D942">
        <v>1</v>
      </c>
      <c r="E942" s="2">
        <f>(2700+2817+2700+2717+2750)/5</f>
        <v>2736.8</v>
      </c>
      <c r="F942" s="2">
        <f t="shared" si="145"/>
        <v>2644.1419999999998</v>
      </c>
      <c r="G942" s="3">
        <v>1</v>
      </c>
      <c r="H942">
        <v>3555</v>
      </c>
      <c r="I942">
        <v>1693.3</v>
      </c>
      <c r="J942">
        <v>24900</v>
      </c>
      <c r="K942">
        <v>29880</v>
      </c>
      <c r="L942" s="2">
        <v>25.869374999999998</v>
      </c>
      <c r="M942" s="5">
        <v>470.62900000000002</v>
      </c>
      <c r="N942" s="1">
        <v>201.85820000000001</v>
      </c>
      <c r="O942" s="2">
        <v>9.9</v>
      </c>
      <c r="P942">
        <v>111</v>
      </c>
    </row>
    <row r="943" spans="1:16" x14ac:dyDescent="0.35">
      <c r="A943" s="4">
        <v>44501</v>
      </c>
      <c r="B943" t="s">
        <v>18</v>
      </c>
      <c r="C943" t="s">
        <v>15</v>
      </c>
      <c r="D943">
        <v>1</v>
      </c>
      <c r="E943" s="2">
        <v>2700</v>
      </c>
      <c r="F943" s="2">
        <f t="shared" si="145"/>
        <v>2644.1419999999998</v>
      </c>
      <c r="G943" s="3">
        <v>1</v>
      </c>
      <c r="H943">
        <v>3555</v>
      </c>
      <c r="I943">
        <v>1693.3</v>
      </c>
      <c r="J943">
        <v>24900</v>
      </c>
      <c r="K943">
        <v>29880</v>
      </c>
      <c r="L943" s="2">
        <v>25.869374999999998</v>
      </c>
      <c r="M943" s="5">
        <v>470.62900000000002</v>
      </c>
      <c r="N943" s="1">
        <v>201.85820000000001</v>
      </c>
      <c r="O943" s="2">
        <v>9.9</v>
      </c>
      <c r="P943">
        <v>111</v>
      </c>
    </row>
    <row r="944" spans="1:16" x14ac:dyDescent="0.35">
      <c r="A944" s="4">
        <v>44501</v>
      </c>
      <c r="B944" t="s">
        <v>19</v>
      </c>
      <c r="C944" t="s">
        <v>10</v>
      </c>
      <c r="D944">
        <v>1</v>
      </c>
      <c r="E944" s="2">
        <f>(2663+2580+2566+2616+2500)/5</f>
        <v>2585</v>
      </c>
      <c r="F944" s="2">
        <f t="shared" ref="F944:F949" si="146">(2470.71+2478+2488.29+2502.57+2476.29)/5</f>
        <v>2483.172</v>
      </c>
      <c r="G944" s="3">
        <v>1</v>
      </c>
      <c r="H944">
        <v>3555</v>
      </c>
      <c r="I944">
        <v>1693.3</v>
      </c>
      <c r="J944">
        <v>24900</v>
      </c>
      <c r="K944">
        <v>29880</v>
      </c>
      <c r="L944" s="2">
        <v>25.869374999999998</v>
      </c>
      <c r="M944" s="5">
        <v>470.62900000000002</v>
      </c>
      <c r="N944" s="1">
        <v>201.85820000000001</v>
      </c>
      <c r="O944" s="2">
        <v>9.9</v>
      </c>
      <c r="P944">
        <v>111</v>
      </c>
    </row>
    <row r="945" spans="1:16" x14ac:dyDescent="0.35">
      <c r="A945" s="4">
        <v>44501</v>
      </c>
      <c r="B945" t="s">
        <v>19</v>
      </c>
      <c r="C945" t="s">
        <v>11</v>
      </c>
      <c r="D945">
        <v>1</v>
      </c>
      <c r="E945" s="2">
        <v>2630</v>
      </c>
      <c r="F945" s="2">
        <f t="shared" si="146"/>
        <v>2483.172</v>
      </c>
      <c r="G945" s="3">
        <v>1</v>
      </c>
      <c r="H945">
        <v>3555</v>
      </c>
      <c r="I945">
        <v>1693.3</v>
      </c>
      <c r="J945">
        <v>24900</v>
      </c>
      <c r="K945">
        <v>29880</v>
      </c>
      <c r="L945" s="2">
        <v>25.869374999999998</v>
      </c>
      <c r="M945" s="5">
        <v>470.62900000000002</v>
      </c>
      <c r="N945" s="1">
        <v>201.85820000000001</v>
      </c>
      <c r="O945" s="2">
        <v>9.9</v>
      </c>
      <c r="P945">
        <v>111</v>
      </c>
    </row>
    <row r="946" spans="1:16" x14ac:dyDescent="0.35">
      <c r="A946" s="4">
        <v>44501</v>
      </c>
      <c r="B946" t="s">
        <v>19</v>
      </c>
      <c r="C946" t="s">
        <v>12</v>
      </c>
      <c r="D946">
        <v>1</v>
      </c>
      <c r="E946" s="2">
        <v>2470</v>
      </c>
      <c r="F946" s="2">
        <f t="shared" si="146"/>
        <v>2483.172</v>
      </c>
      <c r="G946" s="3">
        <v>1</v>
      </c>
      <c r="H946">
        <v>3555</v>
      </c>
      <c r="I946">
        <v>1693.3</v>
      </c>
      <c r="J946">
        <v>24900</v>
      </c>
      <c r="K946">
        <v>29880</v>
      </c>
      <c r="L946" s="2">
        <v>25.869374999999998</v>
      </c>
      <c r="M946" s="5">
        <v>470.62900000000002</v>
      </c>
      <c r="N946" s="1">
        <v>201.85820000000001</v>
      </c>
      <c r="O946" s="2">
        <v>9.9</v>
      </c>
      <c r="P946">
        <v>111</v>
      </c>
    </row>
    <row r="947" spans="1:16" x14ac:dyDescent="0.35">
      <c r="A947" s="4">
        <v>44501</v>
      </c>
      <c r="B947" t="s">
        <v>19</v>
      </c>
      <c r="C947" t="s">
        <v>13</v>
      </c>
      <c r="D947">
        <v>1</v>
      </c>
      <c r="E947" s="2">
        <v>2605</v>
      </c>
      <c r="F947" s="2">
        <f t="shared" si="146"/>
        <v>2483.172</v>
      </c>
      <c r="G947" s="3">
        <v>1</v>
      </c>
      <c r="H947">
        <v>3555</v>
      </c>
      <c r="I947">
        <v>1693.3</v>
      </c>
      <c r="J947">
        <v>24900</v>
      </c>
      <c r="K947">
        <v>29880</v>
      </c>
      <c r="L947" s="2">
        <v>25.869374999999998</v>
      </c>
      <c r="M947" s="5">
        <v>470.62900000000002</v>
      </c>
      <c r="N947" s="1">
        <v>201.85820000000001</v>
      </c>
      <c r="O947" s="2">
        <v>9.9</v>
      </c>
      <c r="P947">
        <v>111</v>
      </c>
    </row>
    <row r="948" spans="1:16" x14ac:dyDescent="0.35">
      <c r="A948" s="4">
        <v>44501</v>
      </c>
      <c r="B948" t="s">
        <v>19</v>
      </c>
      <c r="C948" t="s">
        <v>14</v>
      </c>
      <c r="D948">
        <v>1</v>
      </c>
      <c r="E948" s="2">
        <f>(2592+2571+2607*2+2614)/5</f>
        <v>2598.1999999999998</v>
      </c>
      <c r="F948" s="2">
        <f t="shared" si="146"/>
        <v>2483.172</v>
      </c>
      <c r="G948" s="3">
        <v>1</v>
      </c>
      <c r="H948">
        <v>3555</v>
      </c>
      <c r="I948">
        <v>1693.3</v>
      </c>
      <c r="J948">
        <v>24900</v>
      </c>
      <c r="K948">
        <v>29880</v>
      </c>
      <c r="L948" s="2">
        <v>25.869374999999998</v>
      </c>
      <c r="M948" s="5">
        <v>470.62900000000002</v>
      </c>
      <c r="N948" s="1">
        <v>201.85820000000001</v>
      </c>
      <c r="O948" s="2">
        <v>9.9</v>
      </c>
      <c r="P948">
        <v>111</v>
      </c>
    </row>
    <row r="949" spans="1:16" x14ac:dyDescent="0.35">
      <c r="A949" s="4">
        <v>44501</v>
      </c>
      <c r="B949" t="s">
        <v>19</v>
      </c>
      <c r="C949" t="s">
        <v>15</v>
      </c>
      <c r="D949">
        <v>1</v>
      </c>
      <c r="E949" s="2">
        <v>2630</v>
      </c>
      <c r="F949" s="2">
        <f t="shared" si="146"/>
        <v>2483.172</v>
      </c>
      <c r="G949" s="3">
        <v>1</v>
      </c>
      <c r="H949">
        <v>3555</v>
      </c>
      <c r="I949">
        <v>1693.3</v>
      </c>
      <c r="J949">
        <v>24900</v>
      </c>
      <c r="K949">
        <v>29880</v>
      </c>
      <c r="L949" s="2">
        <v>25.869374999999998</v>
      </c>
      <c r="M949" s="5">
        <v>470.62900000000002</v>
      </c>
      <c r="N949" s="1">
        <v>201.85820000000001</v>
      </c>
      <c r="O949" s="2">
        <v>9.9</v>
      </c>
      <c r="P949">
        <v>111</v>
      </c>
    </row>
    <row r="950" spans="1:16" x14ac:dyDescent="0.35">
      <c r="A950" s="4">
        <v>44501</v>
      </c>
      <c r="B950" t="s">
        <v>20</v>
      </c>
      <c r="C950" t="s">
        <v>10</v>
      </c>
      <c r="D950">
        <v>1</v>
      </c>
      <c r="E950" s="2">
        <f>(2033+2066+2016*2+2000)/5</f>
        <v>2026.2</v>
      </c>
      <c r="F950" s="2">
        <f t="shared" ref="F950:F955" si="147">(2171.33+2151.83+2160.83+2153.67+2156)/5</f>
        <v>2158.732</v>
      </c>
      <c r="G950" s="3">
        <v>1</v>
      </c>
      <c r="H950">
        <v>3555</v>
      </c>
      <c r="I950">
        <v>1693.3</v>
      </c>
      <c r="J950">
        <v>24900</v>
      </c>
      <c r="K950">
        <v>29880</v>
      </c>
      <c r="L950" s="2">
        <v>25.869374999999998</v>
      </c>
      <c r="M950" s="5">
        <v>470.62900000000002</v>
      </c>
      <c r="N950" s="1">
        <v>201.85820000000001</v>
      </c>
      <c r="O950" s="2">
        <v>9.9</v>
      </c>
      <c r="P950">
        <v>111</v>
      </c>
    </row>
    <row r="951" spans="1:16" x14ac:dyDescent="0.35">
      <c r="A951" s="4">
        <v>44501</v>
      </c>
      <c r="B951" t="s">
        <v>20</v>
      </c>
      <c r="C951" t="s">
        <v>11</v>
      </c>
      <c r="D951">
        <v>1</v>
      </c>
      <c r="E951" s="2">
        <v>2180</v>
      </c>
      <c r="F951" s="2">
        <f t="shared" si="147"/>
        <v>2158.732</v>
      </c>
      <c r="G951" s="3">
        <v>1</v>
      </c>
      <c r="H951">
        <v>3555</v>
      </c>
      <c r="I951">
        <v>1693.3</v>
      </c>
      <c r="J951">
        <v>24900</v>
      </c>
      <c r="K951">
        <v>29880</v>
      </c>
      <c r="L951" s="2">
        <v>25.869374999999998</v>
      </c>
      <c r="M951" s="5">
        <v>470.62900000000002</v>
      </c>
      <c r="N951" s="1">
        <v>201.85820000000001</v>
      </c>
      <c r="O951" s="2">
        <v>9.9</v>
      </c>
      <c r="P951">
        <v>111</v>
      </c>
    </row>
    <row r="952" spans="1:16" x14ac:dyDescent="0.35">
      <c r="A952" s="4">
        <v>44501</v>
      </c>
      <c r="B952" t="s">
        <v>20</v>
      </c>
      <c r="C952" t="s">
        <v>12</v>
      </c>
      <c r="D952">
        <v>1</v>
      </c>
      <c r="E952" s="2">
        <v>1930</v>
      </c>
      <c r="F952" s="2">
        <f t="shared" si="147"/>
        <v>2158.732</v>
      </c>
      <c r="G952" s="3">
        <v>1</v>
      </c>
      <c r="H952">
        <v>3555</v>
      </c>
      <c r="I952">
        <v>1693.3</v>
      </c>
      <c r="J952">
        <v>24900</v>
      </c>
      <c r="K952">
        <v>29880</v>
      </c>
      <c r="L952" s="2">
        <v>25.869374999999998</v>
      </c>
      <c r="M952" s="5">
        <v>470.62900000000002</v>
      </c>
      <c r="N952" s="1">
        <v>201.85820000000001</v>
      </c>
      <c r="O952" s="2">
        <v>9.9</v>
      </c>
      <c r="P952">
        <v>111</v>
      </c>
    </row>
    <row r="953" spans="1:16" x14ac:dyDescent="0.35">
      <c r="A953" s="4">
        <v>44501</v>
      </c>
      <c r="B953" t="s">
        <v>20</v>
      </c>
      <c r="C953" t="s">
        <v>13</v>
      </c>
      <c r="D953">
        <v>1</v>
      </c>
      <c r="E953" s="2">
        <v>2275</v>
      </c>
      <c r="F953" s="2">
        <f t="shared" si="147"/>
        <v>2158.732</v>
      </c>
      <c r="G953" s="3">
        <v>1</v>
      </c>
      <c r="H953">
        <v>3555</v>
      </c>
      <c r="I953">
        <v>1693.3</v>
      </c>
      <c r="J953">
        <v>24900</v>
      </c>
      <c r="K953">
        <v>29880</v>
      </c>
      <c r="L953" s="2">
        <v>25.869374999999998</v>
      </c>
      <c r="M953" s="5">
        <v>470.62900000000002</v>
      </c>
      <c r="N953" s="1">
        <v>201.85820000000001</v>
      </c>
      <c r="O953" s="2">
        <v>9.9</v>
      </c>
      <c r="P953">
        <v>111</v>
      </c>
    </row>
    <row r="954" spans="1:16" x14ac:dyDescent="0.35">
      <c r="A954" s="4">
        <v>44501</v>
      </c>
      <c r="B954" t="s">
        <v>20</v>
      </c>
      <c r="C954" t="s">
        <v>14</v>
      </c>
      <c r="D954">
        <v>1</v>
      </c>
      <c r="E954" s="2">
        <f>(2340+2290+2294+2276+2256)/5</f>
        <v>2291.1999999999998</v>
      </c>
      <c r="F954" s="2">
        <f t="shared" si="147"/>
        <v>2158.732</v>
      </c>
      <c r="G954" s="3">
        <v>1</v>
      </c>
      <c r="H954">
        <v>3555</v>
      </c>
      <c r="I954">
        <v>1693.3</v>
      </c>
      <c r="J954">
        <v>24900</v>
      </c>
      <c r="K954">
        <v>29880</v>
      </c>
      <c r="L954" s="2">
        <v>25.869374999999998</v>
      </c>
      <c r="M954" s="5">
        <v>470.62900000000002</v>
      </c>
      <c r="N954" s="1">
        <v>201.85820000000001</v>
      </c>
      <c r="O954" s="2">
        <v>9.9</v>
      </c>
      <c r="P954">
        <v>111</v>
      </c>
    </row>
    <row r="955" spans="1:16" x14ac:dyDescent="0.35">
      <c r="A955" s="4">
        <v>44501</v>
      </c>
      <c r="B955" t="s">
        <v>20</v>
      </c>
      <c r="C955" t="s">
        <v>15</v>
      </c>
      <c r="D955">
        <v>1</v>
      </c>
      <c r="E955" s="2">
        <v>2250</v>
      </c>
      <c r="F955" s="2">
        <f t="shared" si="147"/>
        <v>2158.732</v>
      </c>
      <c r="G955" s="3">
        <v>1</v>
      </c>
      <c r="H955">
        <v>3555</v>
      </c>
      <c r="I955">
        <v>1693.3</v>
      </c>
      <c r="J955">
        <v>24900</v>
      </c>
      <c r="K955">
        <v>29880</v>
      </c>
      <c r="L955" s="2">
        <v>25.869374999999998</v>
      </c>
      <c r="M955" s="5">
        <v>470.62900000000002</v>
      </c>
      <c r="N955" s="1">
        <v>201.85820000000001</v>
      </c>
      <c r="O955" s="2">
        <v>9.9</v>
      </c>
      <c r="P955">
        <v>111</v>
      </c>
    </row>
    <row r="956" spans="1:16" x14ac:dyDescent="0.35">
      <c r="A956" s="4">
        <v>44501</v>
      </c>
      <c r="B956" t="s">
        <v>21</v>
      </c>
      <c r="C956" t="s">
        <v>10</v>
      </c>
      <c r="D956">
        <v>1</v>
      </c>
      <c r="E956" s="2">
        <f>(1850+1750+1800+2816+1680)/5</f>
        <v>1979.2</v>
      </c>
      <c r="F956" s="2">
        <f t="shared" ref="F956:F961" si="148">(2064.17+2044.5+2053.67+2209.67+2041.33)/5</f>
        <v>2082.6680000000001</v>
      </c>
      <c r="G956" s="3">
        <v>1</v>
      </c>
      <c r="H956">
        <v>3555</v>
      </c>
      <c r="I956">
        <v>1693.3</v>
      </c>
      <c r="J956">
        <v>24900</v>
      </c>
      <c r="K956">
        <v>29880</v>
      </c>
      <c r="L956" s="2">
        <v>25.869374999999998</v>
      </c>
      <c r="M956" s="5">
        <v>470.62900000000002</v>
      </c>
      <c r="N956" s="1">
        <v>201.85820000000001</v>
      </c>
      <c r="O956" s="2">
        <v>9.9</v>
      </c>
      <c r="P956">
        <v>111</v>
      </c>
    </row>
    <row r="957" spans="1:16" x14ac:dyDescent="0.35">
      <c r="A957" s="4">
        <v>44501</v>
      </c>
      <c r="B957" t="s">
        <v>21</v>
      </c>
      <c r="C957" t="s">
        <v>11</v>
      </c>
      <c r="D957">
        <v>1</v>
      </c>
      <c r="E957" s="2">
        <v>2100</v>
      </c>
      <c r="F957" s="2">
        <f t="shared" si="148"/>
        <v>2082.6680000000001</v>
      </c>
      <c r="G957" s="3">
        <v>1</v>
      </c>
      <c r="H957">
        <v>3555</v>
      </c>
      <c r="I957">
        <v>1693.3</v>
      </c>
      <c r="J957">
        <v>24900</v>
      </c>
      <c r="K957">
        <v>29880</v>
      </c>
      <c r="L957" s="2">
        <v>25.869374999999998</v>
      </c>
      <c r="M957" s="5">
        <v>470.62900000000002</v>
      </c>
      <c r="N957" s="1">
        <v>201.85820000000001</v>
      </c>
      <c r="O957" s="2">
        <v>9.9</v>
      </c>
      <c r="P957">
        <v>111</v>
      </c>
    </row>
    <row r="958" spans="1:16" x14ac:dyDescent="0.35">
      <c r="A958" s="4">
        <v>44501</v>
      </c>
      <c r="B958" t="s">
        <v>21</v>
      </c>
      <c r="C958" t="s">
        <v>12</v>
      </c>
      <c r="D958">
        <v>1</v>
      </c>
      <c r="E958" s="2">
        <v>1800</v>
      </c>
      <c r="F958" s="2">
        <f t="shared" si="148"/>
        <v>2082.6680000000001</v>
      </c>
      <c r="G958" s="3">
        <v>1</v>
      </c>
      <c r="H958">
        <v>3555</v>
      </c>
      <c r="I958">
        <v>1693.3</v>
      </c>
      <c r="J958">
        <v>24900</v>
      </c>
      <c r="K958">
        <v>29880</v>
      </c>
      <c r="L958" s="2">
        <v>25.869374999999998</v>
      </c>
      <c r="M958" s="5">
        <v>470.62900000000002</v>
      </c>
      <c r="N958" s="1">
        <v>201.85820000000001</v>
      </c>
      <c r="O958" s="2">
        <v>9.9</v>
      </c>
      <c r="P958">
        <v>111</v>
      </c>
    </row>
    <row r="959" spans="1:16" x14ac:dyDescent="0.35">
      <c r="A959" s="4">
        <v>44501</v>
      </c>
      <c r="B959" t="s">
        <v>21</v>
      </c>
      <c r="C959" t="s">
        <v>13</v>
      </c>
      <c r="D959">
        <v>1</v>
      </c>
      <c r="E959" s="2">
        <v>2225</v>
      </c>
      <c r="F959" s="2">
        <f t="shared" si="148"/>
        <v>2082.6680000000001</v>
      </c>
      <c r="G959" s="3">
        <v>1</v>
      </c>
      <c r="H959">
        <v>3555</v>
      </c>
      <c r="I959">
        <v>1693.3</v>
      </c>
      <c r="J959">
        <v>24900</v>
      </c>
      <c r="K959">
        <v>29880</v>
      </c>
      <c r="L959" s="2">
        <v>25.869374999999998</v>
      </c>
      <c r="M959" s="5">
        <v>470.62900000000002</v>
      </c>
      <c r="N959" s="1">
        <v>201.85820000000001</v>
      </c>
      <c r="O959" s="2">
        <v>9.9</v>
      </c>
      <c r="P959">
        <v>111</v>
      </c>
    </row>
    <row r="960" spans="1:16" x14ac:dyDescent="0.35">
      <c r="A960" s="4">
        <v>44501</v>
      </c>
      <c r="B960" t="s">
        <v>21</v>
      </c>
      <c r="C960" t="s">
        <v>14</v>
      </c>
      <c r="D960">
        <v>1</v>
      </c>
      <c r="E960" s="2">
        <f>(2210+2217+2197+2217+2243)/5</f>
        <v>2216.8000000000002</v>
      </c>
      <c r="F960" s="2">
        <f t="shared" si="148"/>
        <v>2082.6680000000001</v>
      </c>
      <c r="G960" s="3">
        <v>1</v>
      </c>
      <c r="H960">
        <v>3555</v>
      </c>
      <c r="I960">
        <v>1693.3</v>
      </c>
      <c r="J960">
        <v>24900</v>
      </c>
      <c r="K960">
        <v>29880</v>
      </c>
      <c r="L960" s="2">
        <v>25.869374999999998</v>
      </c>
      <c r="M960" s="5">
        <v>470.62900000000002</v>
      </c>
      <c r="N960" s="1">
        <v>201.85820000000001</v>
      </c>
      <c r="O960" s="2">
        <v>9.9</v>
      </c>
      <c r="P960">
        <v>111</v>
      </c>
    </row>
    <row r="961" spans="1:16" x14ac:dyDescent="0.35">
      <c r="A961" s="4">
        <v>44501</v>
      </c>
      <c r="B961" t="s">
        <v>21</v>
      </c>
      <c r="C961" t="s">
        <v>15</v>
      </c>
      <c r="D961">
        <v>1</v>
      </c>
      <c r="E961" s="2">
        <v>2200</v>
      </c>
      <c r="F961" s="2">
        <f t="shared" si="148"/>
        <v>2082.6680000000001</v>
      </c>
      <c r="G961" s="3">
        <v>1</v>
      </c>
      <c r="H961">
        <v>3555</v>
      </c>
      <c r="I961">
        <v>1693.3</v>
      </c>
      <c r="J961">
        <v>24900</v>
      </c>
      <c r="K961">
        <v>29880</v>
      </c>
      <c r="L961" s="2">
        <v>25.869374999999998</v>
      </c>
      <c r="M961" s="5">
        <v>470.62900000000002</v>
      </c>
      <c r="N961" s="1">
        <v>201.85820000000001</v>
      </c>
      <c r="O961" s="2">
        <v>9.9</v>
      </c>
      <c r="P961">
        <v>111</v>
      </c>
    </row>
    <row r="962" spans="1:16" x14ac:dyDescent="0.35">
      <c r="A962" s="4">
        <v>44501</v>
      </c>
      <c r="B962" t="s">
        <v>22</v>
      </c>
      <c r="C962" t="s">
        <v>10</v>
      </c>
      <c r="D962">
        <v>0</v>
      </c>
      <c r="E962" s="2" t="s">
        <v>27</v>
      </c>
      <c r="F962" s="2">
        <f t="shared" ref="F962:F967" si="149">(1963+1980+1900+1938+1963)/5</f>
        <v>1948.8</v>
      </c>
      <c r="G962" s="3">
        <v>1</v>
      </c>
      <c r="H962">
        <v>3555</v>
      </c>
      <c r="I962">
        <v>1693.3</v>
      </c>
      <c r="J962">
        <v>24900</v>
      </c>
      <c r="K962">
        <v>29880</v>
      </c>
      <c r="L962" s="2">
        <v>25.869374999999998</v>
      </c>
      <c r="M962" s="5">
        <v>470.62900000000002</v>
      </c>
      <c r="N962" s="1">
        <v>201.85820000000001</v>
      </c>
      <c r="O962" s="2">
        <v>9.9</v>
      </c>
      <c r="P962">
        <v>111</v>
      </c>
    </row>
    <row r="963" spans="1:16" x14ac:dyDescent="0.35">
      <c r="A963" s="4">
        <v>44501</v>
      </c>
      <c r="B963" t="s">
        <v>22</v>
      </c>
      <c r="C963" t="s">
        <v>11</v>
      </c>
      <c r="D963">
        <v>0</v>
      </c>
      <c r="E963" s="2" t="s">
        <v>27</v>
      </c>
      <c r="F963" s="2">
        <f t="shared" si="149"/>
        <v>1948.8</v>
      </c>
      <c r="G963" s="3">
        <v>1</v>
      </c>
      <c r="H963">
        <v>3555</v>
      </c>
      <c r="I963">
        <v>1693.3</v>
      </c>
      <c r="J963">
        <v>24900</v>
      </c>
      <c r="K963">
        <v>29880</v>
      </c>
      <c r="L963" s="2">
        <v>25.869374999999998</v>
      </c>
      <c r="M963" s="5">
        <v>470.62900000000002</v>
      </c>
      <c r="N963" s="1">
        <v>201.85820000000001</v>
      </c>
      <c r="O963" s="2">
        <v>9.9</v>
      </c>
      <c r="P963">
        <v>111</v>
      </c>
    </row>
    <row r="964" spans="1:16" x14ac:dyDescent="0.35">
      <c r="A964" s="4">
        <v>44501</v>
      </c>
      <c r="B964" t="s">
        <v>22</v>
      </c>
      <c r="C964" t="s">
        <v>12</v>
      </c>
      <c r="D964">
        <v>0</v>
      </c>
      <c r="E964" s="2" t="s">
        <v>27</v>
      </c>
      <c r="F964" s="2">
        <f t="shared" si="149"/>
        <v>1948.8</v>
      </c>
      <c r="G964" s="3">
        <v>1</v>
      </c>
      <c r="H964">
        <v>3555</v>
      </c>
      <c r="I964">
        <v>1693.3</v>
      </c>
      <c r="J964">
        <v>24900</v>
      </c>
      <c r="K964">
        <v>29880</v>
      </c>
      <c r="L964" s="2">
        <v>25.869374999999998</v>
      </c>
      <c r="M964" s="5">
        <v>470.62900000000002</v>
      </c>
      <c r="N964" s="1">
        <v>201.85820000000001</v>
      </c>
      <c r="O964" s="2">
        <v>9.9</v>
      </c>
      <c r="P964">
        <v>111</v>
      </c>
    </row>
    <row r="965" spans="1:16" x14ac:dyDescent="0.35">
      <c r="A965" s="4">
        <v>44501</v>
      </c>
      <c r="B965" t="s">
        <v>22</v>
      </c>
      <c r="C965" t="s">
        <v>13</v>
      </c>
      <c r="D965">
        <v>0</v>
      </c>
      <c r="E965" s="2" t="s">
        <v>27</v>
      </c>
      <c r="F965" s="2">
        <f t="shared" si="149"/>
        <v>1948.8</v>
      </c>
      <c r="G965" s="3">
        <v>1</v>
      </c>
      <c r="H965">
        <v>3555</v>
      </c>
      <c r="I965">
        <v>1693.3</v>
      </c>
      <c r="J965">
        <v>24900</v>
      </c>
      <c r="K965">
        <v>29880</v>
      </c>
      <c r="L965" s="2">
        <v>25.869374999999998</v>
      </c>
      <c r="M965" s="5">
        <v>470.62900000000002</v>
      </c>
      <c r="N965" s="1">
        <v>201.85820000000001</v>
      </c>
      <c r="O965" s="2">
        <v>9.9</v>
      </c>
      <c r="P965">
        <v>111</v>
      </c>
    </row>
    <row r="966" spans="1:16" x14ac:dyDescent="0.35">
      <c r="A966" s="4">
        <v>44501</v>
      </c>
      <c r="B966" t="s">
        <v>22</v>
      </c>
      <c r="C966" t="s">
        <v>14</v>
      </c>
      <c r="D966">
        <v>1</v>
      </c>
      <c r="E966" s="2">
        <f>(1963+1980+1900+1938+1963)/5</f>
        <v>1948.8</v>
      </c>
      <c r="F966" s="2">
        <f t="shared" si="149"/>
        <v>1948.8</v>
      </c>
      <c r="G966" s="3">
        <v>1</v>
      </c>
      <c r="H966">
        <v>3555</v>
      </c>
      <c r="I966">
        <v>1693.3</v>
      </c>
      <c r="J966">
        <v>24900</v>
      </c>
      <c r="K966">
        <v>29880</v>
      </c>
      <c r="L966" s="2">
        <v>25.869374999999998</v>
      </c>
      <c r="M966" s="5">
        <v>470.62900000000002</v>
      </c>
      <c r="N966" s="1">
        <v>201.85820000000001</v>
      </c>
      <c r="O966" s="2">
        <v>9.9</v>
      </c>
      <c r="P966">
        <v>111</v>
      </c>
    </row>
    <row r="967" spans="1:16" x14ac:dyDescent="0.35">
      <c r="A967" s="4">
        <v>44501</v>
      </c>
      <c r="B967" t="s">
        <v>22</v>
      </c>
      <c r="C967" t="s">
        <v>15</v>
      </c>
      <c r="D967">
        <v>0</v>
      </c>
      <c r="E967" s="2" t="s">
        <v>27</v>
      </c>
      <c r="F967" s="2">
        <f t="shared" si="149"/>
        <v>1948.8</v>
      </c>
      <c r="G967" s="3">
        <v>1</v>
      </c>
      <c r="H967">
        <v>3555</v>
      </c>
      <c r="I967">
        <v>1693.3</v>
      </c>
      <c r="J967">
        <v>24900</v>
      </c>
      <c r="K967">
        <v>29880</v>
      </c>
      <c r="L967" s="2">
        <v>25.869374999999998</v>
      </c>
      <c r="M967" s="5">
        <v>470.62900000000002</v>
      </c>
      <c r="N967" s="1">
        <v>201.85820000000001</v>
      </c>
      <c r="O967" s="2">
        <v>9.9</v>
      </c>
      <c r="P967">
        <v>111</v>
      </c>
    </row>
    <row r="968" spans="1:16" x14ac:dyDescent="0.35">
      <c r="A968" s="4">
        <v>44531</v>
      </c>
      <c r="B968" t="s">
        <v>16</v>
      </c>
      <c r="C968" t="s">
        <v>10</v>
      </c>
      <c r="D968">
        <v>1</v>
      </c>
      <c r="E968" s="2">
        <f>(3233+3300+3083+3110)/4</f>
        <v>3181.5</v>
      </c>
      <c r="F968" s="2">
        <f t="shared" ref="F968:F973" si="150">(3319.5+3350+3282+3282.5)/4</f>
        <v>3308.5</v>
      </c>
      <c r="G968" s="3">
        <v>1</v>
      </c>
      <c r="H968">
        <v>3555</v>
      </c>
      <c r="I968">
        <v>1505.2</v>
      </c>
      <c r="J968">
        <v>21708</v>
      </c>
      <c r="K968">
        <v>39840</v>
      </c>
      <c r="L968" s="2">
        <v>25.607500000000002</v>
      </c>
      <c r="M968" s="5">
        <v>141.56449999999998</v>
      </c>
      <c r="N968" s="1">
        <v>201.399</v>
      </c>
      <c r="O968" s="2">
        <v>12.1</v>
      </c>
      <c r="P968">
        <v>121</v>
      </c>
    </row>
    <row r="969" spans="1:16" x14ac:dyDescent="0.35">
      <c r="A969" s="4">
        <v>44531</v>
      </c>
      <c r="B969" t="s">
        <v>16</v>
      </c>
      <c r="C969" t="s">
        <v>11</v>
      </c>
      <c r="D969">
        <v>0</v>
      </c>
      <c r="E969" s="2" t="s">
        <v>27</v>
      </c>
      <c r="F969" s="2">
        <f t="shared" si="150"/>
        <v>3308.5</v>
      </c>
      <c r="G969" s="3">
        <v>1</v>
      </c>
      <c r="H969">
        <v>3555</v>
      </c>
      <c r="I969">
        <v>1505.2</v>
      </c>
      <c r="J969">
        <v>21708</v>
      </c>
      <c r="K969">
        <v>39840</v>
      </c>
      <c r="L969" s="2">
        <v>25.607500000000002</v>
      </c>
      <c r="M969" s="5">
        <v>141.56449999999998</v>
      </c>
      <c r="N969" s="1">
        <v>201.399</v>
      </c>
      <c r="O969" s="2">
        <v>12.1</v>
      </c>
      <c r="P969">
        <v>121</v>
      </c>
    </row>
    <row r="970" spans="1:16" x14ac:dyDescent="0.35">
      <c r="A970" s="4">
        <v>44531</v>
      </c>
      <c r="B970" t="s">
        <v>16</v>
      </c>
      <c r="C970" t="s">
        <v>12</v>
      </c>
      <c r="D970">
        <v>1</v>
      </c>
      <c r="E970" s="2">
        <v>3170</v>
      </c>
      <c r="F970" s="2">
        <f t="shared" si="150"/>
        <v>3308.5</v>
      </c>
      <c r="G970" s="3">
        <v>1</v>
      </c>
      <c r="H970">
        <v>3555</v>
      </c>
      <c r="I970">
        <v>1505.2</v>
      </c>
      <c r="J970">
        <v>21708</v>
      </c>
      <c r="K970">
        <v>39840</v>
      </c>
      <c r="L970" s="2">
        <v>25.607500000000002</v>
      </c>
      <c r="M970" s="5">
        <v>141.56449999999998</v>
      </c>
      <c r="N970" s="1">
        <v>201.399</v>
      </c>
      <c r="O970" s="2">
        <v>12.1</v>
      </c>
      <c r="P970">
        <v>121</v>
      </c>
    </row>
    <row r="971" spans="1:16" x14ac:dyDescent="0.35">
      <c r="A971" s="4">
        <v>44531</v>
      </c>
      <c r="B971" t="s">
        <v>16</v>
      </c>
      <c r="C971" t="s">
        <v>13</v>
      </c>
      <c r="D971">
        <v>1</v>
      </c>
      <c r="E971" s="2">
        <v>3350</v>
      </c>
      <c r="F971" s="2">
        <f t="shared" si="150"/>
        <v>3308.5</v>
      </c>
      <c r="G971" s="3">
        <v>1</v>
      </c>
      <c r="H971">
        <v>3555</v>
      </c>
      <c r="I971">
        <v>1505.2</v>
      </c>
      <c r="J971">
        <v>21708</v>
      </c>
      <c r="K971">
        <v>39840</v>
      </c>
      <c r="L971" s="2">
        <v>25.607500000000002</v>
      </c>
      <c r="M971" s="5">
        <v>141.56449999999998</v>
      </c>
      <c r="N971" s="1">
        <v>201.399</v>
      </c>
      <c r="O971" s="2">
        <v>12.1</v>
      </c>
      <c r="P971">
        <v>121</v>
      </c>
    </row>
    <row r="972" spans="1:16" x14ac:dyDescent="0.35">
      <c r="A972" s="4">
        <v>44531</v>
      </c>
      <c r="B972" t="s">
        <v>16</v>
      </c>
      <c r="C972" t="s">
        <v>14</v>
      </c>
      <c r="D972">
        <v>1</v>
      </c>
      <c r="E972" s="2">
        <v>3525</v>
      </c>
      <c r="F972" s="2">
        <f t="shared" si="150"/>
        <v>3308.5</v>
      </c>
      <c r="G972" s="3">
        <v>1</v>
      </c>
      <c r="H972">
        <v>3555</v>
      </c>
      <c r="I972">
        <v>1505.2</v>
      </c>
      <c r="J972">
        <v>21708</v>
      </c>
      <c r="K972">
        <v>39840</v>
      </c>
      <c r="L972" s="2">
        <v>25.607500000000002</v>
      </c>
      <c r="M972" s="5">
        <v>141.56449999999998</v>
      </c>
      <c r="N972" s="1">
        <v>201.399</v>
      </c>
      <c r="O972" s="2">
        <v>12.1</v>
      </c>
      <c r="P972">
        <v>121</v>
      </c>
    </row>
    <row r="973" spans="1:16" x14ac:dyDescent="0.35">
      <c r="A973" s="4">
        <v>44531</v>
      </c>
      <c r="B973" t="s">
        <v>16</v>
      </c>
      <c r="C973" t="s">
        <v>15</v>
      </c>
      <c r="D973">
        <v>0</v>
      </c>
      <c r="E973" s="2" t="s">
        <v>27</v>
      </c>
      <c r="F973" s="2">
        <f t="shared" si="150"/>
        <v>3308.5</v>
      </c>
      <c r="G973" s="3">
        <v>1</v>
      </c>
      <c r="H973">
        <v>3555</v>
      </c>
      <c r="I973">
        <v>1505.2</v>
      </c>
      <c r="J973">
        <v>21708</v>
      </c>
      <c r="K973">
        <v>39840</v>
      </c>
      <c r="L973" s="2">
        <v>25.607500000000002</v>
      </c>
      <c r="M973" s="5">
        <v>141.56449999999998</v>
      </c>
      <c r="N973" s="1">
        <v>201.399</v>
      </c>
      <c r="O973" s="2">
        <v>12.1</v>
      </c>
      <c r="P973">
        <v>121</v>
      </c>
    </row>
    <row r="974" spans="1:16" x14ac:dyDescent="0.35">
      <c r="A974" s="4">
        <v>44531</v>
      </c>
      <c r="B974" t="s">
        <v>17</v>
      </c>
      <c r="C974" t="s">
        <v>10</v>
      </c>
      <c r="D974">
        <v>1</v>
      </c>
      <c r="E974" s="2">
        <v>2925</v>
      </c>
      <c r="F974" s="2">
        <f t="shared" ref="F974:F979" si="151">(2827+2879+2894.6+2884.6)/4</f>
        <v>2871.3</v>
      </c>
      <c r="G974" s="3">
        <v>1</v>
      </c>
      <c r="H974">
        <v>3555</v>
      </c>
      <c r="I974">
        <v>1505.2</v>
      </c>
      <c r="J974">
        <v>21708</v>
      </c>
      <c r="K974">
        <v>39840</v>
      </c>
      <c r="L974" s="2">
        <v>25.607500000000002</v>
      </c>
      <c r="M974" s="5">
        <v>141.56449999999998</v>
      </c>
      <c r="N974" s="1">
        <v>201.399</v>
      </c>
      <c r="O974" s="2">
        <v>12.1</v>
      </c>
      <c r="P974">
        <v>121</v>
      </c>
    </row>
    <row r="975" spans="1:16" x14ac:dyDescent="0.35">
      <c r="A975" s="4">
        <v>44531</v>
      </c>
      <c r="B975" t="s">
        <v>17</v>
      </c>
      <c r="C975" t="s">
        <v>11</v>
      </c>
      <c r="D975">
        <v>1</v>
      </c>
      <c r="E975" s="2">
        <v>2875</v>
      </c>
      <c r="F975" s="2">
        <f t="shared" si="151"/>
        <v>2871.3</v>
      </c>
      <c r="G975" s="3">
        <v>1</v>
      </c>
      <c r="H975">
        <v>3555</v>
      </c>
      <c r="I975">
        <v>1505.2</v>
      </c>
      <c r="J975">
        <v>21708</v>
      </c>
      <c r="K975">
        <v>39840</v>
      </c>
      <c r="L975" s="2">
        <v>25.607500000000002</v>
      </c>
      <c r="M975" s="5">
        <v>141.56449999999998</v>
      </c>
      <c r="N975" s="1">
        <v>201.399</v>
      </c>
      <c r="O975" s="2">
        <v>12.1</v>
      </c>
      <c r="P975">
        <v>121</v>
      </c>
    </row>
    <row r="976" spans="1:16" x14ac:dyDescent="0.35">
      <c r="A976" s="4">
        <v>44531</v>
      </c>
      <c r="B976" t="s">
        <v>17</v>
      </c>
      <c r="C976" t="s">
        <v>12</v>
      </c>
      <c r="D976">
        <v>1</v>
      </c>
      <c r="E976" s="2">
        <v>2765</v>
      </c>
      <c r="F976" s="2">
        <f t="shared" si="151"/>
        <v>2871.3</v>
      </c>
      <c r="G976" s="3">
        <v>1</v>
      </c>
      <c r="H976">
        <v>3555</v>
      </c>
      <c r="I976">
        <v>1505.2</v>
      </c>
      <c r="J976">
        <v>21708</v>
      </c>
      <c r="K976">
        <v>39840</v>
      </c>
      <c r="L976" s="2">
        <v>25.607500000000002</v>
      </c>
      <c r="M976" s="5">
        <v>141.56449999999998</v>
      </c>
      <c r="N976" s="1">
        <v>201.399</v>
      </c>
      <c r="O976" s="2">
        <v>12.1</v>
      </c>
      <c r="P976">
        <v>121</v>
      </c>
    </row>
    <row r="977" spans="1:16" x14ac:dyDescent="0.35">
      <c r="A977" s="4">
        <v>44531</v>
      </c>
      <c r="B977" t="s">
        <v>17</v>
      </c>
      <c r="C977" t="s">
        <v>13</v>
      </c>
      <c r="D977">
        <v>1</v>
      </c>
      <c r="E977" s="2">
        <v>2775</v>
      </c>
      <c r="F977" s="2">
        <f t="shared" si="151"/>
        <v>2871.3</v>
      </c>
      <c r="G977" s="3">
        <v>1</v>
      </c>
      <c r="H977">
        <v>3555</v>
      </c>
      <c r="I977">
        <v>1505.2</v>
      </c>
      <c r="J977">
        <v>21708</v>
      </c>
      <c r="K977">
        <v>39840</v>
      </c>
      <c r="L977" s="2">
        <v>25.607500000000002</v>
      </c>
      <c r="M977" s="5">
        <v>141.56449999999998</v>
      </c>
      <c r="N977" s="1">
        <v>201.399</v>
      </c>
      <c r="O977" s="2">
        <v>12.1</v>
      </c>
      <c r="P977">
        <v>121</v>
      </c>
    </row>
    <row r="978" spans="1:16" x14ac:dyDescent="0.35">
      <c r="A978" s="4">
        <v>44531</v>
      </c>
      <c r="B978" t="s">
        <v>17</v>
      </c>
      <c r="C978" t="s">
        <v>14</v>
      </c>
      <c r="D978">
        <v>1</v>
      </c>
      <c r="E978" s="2">
        <f>(3083*2+3050+2850)/4</f>
        <v>3016.5</v>
      </c>
      <c r="F978" s="2">
        <f t="shared" si="151"/>
        <v>2871.3</v>
      </c>
      <c r="G978" s="3">
        <v>1</v>
      </c>
      <c r="H978">
        <v>3555</v>
      </c>
      <c r="I978">
        <v>1505.2</v>
      </c>
      <c r="J978">
        <v>21708</v>
      </c>
      <c r="K978">
        <v>39840</v>
      </c>
      <c r="L978" s="2">
        <v>25.607500000000002</v>
      </c>
      <c r="M978" s="5">
        <v>141.56449999999998</v>
      </c>
      <c r="N978" s="1">
        <v>201.399</v>
      </c>
      <c r="O978" s="2">
        <v>12.1</v>
      </c>
      <c r="P978">
        <v>121</v>
      </c>
    </row>
    <row r="979" spans="1:16" x14ac:dyDescent="0.35">
      <c r="A979" s="4">
        <v>44531</v>
      </c>
      <c r="B979" t="s">
        <v>17</v>
      </c>
      <c r="C979" t="s">
        <v>15</v>
      </c>
      <c r="D979">
        <v>0</v>
      </c>
      <c r="E979" s="2" t="s">
        <v>27</v>
      </c>
      <c r="F979" s="2">
        <f t="shared" si="151"/>
        <v>2871.3</v>
      </c>
      <c r="G979" s="3">
        <v>1</v>
      </c>
      <c r="H979">
        <v>3555</v>
      </c>
      <c r="I979">
        <v>1505.2</v>
      </c>
      <c r="J979">
        <v>21708</v>
      </c>
      <c r="K979">
        <v>39840</v>
      </c>
      <c r="L979" s="2">
        <v>25.607500000000002</v>
      </c>
      <c r="M979" s="5">
        <v>141.56449999999998</v>
      </c>
      <c r="N979" s="1">
        <v>201.399</v>
      </c>
      <c r="O979" s="2">
        <v>12.1</v>
      </c>
      <c r="P979">
        <v>121</v>
      </c>
    </row>
    <row r="980" spans="1:16" x14ac:dyDescent="0.35">
      <c r="A980" s="4">
        <v>44531</v>
      </c>
      <c r="B980" t="s">
        <v>18</v>
      </c>
      <c r="C980" t="s">
        <v>10</v>
      </c>
      <c r="D980">
        <v>1</v>
      </c>
      <c r="E980" s="2">
        <f>(2750*2+2733+2783)/4</f>
        <v>2754</v>
      </c>
      <c r="F980" s="2">
        <f t="shared" ref="F980:F985" si="152">(2623.57+2624.71+2604.71+2621.86)/4</f>
        <v>2618.7125000000001</v>
      </c>
      <c r="G980" s="3">
        <v>1</v>
      </c>
      <c r="H980">
        <v>3555</v>
      </c>
      <c r="I980">
        <v>1505.2</v>
      </c>
      <c r="J980">
        <v>21708</v>
      </c>
      <c r="K980">
        <v>39840</v>
      </c>
      <c r="L980" s="2">
        <v>25.607500000000002</v>
      </c>
      <c r="M980" s="5">
        <v>141.56449999999998</v>
      </c>
      <c r="N980" s="1">
        <v>201.399</v>
      </c>
      <c r="O980" s="2">
        <v>12.1</v>
      </c>
      <c r="P980">
        <v>121</v>
      </c>
    </row>
    <row r="981" spans="1:16" x14ac:dyDescent="0.35">
      <c r="A981" s="4">
        <v>44531</v>
      </c>
      <c r="B981" t="s">
        <v>18</v>
      </c>
      <c r="C981" t="s">
        <v>11</v>
      </c>
      <c r="D981">
        <v>1</v>
      </c>
      <c r="E981" s="2">
        <v>2737.5</v>
      </c>
      <c r="F981" s="2">
        <f t="shared" si="152"/>
        <v>2618.7125000000001</v>
      </c>
      <c r="G981" s="3">
        <v>1</v>
      </c>
      <c r="H981">
        <v>3555</v>
      </c>
      <c r="I981">
        <v>1505.2</v>
      </c>
      <c r="J981">
        <v>21708</v>
      </c>
      <c r="K981">
        <v>39840</v>
      </c>
      <c r="L981" s="2">
        <v>25.607500000000002</v>
      </c>
      <c r="M981" s="5">
        <v>141.56449999999998</v>
      </c>
      <c r="N981" s="1">
        <v>201.399</v>
      </c>
      <c r="O981" s="2">
        <v>12.1</v>
      </c>
      <c r="P981">
        <v>121</v>
      </c>
    </row>
    <row r="982" spans="1:16" x14ac:dyDescent="0.35">
      <c r="A982" s="4">
        <v>44531</v>
      </c>
      <c r="B982" t="s">
        <v>18</v>
      </c>
      <c r="C982" t="s">
        <v>12</v>
      </c>
      <c r="D982">
        <v>1</v>
      </c>
      <c r="E982" s="2">
        <v>2592.5</v>
      </c>
      <c r="F982" s="2">
        <f t="shared" si="152"/>
        <v>2618.7125000000001</v>
      </c>
      <c r="G982" s="3">
        <v>1</v>
      </c>
      <c r="H982">
        <v>3555</v>
      </c>
      <c r="I982">
        <v>1505.2</v>
      </c>
      <c r="J982">
        <v>21708</v>
      </c>
      <c r="K982">
        <v>39840</v>
      </c>
      <c r="L982" s="2">
        <v>25.607500000000002</v>
      </c>
      <c r="M982" s="5">
        <v>141.56449999999998</v>
      </c>
      <c r="N982" s="1">
        <v>201.399</v>
      </c>
      <c r="O982" s="2">
        <v>12.1</v>
      </c>
      <c r="P982">
        <v>121</v>
      </c>
    </row>
    <row r="983" spans="1:16" x14ac:dyDescent="0.35">
      <c r="A983" s="4">
        <v>44531</v>
      </c>
      <c r="B983" t="s">
        <v>18</v>
      </c>
      <c r="C983" t="s">
        <v>13</v>
      </c>
      <c r="D983">
        <v>1</v>
      </c>
      <c r="E983" s="2">
        <v>2675</v>
      </c>
      <c r="F983" s="2">
        <f t="shared" si="152"/>
        <v>2618.7125000000001</v>
      </c>
      <c r="G983" s="3">
        <v>1</v>
      </c>
      <c r="H983">
        <v>3555</v>
      </c>
      <c r="I983">
        <v>1505.2</v>
      </c>
      <c r="J983">
        <v>21708</v>
      </c>
      <c r="K983">
        <v>39840</v>
      </c>
      <c r="L983" s="2">
        <v>25.607500000000002</v>
      </c>
      <c r="M983" s="5">
        <v>141.56449999999998</v>
      </c>
      <c r="N983" s="1">
        <v>201.399</v>
      </c>
      <c r="O983" s="2">
        <v>12.1</v>
      </c>
      <c r="P983">
        <v>121</v>
      </c>
    </row>
    <row r="984" spans="1:16" x14ac:dyDescent="0.35">
      <c r="A984" s="4">
        <v>44531</v>
      </c>
      <c r="B984" t="s">
        <v>18</v>
      </c>
      <c r="C984" t="s">
        <v>14</v>
      </c>
      <c r="D984">
        <v>1</v>
      </c>
      <c r="E984" s="2">
        <f>(2800*2+2700+2738)/4</f>
        <v>2759.5</v>
      </c>
      <c r="F984" s="2">
        <f t="shared" si="152"/>
        <v>2618.7125000000001</v>
      </c>
      <c r="G984" s="3">
        <v>1</v>
      </c>
      <c r="H984">
        <v>3555</v>
      </c>
      <c r="I984">
        <v>1505.2</v>
      </c>
      <c r="J984">
        <v>21708</v>
      </c>
      <c r="K984">
        <v>39840</v>
      </c>
      <c r="L984" s="2">
        <v>25.607500000000002</v>
      </c>
      <c r="M984" s="5">
        <v>141.56449999999998</v>
      </c>
      <c r="N984" s="1">
        <v>201.399</v>
      </c>
      <c r="O984" s="2">
        <v>12.1</v>
      </c>
      <c r="P984">
        <v>121</v>
      </c>
    </row>
    <row r="985" spans="1:16" x14ac:dyDescent="0.35">
      <c r="A985" s="4">
        <v>44531</v>
      </c>
      <c r="B985" t="s">
        <v>18</v>
      </c>
      <c r="C985" t="s">
        <v>15</v>
      </c>
      <c r="D985">
        <v>1</v>
      </c>
      <c r="E985" s="2">
        <v>2675</v>
      </c>
      <c r="F985" s="2">
        <f t="shared" si="152"/>
        <v>2618.7125000000001</v>
      </c>
      <c r="G985" s="3">
        <v>1</v>
      </c>
      <c r="H985">
        <v>3555</v>
      </c>
      <c r="I985">
        <v>1505.2</v>
      </c>
      <c r="J985">
        <v>21708</v>
      </c>
      <c r="K985">
        <v>39840</v>
      </c>
      <c r="L985" s="2">
        <v>25.607500000000002</v>
      </c>
      <c r="M985" s="5">
        <v>141.56449999999998</v>
      </c>
      <c r="N985" s="1">
        <v>201.399</v>
      </c>
      <c r="O985" s="2">
        <v>12.1</v>
      </c>
      <c r="P985">
        <v>121</v>
      </c>
    </row>
    <row r="986" spans="1:16" x14ac:dyDescent="0.35">
      <c r="A986" s="4">
        <v>44531</v>
      </c>
      <c r="B986" t="s">
        <v>19</v>
      </c>
      <c r="C986" t="s">
        <v>10</v>
      </c>
      <c r="D986">
        <v>1</v>
      </c>
      <c r="E986" s="2">
        <f>(2250+2600+2383+2616)/4</f>
        <v>2462.25</v>
      </c>
      <c r="F986" s="2">
        <f t="shared" ref="F986:F991" si="153">(2465.14+2437+2471.29+2450.43)/4</f>
        <v>2455.9649999999997</v>
      </c>
      <c r="G986" s="3">
        <v>1</v>
      </c>
      <c r="H986">
        <v>3555</v>
      </c>
      <c r="I986">
        <v>1505.2</v>
      </c>
      <c r="J986">
        <v>21708</v>
      </c>
      <c r="K986">
        <v>39840</v>
      </c>
      <c r="L986" s="2">
        <v>25.607500000000002</v>
      </c>
      <c r="M986" s="5">
        <v>141.56449999999998</v>
      </c>
      <c r="N986" s="1">
        <v>201.399</v>
      </c>
      <c r="O986" s="2">
        <v>12.1</v>
      </c>
      <c r="P986">
        <v>121</v>
      </c>
    </row>
    <row r="987" spans="1:16" x14ac:dyDescent="0.35">
      <c r="A987" s="4">
        <v>44531</v>
      </c>
      <c r="B987" t="s">
        <v>19</v>
      </c>
      <c r="C987" t="s">
        <v>11</v>
      </c>
      <c r="D987">
        <v>1</v>
      </c>
      <c r="E987" s="2">
        <v>2625</v>
      </c>
      <c r="F987" s="2">
        <f t="shared" si="153"/>
        <v>2455.9649999999997</v>
      </c>
      <c r="G987" s="3">
        <v>1</v>
      </c>
      <c r="H987">
        <v>3555</v>
      </c>
      <c r="I987">
        <v>1505.2</v>
      </c>
      <c r="J987">
        <v>21708</v>
      </c>
      <c r="K987">
        <v>39840</v>
      </c>
      <c r="L987" s="2">
        <v>25.607500000000002</v>
      </c>
      <c r="M987" s="5">
        <v>141.56449999999998</v>
      </c>
      <c r="N987" s="1">
        <v>201.399</v>
      </c>
      <c r="O987" s="2">
        <v>12.1</v>
      </c>
      <c r="P987">
        <v>121</v>
      </c>
    </row>
    <row r="988" spans="1:16" x14ac:dyDescent="0.35">
      <c r="A988" s="4">
        <v>44531</v>
      </c>
      <c r="B988" t="s">
        <v>19</v>
      </c>
      <c r="C988" t="s">
        <v>12</v>
      </c>
      <c r="D988">
        <v>1</v>
      </c>
      <c r="E988" s="2">
        <v>2470</v>
      </c>
      <c r="F988" s="2">
        <f t="shared" si="153"/>
        <v>2455.9649999999997</v>
      </c>
      <c r="G988" s="3">
        <v>1</v>
      </c>
      <c r="H988">
        <v>3555</v>
      </c>
      <c r="I988">
        <v>1505.2</v>
      </c>
      <c r="J988">
        <v>21708</v>
      </c>
      <c r="K988">
        <v>39840</v>
      </c>
      <c r="L988" s="2">
        <v>25.607500000000002</v>
      </c>
      <c r="M988" s="5">
        <v>141.56449999999998</v>
      </c>
      <c r="N988" s="1">
        <v>201.399</v>
      </c>
      <c r="O988" s="2">
        <v>12.1</v>
      </c>
      <c r="P988">
        <v>121</v>
      </c>
    </row>
    <row r="989" spans="1:16" x14ac:dyDescent="0.35">
      <c r="A989" s="4">
        <v>44531</v>
      </c>
      <c r="B989" t="s">
        <v>19</v>
      </c>
      <c r="C989" t="s">
        <v>13</v>
      </c>
      <c r="D989">
        <v>1</v>
      </c>
      <c r="E989" s="2">
        <v>2600</v>
      </c>
      <c r="F989" s="2">
        <f t="shared" si="153"/>
        <v>2455.9649999999997</v>
      </c>
      <c r="G989" s="3">
        <v>1</v>
      </c>
      <c r="H989">
        <v>3555</v>
      </c>
      <c r="I989">
        <v>1505.2</v>
      </c>
      <c r="J989">
        <v>21708</v>
      </c>
      <c r="K989">
        <v>39840</v>
      </c>
      <c r="L989" s="2">
        <v>25.607500000000002</v>
      </c>
      <c r="M989" s="5">
        <v>141.56449999999998</v>
      </c>
      <c r="N989" s="1">
        <v>201.399</v>
      </c>
      <c r="O989" s="2">
        <v>12.1</v>
      </c>
      <c r="P989">
        <v>121</v>
      </c>
    </row>
    <row r="990" spans="1:16" x14ac:dyDescent="0.35">
      <c r="A990" s="4">
        <v>44531</v>
      </c>
      <c r="B990" t="s">
        <v>19</v>
      </c>
      <c r="C990" t="s">
        <v>14</v>
      </c>
      <c r="D990">
        <v>1</v>
      </c>
      <c r="E990" s="2">
        <v>2609.5</v>
      </c>
      <c r="F990" s="2">
        <f t="shared" si="153"/>
        <v>2455.9649999999997</v>
      </c>
      <c r="G990" s="3">
        <v>1</v>
      </c>
      <c r="H990">
        <v>3555</v>
      </c>
      <c r="I990">
        <v>1505.2</v>
      </c>
      <c r="J990">
        <v>21708</v>
      </c>
      <c r="K990">
        <v>39840</v>
      </c>
      <c r="L990" s="2">
        <v>25.607500000000002</v>
      </c>
      <c r="M990" s="5">
        <v>141.56449999999998</v>
      </c>
      <c r="N990" s="1">
        <v>201.399</v>
      </c>
      <c r="O990" s="2">
        <v>12.1</v>
      </c>
      <c r="P990">
        <v>121</v>
      </c>
    </row>
    <row r="991" spans="1:16" x14ac:dyDescent="0.35">
      <c r="A991" s="4">
        <v>44531</v>
      </c>
      <c r="B991" t="s">
        <v>19</v>
      </c>
      <c r="C991" t="s">
        <v>15</v>
      </c>
      <c r="D991">
        <v>1</v>
      </c>
      <c r="E991" s="2">
        <v>2625</v>
      </c>
      <c r="F991" s="2">
        <f t="shared" si="153"/>
        <v>2455.9649999999997</v>
      </c>
      <c r="G991" s="3">
        <v>1</v>
      </c>
      <c r="H991">
        <v>3555</v>
      </c>
      <c r="I991">
        <v>1505.2</v>
      </c>
      <c r="J991">
        <v>21708</v>
      </c>
      <c r="K991">
        <v>39840</v>
      </c>
      <c r="L991" s="2">
        <v>25.607500000000002</v>
      </c>
      <c r="M991" s="5">
        <v>141.56449999999998</v>
      </c>
      <c r="N991" s="1">
        <v>201.399</v>
      </c>
      <c r="O991" s="2">
        <v>12.1</v>
      </c>
      <c r="P991">
        <v>121</v>
      </c>
    </row>
    <row r="992" spans="1:16" x14ac:dyDescent="0.35">
      <c r="A992" s="4">
        <v>44531</v>
      </c>
      <c r="B992" t="s">
        <v>20</v>
      </c>
      <c r="C992" t="s">
        <v>10</v>
      </c>
      <c r="D992">
        <v>1</v>
      </c>
      <c r="E992" s="2">
        <v>2050</v>
      </c>
      <c r="F992" s="2">
        <f t="shared" ref="F992:F997" si="154">(2155.83+2145.5+2159.33+2156.67)/4</f>
        <v>2154.3325</v>
      </c>
      <c r="G992" s="3">
        <v>1</v>
      </c>
      <c r="H992">
        <v>3555</v>
      </c>
      <c r="I992">
        <v>1505.2</v>
      </c>
      <c r="J992">
        <v>21708</v>
      </c>
      <c r="K992">
        <v>39840</v>
      </c>
      <c r="L992" s="2">
        <v>25.607500000000002</v>
      </c>
      <c r="M992" s="5">
        <v>141.56449999999998</v>
      </c>
      <c r="N992" s="1">
        <v>201.399</v>
      </c>
      <c r="O992" s="2">
        <v>12.1</v>
      </c>
      <c r="P992">
        <v>121</v>
      </c>
    </row>
    <row r="993" spans="1:16" x14ac:dyDescent="0.35">
      <c r="A993" s="4">
        <v>44531</v>
      </c>
      <c r="B993" t="s">
        <v>20</v>
      </c>
      <c r="C993" t="s">
        <v>11</v>
      </c>
      <c r="D993">
        <v>1</v>
      </c>
      <c r="E993" s="2">
        <v>2100</v>
      </c>
      <c r="F993" s="2">
        <f t="shared" si="154"/>
        <v>2154.3325</v>
      </c>
      <c r="G993" s="3">
        <v>1</v>
      </c>
      <c r="H993">
        <v>3555</v>
      </c>
      <c r="I993">
        <v>1505.2</v>
      </c>
      <c r="J993">
        <v>21708</v>
      </c>
      <c r="K993">
        <v>39840</v>
      </c>
      <c r="L993" s="2">
        <v>25.607500000000002</v>
      </c>
      <c r="M993" s="5">
        <v>141.56449999999998</v>
      </c>
      <c r="N993" s="1">
        <v>201.399</v>
      </c>
      <c r="O993" s="2">
        <v>12.1</v>
      </c>
      <c r="P993">
        <v>121</v>
      </c>
    </row>
    <row r="994" spans="1:16" x14ac:dyDescent="0.35">
      <c r="A994" s="4">
        <v>44531</v>
      </c>
      <c r="B994" t="s">
        <v>20</v>
      </c>
      <c r="C994" t="s">
        <v>12</v>
      </c>
      <c r="D994">
        <v>1</v>
      </c>
      <c r="E994" s="2">
        <v>1945</v>
      </c>
      <c r="F994" s="2">
        <f t="shared" si="154"/>
        <v>2154.3325</v>
      </c>
      <c r="G994" s="3">
        <v>1</v>
      </c>
      <c r="H994">
        <v>3555</v>
      </c>
      <c r="I994">
        <v>1505.2</v>
      </c>
      <c r="J994">
        <v>21708</v>
      </c>
      <c r="K994">
        <v>39840</v>
      </c>
      <c r="L994" s="2">
        <v>25.607500000000002</v>
      </c>
      <c r="M994" s="5">
        <v>141.56449999999998</v>
      </c>
      <c r="N994" s="1">
        <v>201.399</v>
      </c>
      <c r="O994" s="2">
        <v>12.1</v>
      </c>
      <c r="P994">
        <v>121</v>
      </c>
    </row>
    <row r="995" spans="1:16" x14ac:dyDescent="0.35">
      <c r="A995" s="4">
        <v>44531</v>
      </c>
      <c r="B995" t="s">
        <v>20</v>
      </c>
      <c r="C995" t="s">
        <v>13</v>
      </c>
      <c r="D995">
        <v>1</v>
      </c>
      <c r="E995" s="2">
        <v>2275</v>
      </c>
      <c r="F995" s="2">
        <f t="shared" si="154"/>
        <v>2154.3325</v>
      </c>
      <c r="G995" s="3">
        <v>1</v>
      </c>
      <c r="H995">
        <v>3555</v>
      </c>
      <c r="I995">
        <v>1505.2</v>
      </c>
      <c r="J995">
        <v>21708</v>
      </c>
      <c r="K995">
        <v>39840</v>
      </c>
      <c r="L995" s="2">
        <v>25.607500000000002</v>
      </c>
      <c r="M995" s="5">
        <v>141.56449999999998</v>
      </c>
      <c r="N995" s="1">
        <v>201.399</v>
      </c>
      <c r="O995" s="2">
        <v>12.1</v>
      </c>
      <c r="P995">
        <v>121</v>
      </c>
    </row>
    <row r="996" spans="1:16" x14ac:dyDescent="0.35">
      <c r="A996" s="4">
        <v>44531</v>
      </c>
      <c r="B996" t="s">
        <v>20</v>
      </c>
      <c r="C996" t="s">
        <v>14</v>
      </c>
      <c r="D996">
        <v>1</v>
      </c>
      <c r="E996" s="2">
        <f>(2290+2316+2300+2288)/4</f>
        <v>2298.5</v>
      </c>
      <c r="F996" s="2">
        <f t="shared" si="154"/>
        <v>2154.3325</v>
      </c>
      <c r="G996" s="3">
        <v>1</v>
      </c>
      <c r="H996">
        <v>3555</v>
      </c>
      <c r="I996">
        <v>1505.2</v>
      </c>
      <c r="J996">
        <v>21708</v>
      </c>
      <c r="K996">
        <v>39840</v>
      </c>
      <c r="L996" s="2">
        <v>25.607500000000002</v>
      </c>
      <c r="M996" s="5">
        <v>141.56449999999998</v>
      </c>
      <c r="N996" s="1">
        <v>201.399</v>
      </c>
      <c r="O996" s="2">
        <v>12.1</v>
      </c>
      <c r="P996">
        <v>121</v>
      </c>
    </row>
    <row r="997" spans="1:16" x14ac:dyDescent="0.35">
      <c r="A997" s="4">
        <v>44531</v>
      </c>
      <c r="B997" t="s">
        <v>20</v>
      </c>
      <c r="C997" t="s">
        <v>15</v>
      </c>
      <c r="D997">
        <v>1</v>
      </c>
      <c r="E997" s="2">
        <v>2270</v>
      </c>
      <c r="F997" s="2">
        <f t="shared" si="154"/>
        <v>2154.3325</v>
      </c>
      <c r="G997" s="3">
        <v>1</v>
      </c>
      <c r="H997">
        <v>3555</v>
      </c>
      <c r="I997">
        <v>1505.2</v>
      </c>
      <c r="J997">
        <v>21708</v>
      </c>
      <c r="K997">
        <v>39840</v>
      </c>
      <c r="L997" s="2">
        <v>25.607500000000002</v>
      </c>
      <c r="M997" s="5">
        <v>141.56449999999998</v>
      </c>
      <c r="N997" s="1">
        <v>201.399</v>
      </c>
      <c r="O997" s="2">
        <v>12.1</v>
      </c>
      <c r="P997">
        <v>121</v>
      </c>
    </row>
    <row r="998" spans="1:16" x14ac:dyDescent="0.35">
      <c r="A998" s="4">
        <v>44531</v>
      </c>
      <c r="B998" t="s">
        <v>21</v>
      </c>
      <c r="C998" t="s">
        <v>10</v>
      </c>
      <c r="D998">
        <v>1</v>
      </c>
      <c r="E998" s="2">
        <v>1737.25</v>
      </c>
      <c r="F998" s="2">
        <f t="shared" ref="F998:F1003" si="155">(2047.17+2048.83+2033.33+2034.33)/4</f>
        <v>2040.915</v>
      </c>
      <c r="G998" s="3">
        <v>1</v>
      </c>
      <c r="H998">
        <v>3555</v>
      </c>
      <c r="I998">
        <v>1505.2</v>
      </c>
      <c r="J998">
        <v>21708</v>
      </c>
      <c r="K998">
        <v>39840</v>
      </c>
      <c r="L998" s="2">
        <v>25.607500000000002</v>
      </c>
      <c r="M998" s="5">
        <v>141.56449999999998</v>
      </c>
      <c r="N998" s="1">
        <v>201.399</v>
      </c>
      <c r="O998" s="2">
        <v>12.1</v>
      </c>
      <c r="P998">
        <v>121</v>
      </c>
    </row>
    <row r="999" spans="1:16" x14ac:dyDescent="0.35">
      <c r="A999" s="4">
        <v>44531</v>
      </c>
      <c r="B999" t="s">
        <v>21</v>
      </c>
      <c r="C999" t="s">
        <v>11</v>
      </c>
      <c r="D999">
        <v>1</v>
      </c>
      <c r="E999" s="2">
        <v>2025</v>
      </c>
      <c r="F999" s="2">
        <f t="shared" si="155"/>
        <v>2040.915</v>
      </c>
      <c r="G999" s="3">
        <v>1</v>
      </c>
      <c r="H999">
        <v>3555</v>
      </c>
      <c r="I999">
        <v>1505.2</v>
      </c>
      <c r="J999">
        <v>21708</v>
      </c>
      <c r="K999">
        <v>39840</v>
      </c>
      <c r="L999" s="2">
        <v>25.607500000000002</v>
      </c>
      <c r="M999" s="5">
        <v>141.56449999999998</v>
      </c>
      <c r="N999" s="1">
        <v>201.399</v>
      </c>
      <c r="O999" s="2">
        <v>12.1</v>
      </c>
      <c r="P999">
        <v>121</v>
      </c>
    </row>
    <row r="1000" spans="1:16" x14ac:dyDescent="0.35">
      <c r="A1000" s="4">
        <v>44531</v>
      </c>
      <c r="B1000" t="s">
        <v>21</v>
      </c>
      <c r="C1000" t="s">
        <v>12</v>
      </c>
      <c r="D1000">
        <v>1</v>
      </c>
      <c r="E1000" s="2">
        <v>1800</v>
      </c>
      <c r="F1000" s="2">
        <f t="shared" si="155"/>
        <v>2040.915</v>
      </c>
      <c r="G1000" s="3">
        <v>1</v>
      </c>
      <c r="H1000">
        <v>3555</v>
      </c>
      <c r="I1000">
        <v>1505.2</v>
      </c>
      <c r="J1000">
        <v>21708</v>
      </c>
      <c r="K1000">
        <v>39840</v>
      </c>
      <c r="L1000" s="2">
        <v>25.607500000000002</v>
      </c>
      <c r="M1000" s="5">
        <v>141.56449999999998</v>
      </c>
      <c r="N1000" s="1">
        <v>201.399</v>
      </c>
      <c r="O1000" s="2">
        <v>12.1</v>
      </c>
      <c r="P1000">
        <v>121</v>
      </c>
    </row>
    <row r="1001" spans="1:16" x14ac:dyDescent="0.35">
      <c r="A1001" s="4">
        <v>44531</v>
      </c>
      <c r="B1001" t="s">
        <v>21</v>
      </c>
      <c r="C1001" t="s">
        <v>13</v>
      </c>
      <c r="D1001">
        <v>1</v>
      </c>
      <c r="E1001" s="2">
        <v>2225</v>
      </c>
      <c r="F1001" s="2">
        <f t="shared" si="155"/>
        <v>2040.915</v>
      </c>
      <c r="G1001" s="3">
        <v>1</v>
      </c>
      <c r="H1001">
        <v>3555</v>
      </c>
      <c r="I1001">
        <v>1505.2</v>
      </c>
      <c r="J1001">
        <v>21708</v>
      </c>
      <c r="K1001">
        <v>39840</v>
      </c>
      <c r="L1001" s="2">
        <v>25.607500000000002</v>
      </c>
      <c r="M1001" s="5">
        <v>141.56449999999998</v>
      </c>
      <c r="N1001" s="1">
        <v>201.399</v>
      </c>
      <c r="O1001" s="2">
        <v>12.1</v>
      </c>
      <c r="P1001">
        <v>121</v>
      </c>
    </row>
    <row r="1002" spans="1:16" x14ac:dyDescent="0.35">
      <c r="A1002" s="4">
        <v>44531</v>
      </c>
      <c r="B1002" t="s">
        <v>21</v>
      </c>
      <c r="C1002" t="s">
        <v>14</v>
      </c>
      <c r="D1002">
        <v>1</v>
      </c>
      <c r="E1002" s="2">
        <f>(2233+2243+2250+2206)/4</f>
        <v>2233</v>
      </c>
      <c r="F1002" s="2">
        <f t="shared" si="155"/>
        <v>2040.915</v>
      </c>
      <c r="G1002" s="3">
        <v>1</v>
      </c>
      <c r="H1002">
        <v>3555</v>
      </c>
      <c r="I1002">
        <v>1505.2</v>
      </c>
      <c r="J1002">
        <v>21708</v>
      </c>
      <c r="K1002">
        <v>39840</v>
      </c>
      <c r="L1002" s="2">
        <v>25.607500000000002</v>
      </c>
      <c r="M1002" s="5">
        <v>141.56449999999998</v>
      </c>
      <c r="N1002" s="1">
        <v>201.399</v>
      </c>
      <c r="O1002" s="2">
        <v>12.1</v>
      </c>
      <c r="P1002">
        <v>121</v>
      </c>
    </row>
    <row r="1003" spans="1:16" x14ac:dyDescent="0.35">
      <c r="A1003" s="4">
        <v>44531</v>
      </c>
      <c r="B1003" t="s">
        <v>21</v>
      </c>
      <c r="C1003" t="s">
        <v>15</v>
      </c>
      <c r="D1003">
        <v>1</v>
      </c>
      <c r="E1003" s="2">
        <v>2225</v>
      </c>
      <c r="F1003" s="2">
        <f t="shared" si="155"/>
        <v>2040.915</v>
      </c>
      <c r="G1003" s="3">
        <v>1</v>
      </c>
      <c r="H1003">
        <v>3555</v>
      </c>
      <c r="I1003">
        <v>1505.2</v>
      </c>
      <c r="J1003">
        <v>21708</v>
      </c>
      <c r="K1003">
        <v>39840</v>
      </c>
      <c r="L1003" s="2">
        <v>25.607500000000002</v>
      </c>
      <c r="M1003" s="5">
        <v>141.56449999999998</v>
      </c>
      <c r="N1003" s="1">
        <v>201.399</v>
      </c>
      <c r="O1003" s="2">
        <v>12.1</v>
      </c>
      <c r="P1003">
        <v>121</v>
      </c>
    </row>
    <row r="1004" spans="1:16" x14ac:dyDescent="0.35">
      <c r="A1004" s="4">
        <v>44531</v>
      </c>
      <c r="B1004" t="s">
        <v>22</v>
      </c>
      <c r="C1004" t="s">
        <v>10</v>
      </c>
      <c r="D1004">
        <v>0</v>
      </c>
      <c r="E1004" s="2" t="s">
        <v>27</v>
      </c>
      <c r="F1004" s="2">
        <f t="shared" ref="F1004:F1009" si="156">(1950+1980+1990+1933)/4</f>
        <v>1963.25</v>
      </c>
      <c r="G1004" s="3">
        <v>1</v>
      </c>
      <c r="H1004">
        <v>3555</v>
      </c>
      <c r="I1004">
        <v>1505.2</v>
      </c>
      <c r="J1004">
        <v>21708</v>
      </c>
      <c r="K1004">
        <v>39840</v>
      </c>
      <c r="L1004" s="2">
        <v>25.607500000000002</v>
      </c>
      <c r="M1004" s="5">
        <v>141.56449999999998</v>
      </c>
      <c r="N1004" s="1">
        <v>201.399</v>
      </c>
      <c r="O1004" s="2">
        <v>12.1</v>
      </c>
      <c r="P1004">
        <v>121</v>
      </c>
    </row>
    <row r="1005" spans="1:16" x14ac:dyDescent="0.35">
      <c r="A1005" s="4">
        <v>44531</v>
      </c>
      <c r="B1005" t="s">
        <v>22</v>
      </c>
      <c r="C1005" t="s">
        <v>11</v>
      </c>
      <c r="D1005">
        <v>0</v>
      </c>
      <c r="E1005" s="2" t="s">
        <v>27</v>
      </c>
      <c r="F1005" s="2">
        <f t="shared" si="156"/>
        <v>1963.25</v>
      </c>
      <c r="G1005" s="3">
        <v>1</v>
      </c>
      <c r="H1005">
        <v>3555</v>
      </c>
      <c r="I1005">
        <v>1505.2</v>
      </c>
      <c r="J1005">
        <v>21708</v>
      </c>
      <c r="K1005">
        <v>39840</v>
      </c>
      <c r="L1005" s="2">
        <v>25.607500000000002</v>
      </c>
      <c r="M1005" s="5">
        <v>141.56449999999998</v>
      </c>
      <c r="N1005" s="1">
        <v>201.399</v>
      </c>
      <c r="O1005" s="2">
        <v>12.1</v>
      </c>
      <c r="P1005">
        <v>121</v>
      </c>
    </row>
    <row r="1006" spans="1:16" x14ac:dyDescent="0.35">
      <c r="A1006" s="4">
        <v>44531</v>
      </c>
      <c r="B1006" t="s">
        <v>22</v>
      </c>
      <c r="C1006" t="s">
        <v>12</v>
      </c>
      <c r="D1006">
        <v>0</v>
      </c>
      <c r="E1006" s="2" t="s">
        <v>27</v>
      </c>
      <c r="F1006" s="2">
        <f t="shared" si="156"/>
        <v>1963.25</v>
      </c>
      <c r="G1006" s="3">
        <v>1</v>
      </c>
      <c r="H1006">
        <v>3555</v>
      </c>
      <c r="I1006">
        <v>1505.2</v>
      </c>
      <c r="J1006">
        <v>21708</v>
      </c>
      <c r="K1006">
        <v>39840</v>
      </c>
      <c r="L1006" s="2">
        <v>25.607500000000002</v>
      </c>
      <c r="M1006" s="5">
        <v>141.56449999999998</v>
      </c>
      <c r="N1006" s="1">
        <v>201.399</v>
      </c>
      <c r="O1006" s="2">
        <v>12.1</v>
      </c>
      <c r="P1006">
        <v>121</v>
      </c>
    </row>
    <row r="1007" spans="1:16" x14ac:dyDescent="0.35">
      <c r="A1007" s="4">
        <v>44531</v>
      </c>
      <c r="B1007" t="s">
        <v>22</v>
      </c>
      <c r="C1007" t="s">
        <v>13</v>
      </c>
      <c r="D1007">
        <v>0</v>
      </c>
      <c r="E1007" s="2" t="s">
        <v>27</v>
      </c>
      <c r="F1007" s="2">
        <f t="shared" si="156"/>
        <v>1963.25</v>
      </c>
      <c r="G1007" s="3">
        <v>1</v>
      </c>
      <c r="H1007">
        <v>3555</v>
      </c>
      <c r="I1007">
        <v>1505.2</v>
      </c>
      <c r="J1007">
        <v>21708</v>
      </c>
      <c r="K1007">
        <v>39840</v>
      </c>
      <c r="L1007" s="2">
        <v>25.607500000000002</v>
      </c>
      <c r="M1007" s="5">
        <v>141.56449999999998</v>
      </c>
      <c r="N1007" s="1">
        <v>201.399</v>
      </c>
      <c r="O1007" s="2">
        <v>12.1</v>
      </c>
      <c r="P1007">
        <v>121</v>
      </c>
    </row>
    <row r="1008" spans="1:16" x14ac:dyDescent="0.35">
      <c r="A1008" s="4">
        <v>44531</v>
      </c>
      <c r="B1008" t="s">
        <v>22</v>
      </c>
      <c r="C1008" t="s">
        <v>14</v>
      </c>
      <c r="D1008">
        <v>1</v>
      </c>
      <c r="E1008" s="2">
        <f>(1950+1980+1990+1933)/4</f>
        <v>1963.25</v>
      </c>
      <c r="F1008" s="2">
        <f t="shared" si="156"/>
        <v>1963.25</v>
      </c>
      <c r="G1008" s="3">
        <v>1</v>
      </c>
      <c r="H1008">
        <v>3555</v>
      </c>
      <c r="I1008">
        <v>1505.2</v>
      </c>
      <c r="J1008">
        <v>21708</v>
      </c>
      <c r="K1008">
        <v>39840</v>
      </c>
      <c r="L1008" s="2">
        <v>25.607500000000002</v>
      </c>
      <c r="M1008" s="5">
        <v>141.56449999999998</v>
      </c>
      <c r="N1008" s="1">
        <v>201.399</v>
      </c>
      <c r="O1008" s="2">
        <v>12.1</v>
      </c>
      <c r="P1008">
        <v>121</v>
      </c>
    </row>
    <row r="1009" spans="1:16" x14ac:dyDescent="0.35">
      <c r="A1009" s="4">
        <v>44531</v>
      </c>
      <c r="B1009" t="s">
        <v>22</v>
      </c>
      <c r="C1009" t="s">
        <v>15</v>
      </c>
      <c r="D1009">
        <v>0</v>
      </c>
      <c r="E1009" s="2" t="s">
        <v>27</v>
      </c>
      <c r="F1009" s="2">
        <f t="shared" si="156"/>
        <v>1963.25</v>
      </c>
      <c r="G1009" s="3">
        <v>1</v>
      </c>
      <c r="H1009">
        <v>3555</v>
      </c>
      <c r="I1009">
        <v>1505.2</v>
      </c>
      <c r="J1009">
        <v>21708</v>
      </c>
      <c r="K1009">
        <v>39840</v>
      </c>
      <c r="L1009" s="2">
        <v>25.607500000000002</v>
      </c>
      <c r="M1009" s="5">
        <v>141.56449999999998</v>
      </c>
      <c r="N1009" s="1">
        <v>201.399</v>
      </c>
      <c r="O1009" s="2">
        <v>12.1</v>
      </c>
      <c r="P1009">
        <v>121</v>
      </c>
    </row>
    <row r="1010" spans="1:16" x14ac:dyDescent="0.35">
      <c r="A1010" s="4">
        <v>44562</v>
      </c>
      <c r="B1010" t="s">
        <v>16</v>
      </c>
      <c r="C1010" t="s">
        <v>10</v>
      </c>
      <c r="D1010">
        <v>1</v>
      </c>
      <c r="E1010" s="2">
        <f>(3500+3450+3550+3283)/4</f>
        <v>3445.75</v>
      </c>
      <c r="F1010" s="2">
        <f t="shared" ref="F1010:F1015" si="157">(3358.25+3440.5+3456.25+3497)/4</f>
        <v>3438</v>
      </c>
      <c r="G1010" s="3">
        <v>0</v>
      </c>
      <c r="H1010">
        <v>0</v>
      </c>
      <c r="I1010">
        <v>1280.9000000000001</v>
      </c>
      <c r="J1010">
        <v>19275</v>
      </c>
      <c r="K1010">
        <v>11175</v>
      </c>
      <c r="L1010" s="2">
        <v>25.470624999999998</v>
      </c>
      <c r="M1010" s="5">
        <v>122.19749999999996</v>
      </c>
      <c r="N1010" s="1">
        <v>201.46469999999999</v>
      </c>
      <c r="O1010" s="2">
        <v>14.2</v>
      </c>
      <c r="P1010">
        <v>121</v>
      </c>
    </row>
    <row r="1011" spans="1:16" x14ac:dyDescent="0.35">
      <c r="A1011" s="4">
        <v>44562</v>
      </c>
      <c r="B1011" t="s">
        <v>16</v>
      </c>
      <c r="C1011" t="s">
        <v>11</v>
      </c>
      <c r="D1011">
        <v>0</v>
      </c>
      <c r="E1011" s="2" t="s">
        <v>27</v>
      </c>
      <c r="F1011" s="2">
        <f t="shared" si="157"/>
        <v>3438</v>
      </c>
      <c r="G1011" s="3">
        <v>0</v>
      </c>
      <c r="H1011">
        <v>0</v>
      </c>
      <c r="I1011">
        <v>1280.9000000000001</v>
      </c>
      <c r="J1011">
        <v>19275</v>
      </c>
      <c r="K1011">
        <v>11175</v>
      </c>
      <c r="L1011" s="2">
        <v>25.470624999999998</v>
      </c>
      <c r="M1011" s="5">
        <v>122.19749999999996</v>
      </c>
      <c r="N1011" s="1">
        <v>201.46469999999999</v>
      </c>
      <c r="O1011" s="2">
        <v>14.2</v>
      </c>
      <c r="P1011">
        <v>121</v>
      </c>
    </row>
    <row r="1012" spans="1:16" x14ac:dyDescent="0.35">
      <c r="A1012" s="4">
        <v>44562</v>
      </c>
      <c r="B1012" t="s">
        <v>16</v>
      </c>
      <c r="C1012" t="s">
        <v>12</v>
      </c>
      <c r="D1012">
        <v>1</v>
      </c>
      <c r="E1012" s="2">
        <v>3200</v>
      </c>
      <c r="F1012" s="2">
        <f t="shared" si="157"/>
        <v>3438</v>
      </c>
      <c r="G1012" s="3">
        <v>0</v>
      </c>
      <c r="H1012">
        <v>0</v>
      </c>
      <c r="I1012">
        <v>1280.9000000000001</v>
      </c>
      <c r="J1012">
        <v>19275</v>
      </c>
      <c r="K1012">
        <v>11175</v>
      </c>
      <c r="L1012" s="2">
        <v>25.470624999999998</v>
      </c>
      <c r="M1012" s="5">
        <v>122.19749999999996</v>
      </c>
      <c r="N1012" s="1">
        <v>201.46469999999999</v>
      </c>
      <c r="O1012" s="2">
        <v>14.2</v>
      </c>
      <c r="P1012">
        <v>121</v>
      </c>
    </row>
    <row r="1013" spans="1:16" x14ac:dyDescent="0.35">
      <c r="A1013" s="4">
        <v>44562</v>
      </c>
      <c r="B1013" t="s">
        <v>16</v>
      </c>
      <c r="C1013" t="s">
        <v>13</v>
      </c>
      <c r="D1013">
        <v>1</v>
      </c>
      <c r="E1013" s="2">
        <v>3500</v>
      </c>
      <c r="F1013" s="2">
        <f t="shared" si="157"/>
        <v>3438</v>
      </c>
      <c r="G1013" s="3">
        <v>0</v>
      </c>
      <c r="H1013">
        <v>0</v>
      </c>
      <c r="I1013">
        <v>1280.9000000000001</v>
      </c>
      <c r="J1013">
        <v>19275</v>
      </c>
      <c r="K1013">
        <v>11175</v>
      </c>
      <c r="L1013" s="2">
        <v>25.470624999999998</v>
      </c>
      <c r="M1013" s="5">
        <v>122.19749999999996</v>
      </c>
      <c r="N1013" s="1">
        <v>201.46469999999999</v>
      </c>
      <c r="O1013" s="2">
        <v>14.2</v>
      </c>
      <c r="P1013">
        <v>121</v>
      </c>
    </row>
    <row r="1014" spans="1:16" x14ac:dyDescent="0.35">
      <c r="A1014" s="4">
        <v>44562</v>
      </c>
      <c r="B1014" t="s">
        <v>16</v>
      </c>
      <c r="C1014" t="s">
        <v>14</v>
      </c>
      <c r="D1014">
        <v>1</v>
      </c>
      <c r="E1014" s="2">
        <f>(3625+3738+3562+3500)/4</f>
        <v>3606.25</v>
      </c>
      <c r="F1014" s="2">
        <f t="shared" si="157"/>
        <v>3438</v>
      </c>
      <c r="G1014" s="3">
        <v>0</v>
      </c>
      <c r="H1014">
        <v>0</v>
      </c>
      <c r="I1014">
        <v>1280.9000000000001</v>
      </c>
      <c r="J1014">
        <v>19275</v>
      </c>
      <c r="K1014">
        <v>11175</v>
      </c>
      <c r="L1014" s="2">
        <v>25.470624999999998</v>
      </c>
      <c r="M1014" s="5">
        <v>122.19749999999996</v>
      </c>
      <c r="N1014" s="1">
        <v>201.46469999999999</v>
      </c>
      <c r="O1014" s="2">
        <v>14.2</v>
      </c>
      <c r="P1014">
        <v>121</v>
      </c>
    </row>
    <row r="1015" spans="1:16" x14ac:dyDescent="0.35">
      <c r="A1015" s="4">
        <v>44562</v>
      </c>
      <c r="B1015" t="s">
        <v>16</v>
      </c>
      <c r="C1015" t="s">
        <v>15</v>
      </c>
      <c r="D1015">
        <v>0</v>
      </c>
      <c r="E1015" s="2" t="s">
        <v>27</v>
      </c>
      <c r="F1015" s="2">
        <f t="shared" si="157"/>
        <v>3438</v>
      </c>
      <c r="G1015" s="3">
        <v>0</v>
      </c>
      <c r="H1015">
        <v>0</v>
      </c>
      <c r="I1015">
        <v>1280.9000000000001</v>
      </c>
      <c r="J1015">
        <v>19275</v>
      </c>
      <c r="K1015">
        <v>11175</v>
      </c>
      <c r="L1015" s="2">
        <v>25.470624999999998</v>
      </c>
      <c r="M1015" s="5">
        <v>122.19749999999996</v>
      </c>
      <c r="N1015" s="1">
        <v>201.46469999999999</v>
      </c>
      <c r="O1015" s="2">
        <v>14.2</v>
      </c>
      <c r="P1015">
        <v>121</v>
      </c>
    </row>
    <row r="1016" spans="1:16" x14ac:dyDescent="0.35">
      <c r="A1016" s="4">
        <v>44562</v>
      </c>
      <c r="B1016" t="s">
        <v>17</v>
      </c>
      <c r="C1016" t="s">
        <v>10</v>
      </c>
      <c r="D1016">
        <v>1</v>
      </c>
      <c r="E1016" s="2">
        <f>(3000+3100+3183+2950)/4</f>
        <v>3058.25</v>
      </c>
      <c r="F1016" s="2">
        <f t="shared" ref="F1016:F1021" si="158">(2945.6+2968+2929.6+2889.6)/4</f>
        <v>2933.2000000000003</v>
      </c>
      <c r="G1016" s="3">
        <v>0</v>
      </c>
      <c r="H1016">
        <v>0</v>
      </c>
      <c r="I1016">
        <v>1280.9000000000001</v>
      </c>
      <c r="J1016">
        <v>19275</v>
      </c>
      <c r="K1016">
        <v>11175</v>
      </c>
      <c r="L1016" s="2">
        <v>25.470624999999998</v>
      </c>
      <c r="M1016" s="5">
        <v>122.19749999999996</v>
      </c>
      <c r="N1016" s="1">
        <v>201.46469999999999</v>
      </c>
      <c r="O1016" s="2">
        <v>14.2</v>
      </c>
      <c r="P1016">
        <v>121</v>
      </c>
    </row>
    <row r="1017" spans="1:16" x14ac:dyDescent="0.35">
      <c r="A1017" s="4">
        <v>44562</v>
      </c>
      <c r="B1017" t="s">
        <v>17</v>
      </c>
      <c r="C1017" t="s">
        <v>11</v>
      </c>
      <c r="D1017">
        <v>1</v>
      </c>
      <c r="E1017" s="2">
        <v>2837.5</v>
      </c>
      <c r="F1017" s="2">
        <f t="shared" si="158"/>
        <v>2933.2000000000003</v>
      </c>
      <c r="G1017" s="3">
        <v>0</v>
      </c>
      <c r="H1017">
        <v>0</v>
      </c>
      <c r="I1017">
        <v>1280.9000000000001</v>
      </c>
      <c r="J1017">
        <v>19275</v>
      </c>
      <c r="K1017">
        <v>11175</v>
      </c>
      <c r="L1017" s="2">
        <v>25.470624999999998</v>
      </c>
      <c r="M1017" s="5">
        <v>122.19749999999996</v>
      </c>
      <c r="N1017" s="1">
        <v>201.46469999999999</v>
      </c>
      <c r="O1017" s="2">
        <v>14.2</v>
      </c>
      <c r="P1017">
        <v>121</v>
      </c>
    </row>
    <row r="1018" spans="1:16" x14ac:dyDescent="0.35">
      <c r="A1018" s="4">
        <v>44562</v>
      </c>
      <c r="B1018" t="s">
        <v>17</v>
      </c>
      <c r="C1018" t="s">
        <v>12</v>
      </c>
      <c r="D1018">
        <v>1</v>
      </c>
      <c r="E1018" s="2">
        <v>2865</v>
      </c>
      <c r="F1018" s="2">
        <f t="shared" si="158"/>
        <v>2933.2000000000003</v>
      </c>
      <c r="G1018" s="3">
        <v>0</v>
      </c>
      <c r="H1018">
        <v>0</v>
      </c>
      <c r="I1018">
        <v>1280.9000000000001</v>
      </c>
      <c r="J1018">
        <v>19275</v>
      </c>
      <c r="K1018">
        <v>11175</v>
      </c>
      <c r="L1018" s="2">
        <v>25.470624999999998</v>
      </c>
      <c r="M1018" s="5">
        <v>122.19749999999996</v>
      </c>
      <c r="N1018" s="1">
        <v>201.46469999999999</v>
      </c>
      <c r="O1018" s="2">
        <v>14.2</v>
      </c>
      <c r="P1018">
        <v>121</v>
      </c>
    </row>
    <row r="1019" spans="1:16" x14ac:dyDescent="0.35">
      <c r="A1019" s="4">
        <v>44562</v>
      </c>
      <c r="B1019" t="s">
        <v>17</v>
      </c>
      <c r="C1019" t="s">
        <v>13</v>
      </c>
      <c r="D1019">
        <v>1</v>
      </c>
      <c r="E1019" s="2">
        <f>(2875*2+2650+2800)/4</f>
        <v>2800</v>
      </c>
      <c r="F1019" s="2">
        <f t="shared" si="158"/>
        <v>2933.2000000000003</v>
      </c>
      <c r="G1019" s="3">
        <v>0</v>
      </c>
      <c r="H1019">
        <v>0</v>
      </c>
      <c r="I1019">
        <v>1280.9000000000001</v>
      </c>
      <c r="J1019">
        <v>19275</v>
      </c>
      <c r="K1019">
        <v>11175</v>
      </c>
      <c r="L1019" s="2">
        <v>25.470624999999998</v>
      </c>
      <c r="M1019" s="5">
        <v>122.19749999999996</v>
      </c>
      <c r="N1019" s="1">
        <v>201.46469999999999</v>
      </c>
      <c r="O1019" s="2">
        <v>14.2</v>
      </c>
      <c r="P1019">
        <v>121</v>
      </c>
    </row>
    <row r="1020" spans="1:16" x14ac:dyDescent="0.35">
      <c r="A1020" s="4">
        <v>44562</v>
      </c>
      <c r="B1020" t="s">
        <v>17</v>
      </c>
      <c r="C1020" t="s">
        <v>14</v>
      </c>
      <c r="D1020">
        <v>1</v>
      </c>
      <c r="E1020" s="2">
        <f>(3083+3083+3117+3133)/4</f>
        <v>3104</v>
      </c>
      <c r="F1020" s="2">
        <f t="shared" si="158"/>
        <v>2933.2000000000003</v>
      </c>
      <c r="G1020" s="3">
        <v>0</v>
      </c>
      <c r="H1020">
        <v>0</v>
      </c>
      <c r="I1020">
        <v>1280.9000000000001</v>
      </c>
      <c r="J1020">
        <v>19275</v>
      </c>
      <c r="K1020">
        <v>11175</v>
      </c>
      <c r="L1020" s="2">
        <v>25.470624999999998</v>
      </c>
      <c r="M1020" s="5">
        <v>122.19749999999996</v>
      </c>
      <c r="N1020" s="1">
        <v>201.46469999999999</v>
      </c>
      <c r="O1020" s="2">
        <v>14.2</v>
      </c>
      <c r="P1020">
        <v>121</v>
      </c>
    </row>
    <row r="1021" spans="1:16" x14ac:dyDescent="0.35">
      <c r="A1021" s="4">
        <v>44562</v>
      </c>
      <c r="B1021" t="s">
        <v>17</v>
      </c>
      <c r="C1021" t="s">
        <v>15</v>
      </c>
      <c r="D1021">
        <v>0</v>
      </c>
      <c r="E1021" s="2" t="s">
        <v>27</v>
      </c>
      <c r="F1021" s="2">
        <f t="shared" si="158"/>
        <v>2933.2000000000003</v>
      </c>
      <c r="G1021" s="3">
        <v>0</v>
      </c>
      <c r="H1021">
        <v>0</v>
      </c>
      <c r="I1021">
        <v>1280.9000000000001</v>
      </c>
      <c r="J1021">
        <v>19275</v>
      </c>
      <c r="K1021">
        <v>11175</v>
      </c>
      <c r="L1021" s="2">
        <v>25.470624999999998</v>
      </c>
      <c r="M1021" s="5">
        <v>122.19749999999996</v>
      </c>
      <c r="N1021" s="1">
        <v>201.46469999999999</v>
      </c>
      <c r="O1021" s="2">
        <v>14.2</v>
      </c>
      <c r="P1021">
        <v>121</v>
      </c>
    </row>
    <row r="1022" spans="1:16" x14ac:dyDescent="0.35">
      <c r="A1022" s="4">
        <v>44562</v>
      </c>
      <c r="B1022" t="s">
        <v>18</v>
      </c>
      <c r="C1022" t="s">
        <v>10</v>
      </c>
      <c r="D1022">
        <v>1</v>
      </c>
      <c r="E1022" s="2">
        <f>(2800+2900+2816+2716)/4</f>
        <v>2808</v>
      </c>
      <c r="F1022" s="2">
        <f t="shared" ref="F1022:F1027" si="159">(2642.86+2503.14+2669.71+2681.57)/4</f>
        <v>2624.32</v>
      </c>
      <c r="G1022" s="3">
        <v>0</v>
      </c>
      <c r="H1022">
        <v>0</v>
      </c>
      <c r="I1022">
        <v>1280.9000000000001</v>
      </c>
      <c r="J1022">
        <v>19275</v>
      </c>
      <c r="K1022">
        <v>11175</v>
      </c>
      <c r="L1022" s="2">
        <v>25.470624999999998</v>
      </c>
      <c r="M1022" s="5">
        <v>122.19749999999996</v>
      </c>
      <c r="N1022" s="1">
        <v>201.46469999999999</v>
      </c>
      <c r="O1022" s="2">
        <v>14.2</v>
      </c>
      <c r="P1022">
        <v>121</v>
      </c>
    </row>
    <row r="1023" spans="1:16" x14ac:dyDescent="0.35">
      <c r="A1023" s="4">
        <v>44562</v>
      </c>
      <c r="B1023" t="s">
        <v>18</v>
      </c>
      <c r="C1023" t="s">
        <v>11</v>
      </c>
      <c r="D1023">
        <v>1</v>
      </c>
      <c r="E1023" s="2">
        <f>(2750)</f>
        <v>2750</v>
      </c>
      <c r="F1023" s="2">
        <f t="shared" si="159"/>
        <v>2624.32</v>
      </c>
      <c r="G1023" s="3">
        <v>0</v>
      </c>
      <c r="H1023">
        <v>0</v>
      </c>
      <c r="I1023">
        <v>1280.9000000000001</v>
      </c>
      <c r="J1023">
        <v>19275</v>
      </c>
      <c r="K1023">
        <v>11175</v>
      </c>
      <c r="L1023" s="2">
        <v>25.470624999999998</v>
      </c>
      <c r="M1023" s="5">
        <v>122.19749999999996</v>
      </c>
      <c r="N1023" s="1">
        <v>201.46469999999999</v>
      </c>
      <c r="O1023" s="2">
        <v>14.2</v>
      </c>
      <c r="P1023">
        <v>121</v>
      </c>
    </row>
    <row r="1024" spans="1:16" x14ac:dyDescent="0.35">
      <c r="A1024" s="4">
        <v>44562</v>
      </c>
      <c r="B1024" t="s">
        <v>18</v>
      </c>
      <c r="C1024" t="s">
        <v>12</v>
      </c>
      <c r="D1024">
        <v>1</v>
      </c>
      <c r="E1024" s="2">
        <v>2665</v>
      </c>
      <c r="F1024" s="2">
        <f t="shared" si="159"/>
        <v>2624.32</v>
      </c>
      <c r="G1024" s="3">
        <v>0</v>
      </c>
      <c r="H1024">
        <v>0</v>
      </c>
      <c r="I1024">
        <v>1280.9000000000001</v>
      </c>
      <c r="J1024">
        <v>19275</v>
      </c>
      <c r="K1024">
        <v>11175</v>
      </c>
      <c r="L1024" s="2">
        <v>25.470624999999998</v>
      </c>
      <c r="M1024" s="5">
        <v>122.19749999999996</v>
      </c>
      <c r="N1024" s="1">
        <v>201.46469999999999</v>
      </c>
      <c r="O1024" s="2">
        <v>14.2</v>
      </c>
      <c r="P1024">
        <v>121</v>
      </c>
    </row>
    <row r="1025" spans="1:16" x14ac:dyDescent="0.35">
      <c r="A1025" s="4">
        <v>44562</v>
      </c>
      <c r="B1025" t="s">
        <v>18</v>
      </c>
      <c r="C1025" t="s">
        <v>13</v>
      </c>
      <c r="D1025">
        <v>1</v>
      </c>
      <c r="E1025" s="2">
        <v>2725</v>
      </c>
      <c r="F1025" s="2">
        <f t="shared" si="159"/>
        <v>2624.32</v>
      </c>
      <c r="G1025" s="3">
        <v>0</v>
      </c>
      <c r="H1025">
        <v>0</v>
      </c>
      <c r="I1025">
        <v>1280.9000000000001</v>
      </c>
      <c r="J1025">
        <v>19275</v>
      </c>
      <c r="K1025">
        <v>11175</v>
      </c>
      <c r="L1025" s="2">
        <v>25.470624999999998</v>
      </c>
      <c r="M1025" s="5">
        <v>122.19749999999996</v>
      </c>
      <c r="N1025" s="1">
        <v>201.46469999999999</v>
      </c>
      <c r="O1025" s="2">
        <v>14.2</v>
      </c>
      <c r="P1025">
        <v>121</v>
      </c>
    </row>
    <row r="1026" spans="1:16" x14ac:dyDescent="0.35">
      <c r="A1026" s="4">
        <v>44562</v>
      </c>
      <c r="B1026" t="s">
        <v>18</v>
      </c>
      <c r="C1026" t="s">
        <v>14</v>
      </c>
      <c r="D1026">
        <v>1</v>
      </c>
      <c r="E1026" s="2">
        <f>(2800+2817*2+2850)/4</f>
        <v>2821</v>
      </c>
      <c r="F1026" s="2">
        <f t="shared" si="159"/>
        <v>2624.32</v>
      </c>
      <c r="G1026" s="3">
        <v>0</v>
      </c>
      <c r="H1026">
        <v>0</v>
      </c>
      <c r="I1026">
        <v>1280.9000000000001</v>
      </c>
      <c r="J1026">
        <v>19275</v>
      </c>
      <c r="K1026">
        <v>11175</v>
      </c>
      <c r="L1026" s="2">
        <v>25.470624999999998</v>
      </c>
      <c r="M1026" s="5">
        <v>122.19749999999996</v>
      </c>
      <c r="N1026" s="1">
        <v>201.46469999999999</v>
      </c>
      <c r="O1026" s="2">
        <v>14.2</v>
      </c>
      <c r="P1026">
        <v>121</v>
      </c>
    </row>
    <row r="1027" spans="1:16" x14ac:dyDescent="0.35">
      <c r="A1027" s="4">
        <v>44562</v>
      </c>
      <c r="B1027" t="s">
        <v>18</v>
      </c>
      <c r="C1027" t="s">
        <v>15</v>
      </c>
      <c r="D1027">
        <v>1</v>
      </c>
      <c r="E1027" s="2">
        <v>2690</v>
      </c>
      <c r="F1027" s="2">
        <f t="shared" si="159"/>
        <v>2624.32</v>
      </c>
      <c r="G1027" s="3">
        <v>0</v>
      </c>
      <c r="H1027">
        <v>0</v>
      </c>
      <c r="I1027">
        <v>1280.9000000000001</v>
      </c>
      <c r="J1027">
        <v>19275</v>
      </c>
      <c r="K1027">
        <v>11175</v>
      </c>
      <c r="L1027" s="2">
        <v>25.470624999999998</v>
      </c>
      <c r="M1027" s="5">
        <v>122.19749999999996</v>
      </c>
      <c r="N1027" s="1">
        <v>201.46469999999999</v>
      </c>
      <c r="O1027" s="2">
        <v>14.2</v>
      </c>
      <c r="P1027">
        <v>121</v>
      </c>
    </row>
    <row r="1028" spans="1:16" x14ac:dyDescent="0.35">
      <c r="A1028" s="4">
        <v>44562</v>
      </c>
      <c r="B1028" t="s">
        <v>19</v>
      </c>
      <c r="C1028" t="s">
        <v>10</v>
      </c>
      <c r="D1028">
        <v>1</v>
      </c>
      <c r="E1028" s="2">
        <f>(2650+2600+2683+2633)/4</f>
        <v>2641.5</v>
      </c>
      <c r="F1028" s="2">
        <f t="shared" ref="F1028:F1033" si="160">(2531.43+2516.71+2355.14+2498.71)/4</f>
        <v>2475.4974999999995</v>
      </c>
      <c r="G1028" s="3">
        <v>0</v>
      </c>
      <c r="H1028">
        <v>0</v>
      </c>
      <c r="I1028">
        <v>1280.9000000000001</v>
      </c>
      <c r="J1028">
        <v>19275</v>
      </c>
      <c r="K1028">
        <v>11175</v>
      </c>
      <c r="L1028" s="2">
        <v>25.470624999999998</v>
      </c>
      <c r="M1028" s="5">
        <v>122.19749999999996</v>
      </c>
      <c r="N1028" s="1">
        <v>201.46469999999999</v>
      </c>
      <c r="O1028" s="2">
        <v>14.2</v>
      </c>
      <c r="P1028">
        <v>121</v>
      </c>
    </row>
    <row r="1029" spans="1:16" x14ac:dyDescent="0.35">
      <c r="A1029" s="4">
        <v>44562</v>
      </c>
      <c r="B1029" t="s">
        <v>19</v>
      </c>
      <c r="C1029" t="s">
        <v>11</v>
      </c>
      <c r="D1029">
        <v>1</v>
      </c>
      <c r="E1029" s="2">
        <v>2600</v>
      </c>
      <c r="F1029" s="2">
        <f t="shared" si="160"/>
        <v>2475.4974999999995</v>
      </c>
      <c r="G1029" s="3">
        <v>0</v>
      </c>
      <c r="H1029">
        <v>0</v>
      </c>
      <c r="I1029">
        <v>1280.9000000000001</v>
      </c>
      <c r="J1029">
        <v>19275</v>
      </c>
      <c r="K1029">
        <v>11175</v>
      </c>
      <c r="L1029" s="2">
        <v>25.470624999999998</v>
      </c>
      <c r="M1029" s="5">
        <v>122.19749999999996</v>
      </c>
      <c r="N1029" s="1">
        <v>201.46469999999999</v>
      </c>
      <c r="O1029" s="2">
        <v>14.2</v>
      </c>
      <c r="P1029">
        <v>121</v>
      </c>
    </row>
    <row r="1030" spans="1:16" x14ac:dyDescent="0.35">
      <c r="A1030" s="4">
        <v>44562</v>
      </c>
      <c r="B1030" t="s">
        <v>19</v>
      </c>
      <c r="C1030" t="s">
        <v>12</v>
      </c>
      <c r="D1030">
        <v>1</v>
      </c>
      <c r="E1030" s="2">
        <v>2550</v>
      </c>
      <c r="F1030" s="2">
        <f t="shared" si="160"/>
        <v>2475.4974999999995</v>
      </c>
      <c r="G1030" s="3">
        <v>0</v>
      </c>
      <c r="H1030">
        <v>0</v>
      </c>
      <c r="I1030">
        <v>1280.9000000000001</v>
      </c>
      <c r="J1030">
        <v>19275</v>
      </c>
      <c r="K1030">
        <v>11175</v>
      </c>
      <c r="L1030" s="2">
        <v>25.470624999999998</v>
      </c>
      <c r="M1030" s="5">
        <v>122.19749999999996</v>
      </c>
      <c r="N1030" s="1">
        <v>201.46469999999999</v>
      </c>
      <c r="O1030" s="2">
        <v>14.2</v>
      </c>
      <c r="P1030">
        <v>121</v>
      </c>
    </row>
    <row r="1031" spans="1:16" x14ac:dyDescent="0.35">
      <c r="A1031" s="4">
        <v>44562</v>
      </c>
      <c r="B1031" t="s">
        <v>19</v>
      </c>
      <c r="C1031" t="s">
        <v>13</v>
      </c>
      <c r="D1031">
        <v>1</v>
      </c>
      <c r="E1031" s="2">
        <v>2637.5</v>
      </c>
      <c r="F1031" s="2">
        <f t="shared" si="160"/>
        <v>2475.4974999999995</v>
      </c>
      <c r="G1031" s="3">
        <v>0</v>
      </c>
      <c r="H1031">
        <v>0</v>
      </c>
      <c r="I1031">
        <v>1280.9000000000001</v>
      </c>
      <c r="J1031">
        <v>19275</v>
      </c>
      <c r="K1031">
        <v>11175</v>
      </c>
      <c r="L1031" s="2">
        <v>25.470624999999998</v>
      </c>
      <c r="M1031" s="5">
        <v>122.19749999999996</v>
      </c>
      <c r="N1031" s="1">
        <v>201.46469999999999</v>
      </c>
      <c r="O1031" s="2">
        <v>14.2</v>
      </c>
      <c r="P1031">
        <v>121</v>
      </c>
    </row>
    <row r="1032" spans="1:16" x14ac:dyDescent="0.35">
      <c r="A1032" s="4">
        <v>44562</v>
      </c>
      <c r="B1032" t="s">
        <v>19</v>
      </c>
      <c r="C1032" t="s">
        <v>14</v>
      </c>
      <c r="D1032">
        <v>1</v>
      </c>
      <c r="E1032" s="2">
        <f>(2667+2670+2623+2628)/4</f>
        <v>2647</v>
      </c>
      <c r="F1032" s="2">
        <f t="shared" si="160"/>
        <v>2475.4974999999995</v>
      </c>
      <c r="G1032" s="3">
        <v>0</v>
      </c>
      <c r="H1032">
        <v>0</v>
      </c>
      <c r="I1032">
        <v>1280.9000000000001</v>
      </c>
      <c r="J1032">
        <v>19275</v>
      </c>
      <c r="K1032">
        <v>11175</v>
      </c>
      <c r="L1032" s="2">
        <v>25.470624999999998</v>
      </c>
      <c r="M1032" s="5">
        <v>122.19749999999996</v>
      </c>
      <c r="N1032" s="1">
        <v>201.46469999999999</v>
      </c>
      <c r="O1032" s="2">
        <v>14.2</v>
      </c>
      <c r="P1032">
        <v>121</v>
      </c>
    </row>
    <row r="1033" spans="1:16" x14ac:dyDescent="0.35">
      <c r="A1033" s="4">
        <v>44562</v>
      </c>
      <c r="B1033" t="s">
        <v>19</v>
      </c>
      <c r="C1033" t="s">
        <v>15</v>
      </c>
      <c r="D1033">
        <v>1</v>
      </c>
      <c r="E1033" s="2">
        <v>2650</v>
      </c>
      <c r="F1033" s="2">
        <f t="shared" si="160"/>
        <v>2475.4974999999995</v>
      </c>
      <c r="G1033" s="3">
        <v>0</v>
      </c>
      <c r="H1033">
        <v>0</v>
      </c>
      <c r="I1033">
        <v>1280.9000000000001</v>
      </c>
      <c r="J1033">
        <v>19275</v>
      </c>
      <c r="K1033">
        <v>11175</v>
      </c>
      <c r="L1033" s="2">
        <v>25.470624999999998</v>
      </c>
      <c r="M1033" s="5">
        <v>122.19749999999996</v>
      </c>
      <c r="N1033" s="1">
        <v>201.46469999999999</v>
      </c>
      <c r="O1033" s="2">
        <v>14.2</v>
      </c>
      <c r="P1033">
        <v>121</v>
      </c>
    </row>
    <row r="1034" spans="1:16" x14ac:dyDescent="0.35">
      <c r="A1034" s="4">
        <v>44562</v>
      </c>
      <c r="B1034" t="s">
        <v>20</v>
      </c>
      <c r="C1034" t="s">
        <v>10</v>
      </c>
      <c r="D1034">
        <v>1</v>
      </c>
      <c r="E1034" s="2">
        <f>(2200+2150+2116*2)/4</f>
        <v>2145.5</v>
      </c>
      <c r="F1034" s="2">
        <f t="shared" ref="F1034:F1039" si="161">(2183.33+2037.67+2191+2192.67)/4</f>
        <v>2151.1675</v>
      </c>
      <c r="G1034" s="3">
        <v>0</v>
      </c>
      <c r="H1034">
        <v>0</v>
      </c>
      <c r="I1034">
        <v>1280.9000000000001</v>
      </c>
      <c r="J1034">
        <v>19275</v>
      </c>
      <c r="K1034">
        <v>11175</v>
      </c>
      <c r="L1034" s="2">
        <v>25.470624999999998</v>
      </c>
      <c r="M1034" s="5">
        <v>122.19749999999996</v>
      </c>
      <c r="N1034" s="1">
        <v>201.46469999999999</v>
      </c>
      <c r="O1034" s="2">
        <v>14.2</v>
      </c>
      <c r="P1034">
        <v>121</v>
      </c>
    </row>
    <row r="1035" spans="1:16" x14ac:dyDescent="0.35">
      <c r="A1035" s="4">
        <v>44562</v>
      </c>
      <c r="B1035" t="s">
        <v>20</v>
      </c>
      <c r="C1035" t="s">
        <v>11</v>
      </c>
      <c r="D1035">
        <v>1</v>
      </c>
      <c r="E1035" s="2">
        <v>2150</v>
      </c>
      <c r="F1035" s="2">
        <f t="shared" si="161"/>
        <v>2151.1675</v>
      </c>
      <c r="G1035" s="3">
        <v>0</v>
      </c>
      <c r="H1035">
        <v>0</v>
      </c>
      <c r="I1035">
        <v>1280.9000000000001</v>
      </c>
      <c r="J1035">
        <v>19275</v>
      </c>
      <c r="K1035">
        <v>11175</v>
      </c>
      <c r="L1035" s="2">
        <v>25.470624999999998</v>
      </c>
      <c r="M1035" s="5">
        <v>122.19749999999996</v>
      </c>
      <c r="N1035" s="1">
        <v>201.46469999999999</v>
      </c>
      <c r="O1035" s="2">
        <v>14.2</v>
      </c>
      <c r="P1035">
        <v>121</v>
      </c>
    </row>
    <row r="1036" spans="1:16" x14ac:dyDescent="0.35">
      <c r="A1036" s="4">
        <v>44562</v>
      </c>
      <c r="B1036" t="s">
        <v>20</v>
      </c>
      <c r="C1036" t="s">
        <v>12</v>
      </c>
      <c r="D1036">
        <v>1</v>
      </c>
      <c r="E1036" s="2">
        <v>1950</v>
      </c>
      <c r="F1036" s="2">
        <f t="shared" si="161"/>
        <v>2151.1675</v>
      </c>
      <c r="G1036" s="3">
        <v>0</v>
      </c>
      <c r="H1036">
        <v>0</v>
      </c>
      <c r="I1036">
        <v>1280.9000000000001</v>
      </c>
      <c r="J1036">
        <v>19275</v>
      </c>
      <c r="K1036">
        <v>11175</v>
      </c>
      <c r="L1036" s="2">
        <v>25.470624999999998</v>
      </c>
      <c r="M1036" s="5">
        <v>122.19749999999996</v>
      </c>
      <c r="N1036" s="1">
        <v>201.46469999999999</v>
      </c>
      <c r="O1036" s="2">
        <v>14.2</v>
      </c>
      <c r="P1036">
        <v>121</v>
      </c>
    </row>
    <row r="1037" spans="1:16" x14ac:dyDescent="0.35">
      <c r="A1037" s="4">
        <v>44562</v>
      </c>
      <c r="B1037" t="s">
        <v>20</v>
      </c>
      <c r="C1037" t="s">
        <v>13</v>
      </c>
      <c r="D1037">
        <v>1</v>
      </c>
      <c r="E1037" s="2">
        <v>2325</v>
      </c>
      <c r="F1037" s="2">
        <f t="shared" si="161"/>
        <v>2151.1675</v>
      </c>
      <c r="G1037" s="3">
        <v>0</v>
      </c>
      <c r="H1037">
        <v>0</v>
      </c>
      <c r="I1037">
        <v>1280.9000000000001</v>
      </c>
      <c r="J1037">
        <v>19275</v>
      </c>
      <c r="K1037">
        <v>11175</v>
      </c>
      <c r="L1037" s="2">
        <v>25.470624999999998</v>
      </c>
      <c r="M1037" s="5">
        <v>122.19749999999996</v>
      </c>
      <c r="N1037" s="1">
        <v>201.46469999999999</v>
      </c>
      <c r="O1037" s="2">
        <v>14.2</v>
      </c>
      <c r="P1037">
        <v>121</v>
      </c>
    </row>
    <row r="1038" spans="1:16" x14ac:dyDescent="0.35">
      <c r="A1038" s="4">
        <v>44562</v>
      </c>
      <c r="B1038" t="s">
        <v>20</v>
      </c>
      <c r="C1038" t="s">
        <v>14</v>
      </c>
      <c r="D1038">
        <v>1</v>
      </c>
      <c r="E1038" s="2">
        <f>(2290+2316+2320+2325)/4</f>
        <v>2312.75</v>
      </c>
      <c r="F1038" s="2">
        <f t="shared" si="161"/>
        <v>2151.1675</v>
      </c>
      <c r="G1038" s="3">
        <v>0</v>
      </c>
      <c r="H1038">
        <v>0</v>
      </c>
      <c r="I1038">
        <v>1280.9000000000001</v>
      </c>
      <c r="J1038">
        <v>19275</v>
      </c>
      <c r="K1038">
        <v>11175</v>
      </c>
      <c r="L1038" s="2">
        <v>25.470624999999998</v>
      </c>
      <c r="M1038" s="5">
        <v>122.19749999999996</v>
      </c>
      <c r="N1038" s="1">
        <v>201.46469999999999</v>
      </c>
      <c r="O1038" s="2">
        <v>14.2</v>
      </c>
      <c r="P1038">
        <v>121</v>
      </c>
    </row>
    <row r="1039" spans="1:16" x14ac:dyDescent="0.35">
      <c r="A1039" s="4">
        <v>44562</v>
      </c>
      <c r="B1039" t="s">
        <v>20</v>
      </c>
      <c r="C1039" t="s">
        <v>15</v>
      </c>
      <c r="D1039">
        <v>1</v>
      </c>
      <c r="E1039" s="2">
        <v>2285</v>
      </c>
      <c r="F1039" s="2">
        <f t="shared" si="161"/>
        <v>2151.1675</v>
      </c>
      <c r="G1039" s="3">
        <v>0</v>
      </c>
      <c r="H1039">
        <v>0</v>
      </c>
      <c r="I1039">
        <v>1280.9000000000001</v>
      </c>
      <c r="J1039">
        <v>19275</v>
      </c>
      <c r="K1039">
        <v>11175</v>
      </c>
      <c r="L1039" s="2">
        <v>25.470624999999998</v>
      </c>
      <c r="M1039" s="5">
        <v>122.19749999999996</v>
      </c>
      <c r="N1039" s="1">
        <v>201.46469999999999</v>
      </c>
      <c r="O1039" s="2">
        <v>14.2</v>
      </c>
      <c r="P1039">
        <v>121</v>
      </c>
    </row>
    <row r="1040" spans="1:16" x14ac:dyDescent="0.35">
      <c r="A1040" s="4">
        <v>44562</v>
      </c>
      <c r="B1040" t="s">
        <v>21</v>
      </c>
      <c r="C1040" t="s">
        <v>10</v>
      </c>
      <c r="D1040">
        <v>1</v>
      </c>
      <c r="E1040" s="2">
        <v>1800</v>
      </c>
      <c r="F1040" s="2">
        <f t="shared" ref="F1040:F1045" si="162">(2078.5+2085.5+2081.67+2036.17)/4</f>
        <v>2070.46</v>
      </c>
      <c r="G1040" s="3">
        <v>0</v>
      </c>
      <c r="H1040">
        <v>0</v>
      </c>
      <c r="I1040">
        <v>1280.9000000000001</v>
      </c>
      <c r="J1040">
        <v>19275</v>
      </c>
      <c r="K1040">
        <v>11175</v>
      </c>
      <c r="L1040" s="2">
        <v>25.470624999999998</v>
      </c>
      <c r="M1040" s="5">
        <v>122.19749999999996</v>
      </c>
      <c r="N1040" s="1">
        <v>201.46469999999999</v>
      </c>
      <c r="O1040" s="2">
        <v>14.2</v>
      </c>
      <c r="P1040">
        <v>121</v>
      </c>
    </row>
    <row r="1041" spans="1:16" x14ac:dyDescent="0.35">
      <c r="A1041" s="4">
        <v>44562</v>
      </c>
      <c r="B1041" t="s">
        <v>21</v>
      </c>
      <c r="C1041" t="s">
        <v>11</v>
      </c>
      <c r="D1041">
        <v>1</v>
      </c>
      <c r="E1041" s="2">
        <v>2050</v>
      </c>
      <c r="F1041" s="2">
        <f t="shared" si="162"/>
        <v>2070.46</v>
      </c>
      <c r="G1041" s="3">
        <v>0</v>
      </c>
      <c r="H1041">
        <v>0</v>
      </c>
      <c r="I1041">
        <v>1280.9000000000001</v>
      </c>
      <c r="J1041">
        <v>19275</v>
      </c>
      <c r="K1041">
        <v>11175</v>
      </c>
      <c r="L1041" s="2">
        <v>25.470624999999998</v>
      </c>
      <c r="M1041" s="5">
        <v>122.19749999999996</v>
      </c>
      <c r="N1041" s="1">
        <v>201.46469999999999</v>
      </c>
      <c r="O1041" s="2">
        <v>14.2</v>
      </c>
      <c r="P1041">
        <v>121</v>
      </c>
    </row>
    <row r="1042" spans="1:16" x14ac:dyDescent="0.35">
      <c r="A1042" s="4">
        <v>44562</v>
      </c>
      <c r="B1042" t="s">
        <v>21</v>
      </c>
      <c r="C1042" t="s">
        <v>12</v>
      </c>
      <c r="D1042">
        <v>1</v>
      </c>
      <c r="E1042" s="2">
        <v>1800</v>
      </c>
      <c r="F1042" s="2">
        <f t="shared" si="162"/>
        <v>2070.46</v>
      </c>
      <c r="G1042" s="3">
        <v>0</v>
      </c>
      <c r="H1042">
        <v>0</v>
      </c>
      <c r="I1042">
        <v>1280.9000000000001</v>
      </c>
      <c r="J1042">
        <v>19275</v>
      </c>
      <c r="K1042">
        <v>11175</v>
      </c>
      <c r="L1042" s="2">
        <v>25.470624999999998</v>
      </c>
      <c r="M1042" s="5">
        <v>122.19749999999996</v>
      </c>
      <c r="N1042" s="1">
        <v>201.46469999999999</v>
      </c>
      <c r="O1042" s="2">
        <v>14.2</v>
      </c>
      <c r="P1042">
        <v>121</v>
      </c>
    </row>
    <row r="1043" spans="1:16" x14ac:dyDescent="0.35">
      <c r="A1043" s="4">
        <v>44562</v>
      </c>
      <c r="B1043" t="s">
        <v>21</v>
      </c>
      <c r="C1043" t="s">
        <v>13</v>
      </c>
      <c r="D1043">
        <v>1</v>
      </c>
      <c r="E1043" s="2">
        <v>2250</v>
      </c>
      <c r="F1043" s="2">
        <f t="shared" si="162"/>
        <v>2070.46</v>
      </c>
      <c r="G1043" s="3">
        <v>0</v>
      </c>
      <c r="H1043">
        <v>0</v>
      </c>
      <c r="I1043">
        <v>1280.9000000000001</v>
      </c>
      <c r="J1043">
        <v>19275</v>
      </c>
      <c r="K1043">
        <v>11175</v>
      </c>
      <c r="L1043" s="2">
        <v>25.470624999999998</v>
      </c>
      <c r="M1043" s="5">
        <v>122.19749999999996</v>
      </c>
      <c r="N1043" s="1">
        <v>201.46469999999999</v>
      </c>
      <c r="O1043" s="2">
        <v>14.2</v>
      </c>
      <c r="P1043">
        <v>121</v>
      </c>
    </row>
    <row r="1044" spans="1:16" x14ac:dyDescent="0.35">
      <c r="A1044" s="4">
        <v>44562</v>
      </c>
      <c r="B1044" t="s">
        <v>21</v>
      </c>
      <c r="C1044" t="s">
        <v>14</v>
      </c>
      <c r="D1044">
        <v>1</v>
      </c>
      <c r="E1044" s="2">
        <f>(2221+2223+2227+2250)/4</f>
        <v>2230.25</v>
      </c>
      <c r="F1044" s="2">
        <f t="shared" si="162"/>
        <v>2070.46</v>
      </c>
      <c r="G1044" s="3">
        <v>0</v>
      </c>
      <c r="H1044">
        <v>0</v>
      </c>
      <c r="I1044">
        <v>1280.9000000000001</v>
      </c>
      <c r="J1044">
        <v>19275</v>
      </c>
      <c r="K1044">
        <v>11175</v>
      </c>
      <c r="L1044" s="2">
        <v>25.470624999999998</v>
      </c>
      <c r="M1044" s="5">
        <v>122.19749999999996</v>
      </c>
      <c r="N1044" s="1">
        <v>201.46469999999999</v>
      </c>
      <c r="O1044" s="2">
        <v>14.2</v>
      </c>
      <c r="P1044">
        <v>121</v>
      </c>
    </row>
    <row r="1045" spans="1:16" x14ac:dyDescent="0.35">
      <c r="A1045" s="4">
        <v>44562</v>
      </c>
      <c r="B1045" t="s">
        <v>21</v>
      </c>
      <c r="C1045" t="s">
        <v>15</v>
      </c>
      <c r="D1045">
        <v>1</v>
      </c>
      <c r="E1045" s="2">
        <v>2235</v>
      </c>
      <c r="F1045" s="2">
        <f t="shared" si="162"/>
        <v>2070.46</v>
      </c>
      <c r="G1045" s="3">
        <v>0</v>
      </c>
      <c r="H1045">
        <v>0</v>
      </c>
      <c r="I1045">
        <v>1280.9000000000001</v>
      </c>
      <c r="J1045">
        <v>19275</v>
      </c>
      <c r="K1045">
        <v>11175</v>
      </c>
      <c r="L1045" s="2">
        <v>25.470624999999998</v>
      </c>
      <c r="M1045" s="5">
        <v>122.19749999999996</v>
      </c>
      <c r="N1045" s="1">
        <v>201.46469999999999</v>
      </c>
      <c r="O1045" s="2">
        <v>14.2</v>
      </c>
      <c r="P1045">
        <v>121</v>
      </c>
    </row>
    <row r="1046" spans="1:16" x14ac:dyDescent="0.35">
      <c r="A1046" s="4">
        <v>44562</v>
      </c>
      <c r="B1046" t="s">
        <v>22</v>
      </c>
      <c r="C1046" t="s">
        <v>10</v>
      </c>
      <c r="D1046">
        <v>0</v>
      </c>
      <c r="E1046" s="2" t="s">
        <v>27</v>
      </c>
      <c r="F1046" s="2">
        <f t="shared" ref="F1046:F1051" si="163">(1950+1990+1980+1975)/4</f>
        <v>1973.75</v>
      </c>
      <c r="G1046" s="3">
        <v>0</v>
      </c>
      <c r="H1046">
        <v>0</v>
      </c>
      <c r="I1046">
        <v>1280.9000000000001</v>
      </c>
      <c r="J1046">
        <v>19275</v>
      </c>
      <c r="K1046">
        <v>11175</v>
      </c>
      <c r="L1046" s="2">
        <v>25.470624999999998</v>
      </c>
      <c r="M1046" s="5">
        <v>122.19749999999996</v>
      </c>
      <c r="N1046" s="1">
        <v>201.46469999999999</v>
      </c>
      <c r="O1046" s="2">
        <v>14.2</v>
      </c>
      <c r="P1046">
        <v>121</v>
      </c>
    </row>
    <row r="1047" spans="1:16" x14ac:dyDescent="0.35">
      <c r="A1047" s="4">
        <v>44562</v>
      </c>
      <c r="B1047" t="s">
        <v>22</v>
      </c>
      <c r="C1047" t="s">
        <v>11</v>
      </c>
      <c r="D1047">
        <v>0</v>
      </c>
      <c r="E1047" s="2" t="s">
        <v>27</v>
      </c>
      <c r="F1047" s="2">
        <f t="shared" si="163"/>
        <v>1973.75</v>
      </c>
      <c r="G1047" s="3">
        <v>0</v>
      </c>
      <c r="H1047">
        <v>0</v>
      </c>
      <c r="I1047">
        <v>1280.9000000000001</v>
      </c>
      <c r="J1047">
        <v>19275</v>
      </c>
      <c r="K1047">
        <v>11175</v>
      </c>
      <c r="L1047" s="2">
        <v>25.470624999999998</v>
      </c>
      <c r="M1047" s="5">
        <v>122.19749999999996</v>
      </c>
      <c r="N1047" s="1">
        <v>201.46469999999999</v>
      </c>
      <c r="O1047" s="2">
        <v>14.2</v>
      </c>
      <c r="P1047">
        <v>121</v>
      </c>
    </row>
    <row r="1048" spans="1:16" x14ac:dyDescent="0.35">
      <c r="A1048" s="4">
        <v>44562</v>
      </c>
      <c r="B1048" t="s">
        <v>22</v>
      </c>
      <c r="C1048" t="s">
        <v>12</v>
      </c>
      <c r="D1048">
        <v>0</v>
      </c>
      <c r="E1048" s="2" t="s">
        <v>27</v>
      </c>
      <c r="F1048" s="2">
        <f t="shared" si="163"/>
        <v>1973.75</v>
      </c>
      <c r="G1048" s="3">
        <v>0</v>
      </c>
      <c r="H1048">
        <v>0</v>
      </c>
      <c r="I1048">
        <v>1280.9000000000001</v>
      </c>
      <c r="J1048">
        <v>19275</v>
      </c>
      <c r="K1048">
        <v>11175</v>
      </c>
      <c r="L1048" s="2">
        <v>25.470624999999998</v>
      </c>
      <c r="M1048" s="5">
        <v>122.19749999999996</v>
      </c>
      <c r="N1048" s="1">
        <v>201.46469999999999</v>
      </c>
      <c r="O1048" s="2">
        <v>14.2</v>
      </c>
      <c r="P1048">
        <v>121</v>
      </c>
    </row>
    <row r="1049" spans="1:16" x14ac:dyDescent="0.35">
      <c r="A1049" s="4">
        <v>44562</v>
      </c>
      <c r="B1049" t="s">
        <v>22</v>
      </c>
      <c r="C1049" t="s">
        <v>13</v>
      </c>
      <c r="D1049">
        <v>0</v>
      </c>
      <c r="E1049" s="2" t="s">
        <v>27</v>
      </c>
      <c r="F1049" s="2">
        <f t="shared" si="163"/>
        <v>1973.75</v>
      </c>
      <c r="G1049" s="3">
        <v>0</v>
      </c>
      <c r="H1049">
        <v>0</v>
      </c>
      <c r="I1049">
        <v>1280.9000000000001</v>
      </c>
      <c r="J1049">
        <v>19275</v>
      </c>
      <c r="K1049">
        <v>11175</v>
      </c>
      <c r="L1049" s="2">
        <v>25.470624999999998</v>
      </c>
      <c r="M1049" s="5">
        <v>122.19749999999996</v>
      </c>
      <c r="N1049" s="1">
        <v>201.46469999999999</v>
      </c>
      <c r="O1049" s="2">
        <v>14.2</v>
      </c>
      <c r="P1049">
        <v>121</v>
      </c>
    </row>
    <row r="1050" spans="1:16" x14ac:dyDescent="0.35">
      <c r="A1050" s="4">
        <v>44562</v>
      </c>
      <c r="B1050" t="s">
        <v>22</v>
      </c>
      <c r="C1050" t="s">
        <v>14</v>
      </c>
      <c r="D1050">
        <v>1</v>
      </c>
      <c r="E1050" s="2">
        <f>(1950+1990+1980+1975)/4</f>
        <v>1973.75</v>
      </c>
      <c r="F1050" s="2">
        <f t="shared" si="163"/>
        <v>1973.75</v>
      </c>
      <c r="G1050" s="3">
        <v>0</v>
      </c>
      <c r="H1050">
        <v>0</v>
      </c>
      <c r="I1050">
        <v>1280.9000000000001</v>
      </c>
      <c r="J1050">
        <v>19275</v>
      </c>
      <c r="K1050">
        <v>11175</v>
      </c>
      <c r="L1050" s="2">
        <v>25.470624999999998</v>
      </c>
      <c r="M1050" s="5">
        <v>122.19749999999996</v>
      </c>
      <c r="N1050" s="1">
        <v>201.46469999999999</v>
      </c>
      <c r="O1050" s="2">
        <v>14.2</v>
      </c>
      <c r="P1050">
        <v>121</v>
      </c>
    </row>
    <row r="1051" spans="1:16" x14ac:dyDescent="0.35">
      <c r="A1051" s="4">
        <v>44562</v>
      </c>
      <c r="B1051" t="s">
        <v>22</v>
      </c>
      <c r="C1051" t="s">
        <v>15</v>
      </c>
      <c r="D1051">
        <v>0</v>
      </c>
      <c r="E1051" s="2" t="s">
        <v>27</v>
      </c>
      <c r="F1051" s="2">
        <f t="shared" si="163"/>
        <v>1973.75</v>
      </c>
      <c r="G1051" s="3">
        <v>0</v>
      </c>
      <c r="H1051">
        <v>0</v>
      </c>
      <c r="I1051">
        <v>1280.9000000000001</v>
      </c>
      <c r="J1051">
        <v>19275</v>
      </c>
      <c r="K1051">
        <v>11175</v>
      </c>
      <c r="L1051" s="2">
        <v>25.470624999999998</v>
      </c>
      <c r="M1051" s="5">
        <v>122.19749999999996</v>
      </c>
      <c r="N1051" s="1">
        <v>201.46469999999999</v>
      </c>
      <c r="O1051" s="2">
        <v>14.2</v>
      </c>
      <c r="P1051">
        <v>121</v>
      </c>
    </row>
    <row r="1052" spans="1:16" x14ac:dyDescent="0.35">
      <c r="A1052" s="4">
        <v>44593</v>
      </c>
      <c r="B1052" t="s">
        <v>16</v>
      </c>
      <c r="C1052" t="s">
        <v>10</v>
      </c>
      <c r="D1052">
        <v>1</v>
      </c>
      <c r="E1052" s="2">
        <f>(3300+3416+3350+3200+3533)/5</f>
        <v>3359.8</v>
      </c>
      <c r="F1052" s="2">
        <f t="shared" ref="F1052:F1057" si="164">(3439.5+3413.75+3443.5+3417.5+3538.25)/5</f>
        <v>3450.5</v>
      </c>
      <c r="G1052" s="3">
        <v>0</v>
      </c>
      <c r="H1052">
        <v>0</v>
      </c>
      <c r="I1052">
        <v>1280.9000000000001</v>
      </c>
      <c r="J1052">
        <v>15855</v>
      </c>
      <c r="K1052">
        <v>15645</v>
      </c>
      <c r="L1052" s="2">
        <v>25.4025</v>
      </c>
      <c r="M1052" s="5">
        <v>163.791</v>
      </c>
      <c r="N1052" s="1">
        <v>201.7362</v>
      </c>
      <c r="O1052" s="2">
        <v>15.1</v>
      </c>
      <c r="P1052">
        <v>176</v>
      </c>
    </row>
    <row r="1053" spans="1:16" x14ac:dyDescent="0.35">
      <c r="A1053" s="4">
        <v>44593</v>
      </c>
      <c r="B1053" t="s">
        <v>16</v>
      </c>
      <c r="C1053" t="s">
        <v>11</v>
      </c>
      <c r="D1053">
        <v>0</v>
      </c>
      <c r="E1053" s="2" t="s">
        <v>27</v>
      </c>
      <c r="F1053" s="2">
        <f t="shared" si="164"/>
        <v>3450.5</v>
      </c>
      <c r="G1053" s="3">
        <v>0</v>
      </c>
      <c r="H1053">
        <v>0</v>
      </c>
      <c r="I1053">
        <v>1280.9000000000001</v>
      </c>
      <c r="J1053">
        <v>15855</v>
      </c>
      <c r="K1053">
        <v>15645</v>
      </c>
      <c r="L1053" s="2">
        <v>25.4025</v>
      </c>
      <c r="M1053" s="5">
        <v>163.791</v>
      </c>
      <c r="N1053" s="1">
        <v>201.7362</v>
      </c>
      <c r="O1053" s="2">
        <v>15.1</v>
      </c>
      <c r="P1053">
        <v>176</v>
      </c>
    </row>
    <row r="1054" spans="1:16" x14ac:dyDescent="0.35">
      <c r="A1054" s="4">
        <v>44593</v>
      </c>
      <c r="B1054" t="s">
        <v>16</v>
      </c>
      <c r="C1054" t="s">
        <v>12</v>
      </c>
      <c r="D1054">
        <v>1</v>
      </c>
      <c r="E1054" s="2">
        <v>3210</v>
      </c>
      <c r="F1054" s="2">
        <f t="shared" si="164"/>
        <v>3450.5</v>
      </c>
      <c r="G1054" s="3">
        <v>0</v>
      </c>
      <c r="H1054">
        <v>0</v>
      </c>
      <c r="I1054">
        <v>1280.9000000000001</v>
      </c>
      <c r="J1054">
        <v>15855</v>
      </c>
      <c r="K1054">
        <v>15645</v>
      </c>
      <c r="L1054" s="2">
        <v>25.4025</v>
      </c>
      <c r="M1054" s="5">
        <v>163.791</v>
      </c>
      <c r="N1054" s="1">
        <v>201.7362</v>
      </c>
      <c r="O1054" s="2">
        <v>15.1</v>
      </c>
      <c r="P1054">
        <v>176</v>
      </c>
    </row>
    <row r="1055" spans="1:16" x14ac:dyDescent="0.35">
      <c r="A1055" s="4">
        <v>44593</v>
      </c>
      <c r="B1055" t="s">
        <v>16</v>
      </c>
      <c r="C1055" t="s">
        <v>13</v>
      </c>
      <c r="D1055">
        <v>1</v>
      </c>
      <c r="E1055" s="2">
        <v>3560</v>
      </c>
      <c r="F1055" s="2">
        <f t="shared" si="164"/>
        <v>3450.5</v>
      </c>
      <c r="G1055" s="3">
        <v>0</v>
      </c>
      <c r="H1055">
        <v>0</v>
      </c>
      <c r="I1055">
        <v>1280.9000000000001</v>
      </c>
      <c r="J1055">
        <v>15855</v>
      </c>
      <c r="K1055">
        <v>15645</v>
      </c>
      <c r="L1055" s="2">
        <v>25.4025</v>
      </c>
      <c r="M1055" s="5">
        <v>163.791</v>
      </c>
      <c r="N1055" s="1">
        <v>201.7362</v>
      </c>
      <c r="O1055" s="2">
        <v>15.1</v>
      </c>
      <c r="P1055">
        <v>176</v>
      </c>
    </row>
    <row r="1056" spans="1:16" x14ac:dyDescent="0.35">
      <c r="A1056" s="4">
        <v>44593</v>
      </c>
      <c r="B1056" t="s">
        <v>16</v>
      </c>
      <c r="C1056" t="s">
        <v>14</v>
      </c>
      <c r="D1056">
        <v>1</v>
      </c>
      <c r="E1056" s="2">
        <f>(3800+3650+3638*3)/5</f>
        <v>3672.8</v>
      </c>
      <c r="F1056" s="2">
        <f t="shared" si="164"/>
        <v>3450.5</v>
      </c>
      <c r="G1056" s="3">
        <v>0</v>
      </c>
      <c r="H1056">
        <v>0</v>
      </c>
      <c r="I1056">
        <v>1280.9000000000001</v>
      </c>
      <c r="J1056">
        <v>15855</v>
      </c>
      <c r="K1056">
        <v>15645</v>
      </c>
      <c r="L1056" s="2">
        <v>25.4025</v>
      </c>
      <c r="M1056" s="5">
        <v>163.791</v>
      </c>
      <c r="N1056" s="1">
        <v>201.7362</v>
      </c>
      <c r="O1056" s="2">
        <v>15.1</v>
      </c>
      <c r="P1056">
        <v>176</v>
      </c>
    </row>
    <row r="1057" spans="1:16" x14ac:dyDescent="0.35">
      <c r="A1057" s="4">
        <v>44593</v>
      </c>
      <c r="B1057" t="s">
        <v>16</v>
      </c>
      <c r="C1057" t="s">
        <v>15</v>
      </c>
      <c r="D1057">
        <v>0</v>
      </c>
      <c r="E1057" s="2" t="s">
        <v>27</v>
      </c>
      <c r="F1057" s="2">
        <f t="shared" si="164"/>
        <v>3450.5</v>
      </c>
      <c r="G1057" s="3">
        <v>0</v>
      </c>
      <c r="H1057">
        <v>0</v>
      </c>
      <c r="I1057">
        <v>1280.9000000000001</v>
      </c>
      <c r="J1057">
        <v>15855</v>
      </c>
      <c r="K1057">
        <v>15645</v>
      </c>
      <c r="L1057" s="2">
        <v>25.4025</v>
      </c>
      <c r="M1057" s="5">
        <v>163.791</v>
      </c>
      <c r="N1057" s="1">
        <v>201.7362</v>
      </c>
      <c r="O1057" s="2">
        <v>15.1</v>
      </c>
      <c r="P1057">
        <v>176</v>
      </c>
    </row>
    <row r="1058" spans="1:16" x14ac:dyDescent="0.35">
      <c r="A1058" s="4">
        <v>44593</v>
      </c>
      <c r="B1058" t="s">
        <v>17</v>
      </c>
      <c r="C1058" t="s">
        <v>10</v>
      </c>
      <c r="D1058">
        <v>1</v>
      </c>
      <c r="E1058" s="2">
        <f>(3100+2880+2900+3050+3300)/5</f>
        <v>3046</v>
      </c>
      <c r="F1058" s="2">
        <f>(2979.6+2949+2959+2946.6+3037)/5</f>
        <v>2974.2400000000002</v>
      </c>
      <c r="G1058" s="3">
        <v>0</v>
      </c>
      <c r="H1058">
        <v>0</v>
      </c>
      <c r="I1058">
        <v>1280.9000000000001</v>
      </c>
      <c r="J1058">
        <v>15855</v>
      </c>
      <c r="K1058">
        <v>15645</v>
      </c>
      <c r="L1058" s="2">
        <v>25.4025</v>
      </c>
      <c r="M1058" s="5">
        <v>163.791</v>
      </c>
      <c r="N1058" s="1">
        <v>201.7362</v>
      </c>
      <c r="O1058" s="2">
        <v>15.1</v>
      </c>
      <c r="P1058">
        <v>176</v>
      </c>
    </row>
    <row r="1059" spans="1:16" x14ac:dyDescent="0.35">
      <c r="A1059" s="4">
        <v>44593</v>
      </c>
      <c r="B1059" t="s">
        <v>17</v>
      </c>
      <c r="C1059" t="s">
        <v>11</v>
      </c>
      <c r="D1059">
        <v>1</v>
      </c>
      <c r="E1059" s="2">
        <f>(2950+2850+3000*2)/4</f>
        <v>2950</v>
      </c>
      <c r="F1059" s="2">
        <f t="shared" ref="F1059:F1063" si="165">(2979.6+2949+2959+2946.6+3037)/5</f>
        <v>2974.2400000000002</v>
      </c>
      <c r="G1059" s="3">
        <v>0</v>
      </c>
      <c r="H1059">
        <v>0</v>
      </c>
      <c r="I1059">
        <v>1280.9000000000001</v>
      </c>
      <c r="J1059">
        <v>15855</v>
      </c>
      <c r="K1059">
        <v>15645</v>
      </c>
      <c r="L1059" s="2">
        <v>25.4025</v>
      </c>
      <c r="M1059" s="5">
        <v>163.791</v>
      </c>
      <c r="N1059" s="1">
        <v>201.7362</v>
      </c>
      <c r="O1059" s="2">
        <v>15.1</v>
      </c>
      <c r="P1059">
        <v>176</v>
      </c>
    </row>
    <row r="1060" spans="1:16" x14ac:dyDescent="0.35">
      <c r="A1060" s="4">
        <v>44593</v>
      </c>
      <c r="B1060" t="s">
        <v>17</v>
      </c>
      <c r="C1060" t="s">
        <v>12</v>
      </c>
      <c r="D1060">
        <v>1</v>
      </c>
      <c r="E1060" s="2">
        <v>2766</v>
      </c>
      <c r="F1060" s="2">
        <f t="shared" si="165"/>
        <v>2974.2400000000002</v>
      </c>
      <c r="G1060" s="3">
        <v>0</v>
      </c>
      <c r="H1060">
        <v>0</v>
      </c>
      <c r="I1060">
        <v>1280.9000000000001</v>
      </c>
      <c r="J1060">
        <v>15855</v>
      </c>
      <c r="K1060">
        <v>15645</v>
      </c>
      <c r="L1060" s="2">
        <v>25.4025</v>
      </c>
      <c r="M1060" s="5">
        <v>163.791</v>
      </c>
      <c r="N1060" s="1">
        <v>201.7362</v>
      </c>
      <c r="O1060" s="2">
        <v>15.1</v>
      </c>
      <c r="P1060">
        <v>176</v>
      </c>
    </row>
    <row r="1061" spans="1:16" x14ac:dyDescent="0.35">
      <c r="A1061" s="4">
        <v>44593</v>
      </c>
      <c r="B1061" t="s">
        <v>17</v>
      </c>
      <c r="C1061" t="s">
        <v>13</v>
      </c>
      <c r="D1061">
        <v>1</v>
      </c>
      <c r="E1061" s="2">
        <v>2950</v>
      </c>
      <c r="F1061" s="2">
        <f t="shared" si="165"/>
        <v>2974.2400000000002</v>
      </c>
      <c r="G1061" s="3">
        <v>0</v>
      </c>
      <c r="H1061">
        <v>0</v>
      </c>
      <c r="I1061">
        <v>1280.9000000000001</v>
      </c>
      <c r="J1061">
        <v>15855</v>
      </c>
      <c r="K1061">
        <v>15645</v>
      </c>
      <c r="L1061" s="2">
        <v>25.4025</v>
      </c>
      <c r="M1061" s="5">
        <v>163.791</v>
      </c>
      <c r="N1061" s="1">
        <v>201.7362</v>
      </c>
      <c r="O1061" s="2">
        <v>15.1</v>
      </c>
      <c r="P1061">
        <v>176</v>
      </c>
    </row>
    <row r="1062" spans="1:16" x14ac:dyDescent="0.35">
      <c r="A1062" s="4">
        <v>44593</v>
      </c>
      <c r="B1062" t="s">
        <v>17</v>
      </c>
      <c r="C1062" t="s">
        <v>14</v>
      </c>
      <c r="D1062">
        <v>1</v>
      </c>
      <c r="E1062" s="2">
        <f>(3133+3117+3150+3150+3133)/5</f>
        <v>3136.6</v>
      </c>
      <c r="F1062" s="2">
        <f t="shared" si="165"/>
        <v>2974.2400000000002</v>
      </c>
      <c r="G1062" s="3">
        <v>0</v>
      </c>
      <c r="H1062">
        <v>0</v>
      </c>
      <c r="I1062">
        <v>1280.9000000000001</v>
      </c>
      <c r="J1062">
        <v>15855</v>
      </c>
      <c r="K1062">
        <v>15645</v>
      </c>
      <c r="L1062" s="2">
        <v>25.4025</v>
      </c>
      <c r="M1062" s="5">
        <v>163.791</v>
      </c>
      <c r="N1062" s="1">
        <v>201.7362</v>
      </c>
      <c r="O1062" s="2">
        <v>15.1</v>
      </c>
      <c r="P1062">
        <v>176</v>
      </c>
    </row>
    <row r="1063" spans="1:16" x14ac:dyDescent="0.35">
      <c r="A1063" s="4">
        <v>44593</v>
      </c>
      <c r="B1063" t="s">
        <v>17</v>
      </c>
      <c r="C1063" t="s">
        <v>15</v>
      </c>
      <c r="D1063">
        <v>0</v>
      </c>
      <c r="E1063" s="2" t="s">
        <v>27</v>
      </c>
      <c r="F1063" s="2">
        <f t="shared" si="165"/>
        <v>2974.2400000000002</v>
      </c>
      <c r="G1063" s="3">
        <v>0</v>
      </c>
      <c r="H1063">
        <v>0</v>
      </c>
      <c r="I1063">
        <v>1280.9000000000001</v>
      </c>
      <c r="J1063">
        <v>15855</v>
      </c>
      <c r="K1063">
        <v>15645</v>
      </c>
      <c r="L1063" s="2">
        <v>25.4025</v>
      </c>
      <c r="M1063" s="5">
        <v>163.791</v>
      </c>
      <c r="N1063" s="1">
        <v>201.7362</v>
      </c>
      <c r="O1063" s="2">
        <v>15.1</v>
      </c>
      <c r="P1063">
        <v>176</v>
      </c>
    </row>
    <row r="1064" spans="1:16" x14ac:dyDescent="0.35">
      <c r="A1064" s="4">
        <v>44593</v>
      </c>
      <c r="B1064" t="s">
        <v>18</v>
      </c>
      <c r="C1064" t="s">
        <v>10</v>
      </c>
      <c r="D1064">
        <v>1</v>
      </c>
      <c r="E1064" s="2">
        <f>(2766+2783+2633+2600+2966)/5</f>
        <v>2749.6</v>
      </c>
      <c r="F1064" s="2">
        <f>(2629.83+2655.43+2664.71+2660.71+2805.17)/5</f>
        <v>2683.17</v>
      </c>
      <c r="G1064" s="3">
        <v>0</v>
      </c>
      <c r="H1064">
        <v>0</v>
      </c>
      <c r="I1064">
        <v>1280.9000000000001</v>
      </c>
      <c r="J1064">
        <v>15855</v>
      </c>
      <c r="K1064">
        <v>15645</v>
      </c>
      <c r="L1064" s="2">
        <v>25.4025</v>
      </c>
      <c r="M1064" s="5">
        <v>163.791</v>
      </c>
      <c r="N1064" s="1">
        <v>201.7362</v>
      </c>
      <c r="O1064" s="2">
        <v>15.1</v>
      </c>
      <c r="P1064">
        <v>176</v>
      </c>
    </row>
    <row r="1065" spans="1:16" x14ac:dyDescent="0.35">
      <c r="A1065" s="4">
        <v>44593</v>
      </c>
      <c r="B1065" t="s">
        <v>18</v>
      </c>
      <c r="C1065" t="s">
        <v>11</v>
      </c>
      <c r="D1065">
        <v>1</v>
      </c>
      <c r="E1065" s="2">
        <v>2800</v>
      </c>
      <c r="F1065" s="2">
        <f t="shared" ref="F1065:F1069" si="166">(2629.83+2655.43+2664.71+2660.71+2805.17)/5</f>
        <v>2683.17</v>
      </c>
      <c r="G1065" s="3">
        <v>0</v>
      </c>
      <c r="H1065">
        <v>0</v>
      </c>
      <c r="I1065">
        <v>1280.9000000000001</v>
      </c>
      <c r="J1065">
        <v>15855</v>
      </c>
      <c r="K1065">
        <v>15645</v>
      </c>
      <c r="L1065" s="2">
        <v>25.4025</v>
      </c>
      <c r="M1065" s="5">
        <v>163.791</v>
      </c>
      <c r="N1065" s="1">
        <v>201.7362</v>
      </c>
      <c r="O1065" s="2">
        <v>15.1</v>
      </c>
      <c r="P1065">
        <v>176</v>
      </c>
    </row>
    <row r="1066" spans="1:16" x14ac:dyDescent="0.35">
      <c r="A1066" s="4">
        <v>44593</v>
      </c>
      <c r="B1066" t="s">
        <v>18</v>
      </c>
      <c r="C1066" t="s">
        <v>12</v>
      </c>
      <c r="D1066">
        <v>1</v>
      </c>
      <c r="E1066" s="2">
        <v>2590</v>
      </c>
      <c r="F1066" s="2">
        <f t="shared" si="166"/>
        <v>2683.17</v>
      </c>
      <c r="G1066" s="3">
        <v>0</v>
      </c>
      <c r="H1066">
        <v>0</v>
      </c>
      <c r="I1066">
        <v>1280.9000000000001</v>
      </c>
      <c r="J1066">
        <v>15855</v>
      </c>
      <c r="K1066">
        <v>15645</v>
      </c>
      <c r="L1066" s="2">
        <v>25.4025</v>
      </c>
      <c r="M1066" s="5">
        <v>163.791</v>
      </c>
      <c r="N1066" s="1">
        <v>201.7362</v>
      </c>
      <c r="O1066" s="2">
        <v>15.1</v>
      </c>
      <c r="P1066">
        <v>176</v>
      </c>
    </row>
    <row r="1067" spans="1:16" x14ac:dyDescent="0.35">
      <c r="A1067" s="4">
        <v>44593</v>
      </c>
      <c r="B1067" t="s">
        <v>18</v>
      </c>
      <c r="C1067" t="s">
        <v>13</v>
      </c>
      <c r="D1067">
        <v>1</v>
      </c>
      <c r="E1067" s="2">
        <f>(2750*2+2825*2+2800)/5</f>
        <v>2790</v>
      </c>
      <c r="F1067" s="2">
        <f t="shared" si="166"/>
        <v>2683.17</v>
      </c>
      <c r="G1067" s="3">
        <v>0</v>
      </c>
      <c r="H1067">
        <v>0</v>
      </c>
      <c r="I1067">
        <v>1280.9000000000001</v>
      </c>
      <c r="J1067">
        <v>15855</v>
      </c>
      <c r="K1067">
        <v>15645</v>
      </c>
      <c r="L1067" s="2">
        <v>25.4025</v>
      </c>
      <c r="M1067" s="5">
        <v>163.791</v>
      </c>
      <c r="N1067" s="1">
        <v>201.7362</v>
      </c>
      <c r="O1067" s="2">
        <v>15.1</v>
      </c>
      <c r="P1067">
        <v>176</v>
      </c>
    </row>
    <row r="1068" spans="1:16" x14ac:dyDescent="0.35">
      <c r="A1068" s="4">
        <v>44593</v>
      </c>
      <c r="B1068" t="s">
        <v>18</v>
      </c>
      <c r="C1068" t="s">
        <v>14</v>
      </c>
      <c r="D1068">
        <v>1</v>
      </c>
      <c r="E1068" s="2">
        <f>(2813+2790+2800+2810+2900)/5</f>
        <v>2822.6</v>
      </c>
      <c r="F1068" s="2">
        <f t="shared" si="166"/>
        <v>2683.17</v>
      </c>
      <c r="G1068" s="3">
        <v>0</v>
      </c>
      <c r="H1068">
        <v>0</v>
      </c>
      <c r="I1068">
        <v>1280.9000000000001</v>
      </c>
      <c r="J1068">
        <v>15855</v>
      </c>
      <c r="K1068">
        <v>15645</v>
      </c>
      <c r="L1068" s="2">
        <v>25.4025</v>
      </c>
      <c r="M1068" s="5">
        <v>163.791</v>
      </c>
      <c r="N1068" s="1">
        <v>201.7362</v>
      </c>
      <c r="O1068" s="2">
        <v>15.1</v>
      </c>
      <c r="P1068">
        <v>176</v>
      </c>
    </row>
    <row r="1069" spans="1:16" x14ac:dyDescent="0.35">
      <c r="A1069" s="4">
        <v>44593</v>
      </c>
      <c r="B1069" t="s">
        <v>18</v>
      </c>
      <c r="C1069" t="s">
        <v>15</v>
      </c>
      <c r="D1069">
        <v>1</v>
      </c>
      <c r="E1069" s="2">
        <v>2700</v>
      </c>
      <c r="F1069" s="2">
        <f t="shared" si="166"/>
        <v>2683.17</v>
      </c>
      <c r="G1069" s="3">
        <v>0</v>
      </c>
      <c r="H1069">
        <v>0</v>
      </c>
      <c r="I1069">
        <v>1280.9000000000001</v>
      </c>
      <c r="J1069">
        <v>15855</v>
      </c>
      <c r="K1069">
        <v>15645</v>
      </c>
      <c r="L1069" s="2">
        <v>25.4025</v>
      </c>
      <c r="M1069" s="5">
        <v>163.791</v>
      </c>
      <c r="N1069" s="1">
        <v>201.7362</v>
      </c>
      <c r="O1069" s="2">
        <v>15.1</v>
      </c>
      <c r="P1069">
        <v>176</v>
      </c>
    </row>
    <row r="1070" spans="1:16" x14ac:dyDescent="0.35">
      <c r="A1070" s="4">
        <v>44593</v>
      </c>
      <c r="B1070" t="s">
        <v>19</v>
      </c>
      <c r="C1070" t="s">
        <v>10</v>
      </c>
      <c r="D1070">
        <v>1</v>
      </c>
      <c r="E1070" s="2">
        <f>(2700+2350+2583+2433+2416)/5</f>
        <v>2496.4</v>
      </c>
      <c r="F1070" s="2">
        <f>(2431+2470.29+2541.71+2499.86+2642.14)/5</f>
        <v>2517</v>
      </c>
      <c r="G1070" s="3">
        <v>0</v>
      </c>
      <c r="H1070">
        <v>0</v>
      </c>
      <c r="I1070">
        <v>1280.9000000000001</v>
      </c>
      <c r="J1070">
        <v>15855</v>
      </c>
      <c r="K1070">
        <v>15645</v>
      </c>
      <c r="L1070" s="2">
        <v>25.4025</v>
      </c>
      <c r="M1070" s="5">
        <v>163.791</v>
      </c>
      <c r="N1070" s="1">
        <v>201.7362</v>
      </c>
      <c r="O1070" s="2">
        <v>15.1</v>
      </c>
      <c r="P1070">
        <v>176</v>
      </c>
    </row>
    <row r="1071" spans="1:16" x14ac:dyDescent="0.35">
      <c r="A1071" s="4">
        <v>44593</v>
      </c>
      <c r="B1071" t="s">
        <v>19</v>
      </c>
      <c r="C1071" t="s">
        <v>11</v>
      </c>
      <c r="D1071">
        <v>1</v>
      </c>
      <c r="E1071" s="2">
        <v>2650</v>
      </c>
      <c r="F1071" s="2">
        <f t="shared" ref="F1071:F1075" si="167">(2431+2470.29+2541.71+2499.86+2642.14)/5</f>
        <v>2517</v>
      </c>
      <c r="G1071" s="3">
        <v>0</v>
      </c>
      <c r="H1071">
        <v>0</v>
      </c>
      <c r="I1071">
        <v>1280.9000000000001</v>
      </c>
      <c r="J1071">
        <v>15855</v>
      </c>
      <c r="K1071">
        <v>15645</v>
      </c>
      <c r="L1071" s="2">
        <v>25.4025</v>
      </c>
      <c r="M1071" s="5">
        <v>163.791</v>
      </c>
      <c r="N1071" s="1">
        <v>201.7362</v>
      </c>
      <c r="O1071" s="2">
        <v>15.1</v>
      </c>
      <c r="P1071">
        <v>176</v>
      </c>
    </row>
    <row r="1072" spans="1:16" x14ac:dyDescent="0.35">
      <c r="A1072" s="4">
        <v>44593</v>
      </c>
      <c r="B1072" t="s">
        <v>19</v>
      </c>
      <c r="C1072" t="s">
        <v>12</v>
      </c>
      <c r="D1072">
        <v>1</v>
      </c>
      <c r="E1072" s="2">
        <v>2470</v>
      </c>
      <c r="F1072" s="2">
        <f t="shared" si="167"/>
        <v>2517</v>
      </c>
      <c r="G1072" s="3">
        <v>0</v>
      </c>
      <c r="H1072">
        <v>0</v>
      </c>
      <c r="I1072">
        <v>1280.9000000000001</v>
      </c>
      <c r="J1072">
        <v>15855</v>
      </c>
      <c r="K1072">
        <v>15645</v>
      </c>
      <c r="L1072" s="2">
        <v>25.4025</v>
      </c>
      <c r="M1072" s="5">
        <v>163.791</v>
      </c>
      <c r="N1072" s="1">
        <v>201.7362</v>
      </c>
      <c r="O1072" s="2">
        <v>15.1</v>
      </c>
      <c r="P1072">
        <v>176</v>
      </c>
    </row>
    <row r="1073" spans="1:16" x14ac:dyDescent="0.35">
      <c r="A1073" s="4">
        <v>44593</v>
      </c>
      <c r="B1073" t="s">
        <v>19</v>
      </c>
      <c r="C1073" t="s">
        <v>13</v>
      </c>
      <c r="D1073">
        <v>1</v>
      </c>
      <c r="E1073" s="2">
        <f>(2750+2700*2+2625*2)/5</f>
        <v>2680</v>
      </c>
      <c r="F1073" s="2">
        <f t="shared" si="167"/>
        <v>2517</v>
      </c>
      <c r="G1073" s="3">
        <v>0</v>
      </c>
      <c r="H1073">
        <v>0</v>
      </c>
      <c r="I1073">
        <v>1280.9000000000001</v>
      </c>
      <c r="J1073">
        <v>15855</v>
      </c>
      <c r="K1073">
        <v>15645</v>
      </c>
      <c r="L1073" s="2">
        <v>25.4025</v>
      </c>
      <c r="M1073" s="5">
        <v>163.791</v>
      </c>
      <c r="N1073" s="1">
        <v>201.7362</v>
      </c>
      <c r="O1073" s="2">
        <v>15.1</v>
      </c>
      <c r="P1073">
        <v>176</v>
      </c>
    </row>
    <row r="1074" spans="1:16" x14ac:dyDescent="0.35">
      <c r="A1074" s="4">
        <v>44593</v>
      </c>
      <c r="B1074" t="s">
        <v>19</v>
      </c>
      <c r="C1074" t="s">
        <v>14</v>
      </c>
      <c r="D1074">
        <v>1</v>
      </c>
      <c r="E1074" s="2">
        <f>(2675+2679+2714+2729+2725)/5</f>
        <v>2704.4</v>
      </c>
      <c r="F1074" s="2">
        <f t="shared" si="167"/>
        <v>2517</v>
      </c>
      <c r="G1074" s="3">
        <v>0</v>
      </c>
      <c r="H1074">
        <v>0</v>
      </c>
      <c r="I1074">
        <v>1280.9000000000001</v>
      </c>
      <c r="J1074">
        <v>15855</v>
      </c>
      <c r="K1074">
        <v>15645</v>
      </c>
      <c r="L1074" s="2">
        <v>25.4025</v>
      </c>
      <c r="M1074" s="5">
        <v>163.791</v>
      </c>
      <c r="N1074" s="1">
        <v>201.7362</v>
      </c>
      <c r="O1074" s="2">
        <v>15.1</v>
      </c>
      <c r="P1074">
        <v>176</v>
      </c>
    </row>
    <row r="1075" spans="1:16" x14ac:dyDescent="0.35">
      <c r="A1075" s="4">
        <v>44593</v>
      </c>
      <c r="B1075" t="s">
        <v>19</v>
      </c>
      <c r="C1075" t="s">
        <v>15</v>
      </c>
      <c r="D1075">
        <v>1</v>
      </c>
      <c r="E1075" s="2">
        <v>2650</v>
      </c>
      <c r="F1075" s="2">
        <f t="shared" si="167"/>
        <v>2517</v>
      </c>
      <c r="G1075" s="3">
        <v>0</v>
      </c>
      <c r="H1075">
        <v>0</v>
      </c>
      <c r="I1075">
        <v>1280.9000000000001</v>
      </c>
      <c r="J1075">
        <v>15855</v>
      </c>
      <c r="K1075">
        <v>15645</v>
      </c>
      <c r="L1075" s="2">
        <v>25.4025</v>
      </c>
      <c r="M1075" s="5">
        <v>163.791</v>
      </c>
      <c r="N1075" s="1">
        <v>201.7362</v>
      </c>
      <c r="O1075" s="2">
        <v>15.1</v>
      </c>
      <c r="P1075">
        <v>176</v>
      </c>
    </row>
    <row r="1076" spans="1:16" x14ac:dyDescent="0.35">
      <c r="A1076" s="4">
        <v>44593</v>
      </c>
      <c r="B1076" t="s">
        <v>20</v>
      </c>
      <c r="C1076" t="s">
        <v>10</v>
      </c>
      <c r="D1076">
        <v>1</v>
      </c>
      <c r="E1076" s="2">
        <f>(2266+2000+2083+2100+2066)/5</f>
        <v>2103</v>
      </c>
      <c r="F1076" s="2">
        <f>(2259.5+2189+2212.17+2172.5+2195.8)/5</f>
        <v>2205.7940000000003</v>
      </c>
      <c r="G1076" s="3">
        <v>0</v>
      </c>
      <c r="H1076">
        <v>0</v>
      </c>
      <c r="I1076">
        <v>1280.9000000000001</v>
      </c>
      <c r="J1076">
        <v>15855</v>
      </c>
      <c r="K1076">
        <v>15645</v>
      </c>
      <c r="L1076" s="2">
        <v>25.4025</v>
      </c>
      <c r="M1076" s="5">
        <v>163.791</v>
      </c>
      <c r="N1076" s="1">
        <v>201.7362</v>
      </c>
      <c r="O1076" s="2">
        <v>15.1</v>
      </c>
      <c r="P1076">
        <v>176</v>
      </c>
    </row>
    <row r="1077" spans="1:16" x14ac:dyDescent="0.35">
      <c r="A1077" s="4">
        <v>44593</v>
      </c>
      <c r="B1077" t="s">
        <v>20</v>
      </c>
      <c r="C1077" t="s">
        <v>11</v>
      </c>
      <c r="D1077">
        <v>1</v>
      </c>
      <c r="E1077" s="2">
        <v>2112.5</v>
      </c>
      <c r="F1077" s="2">
        <f t="shared" ref="F1077:F1081" si="168">(2259.5+2189+2212.17+2172.5+2195.8)/5</f>
        <v>2205.7940000000003</v>
      </c>
      <c r="G1077" s="3">
        <v>0</v>
      </c>
      <c r="H1077">
        <v>0</v>
      </c>
      <c r="I1077">
        <v>1280.9000000000001</v>
      </c>
      <c r="J1077">
        <v>15855</v>
      </c>
      <c r="K1077">
        <v>15645</v>
      </c>
      <c r="L1077" s="2">
        <v>25.4025</v>
      </c>
      <c r="M1077" s="5">
        <v>163.791</v>
      </c>
      <c r="N1077" s="1">
        <v>201.7362</v>
      </c>
      <c r="O1077" s="2">
        <v>15.1</v>
      </c>
      <c r="P1077">
        <v>176</v>
      </c>
    </row>
    <row r="1078" spans="1:16" x14ac:dyDescent="0.35">
      <c r="A1078" s="4">
        <v>44593</v>
      </c>
      <c r="B1078" t="s">
        <v>20</v>
      </c>
      <c r="C1078" t="s">
        <v>12</v>
      </c>
      <c r="D1078">
        <v>1</v>
      </c>
      <c r="E1078" s="2">
        <f>1950</f>
        <v>1950</v>
      </c>
      <c r="F1078" s="2">
        <f t="shared" si="168"/>
        <v>2205.7940000000003</v>
      </c>
      <c r="G1078" s="3">
        <v>0</v>
      </c>
      <c r="H1078">
        <v>0</v>
      </c>
      <c r="I1078">
        <v>1280.9000000000001</v>
      </c>
      <c r="J1078">
        <v>15855</v>
      </c>
      <c r="K1078">
        <v>15645</v>
      </c>
      <c r="L1078" s="2">
        <v>25.4025</v>
      </c>
      <c r="M1078" s="5">
        <v>163.791</v>
      </c>
      <c r="N1078" s="1">
        <v>201.7362</v>
      </c>
      <c r="O1078" s="2">
        <v>15.1</v>
      </c>
      <c r="P1078">
        <v>176</v>
      </c>
    </row>
    <row r="1079" spans="1:16" x14ac:dyDescent="0.35">
      <c r="A1079" s="4">
        <v>44593</v>
      </c>
      <c r="B1079" t="s">
        <v>20</v>
      </c>
      <c r="C1079" t="s">
        <v>13</v>
      </c>
      <c r="D1079">
        <v>1</v>
      </c>
      <c r="E1079" s="2">
        <f>(2325+2325+2375+2350+2380)/5</f>
        <v>2351</v>
      </c>
      <c r="F1079" s="2">
        <f t="shared" si="168"/>
        <v>2205.7940000000003</v>
      </c>
      <c r="G1079" s="3">
        <v>0</v>
      </c>
      <c r="H1079">
        <v>0</v>
      </c>
      <c r="I1079">
        <v>1280.9000000000001</v>
      </c>
      <c r="J1079">
        <v>15855</v>
      </c>
      <c r="K1079">
        <v>15645</v>
      </c>
      <c r="L1079" s="2">
        <v>25.4025</v>
      </c>
      <c r="M1079" s="5">
        <v>163.791</v>
      </c>
      <c r="N1079" s="1">
        <v>201.7362</v>
      </c>
      <c r="O1079" s="2">
        <v>15.1</v>
      </c>
      <c r="P1079">
        <v>176</v>
      </c>
    </row>
    <row r="1080" spans="1:16" x14ac:dyDescent="0.35">
      <c r="A1080" s="4">
        <v>44593</v>
      </c>
      <c r="B1080" t="s">
        <v>20</v>
      </c>
      <c r="C1080" t="s">
        <v>14</v>
      </c>
      <c r="D1080">
        <v>1</v>
      </c>
      <c r="E1080" s="2">
        <f>(2338+2360+2350+2374+2466)/5</f>
        <v>2377.6</v>
      </c>
      <c r="F1080" s="2">
        <f t="shared" si="168"/>
        <v>2205.7940000000003</v>
      </c>
      <c r="G1080" s="3">
        <v>0</v>
      </c>
      <c r="H1080">
        <v>0</v>
      </c>
      <c r="I1080">
        <v>1280.9000000000001</v>
      </c>
      <c r="J1080">
        <v>15855</v>
      </c>
      <c r="K1080">
        <v>15645</v>
      </c>
      <c r="L1080" s="2">
        <v>25.4025</v>
      </c>
      <c r="M1080" s="5">
        <v>163.791</v>
      </c>
      <c r="N1080" s="1">
        <v>201.7362</v>
      </c>
      <c r="O1080" s="2">
        <v>15.1</v>
      </c>
      <c r="P1080">
        <v>176</v>
      </c>
    </row>
    <row r="1081" spans="1:16" x14ac:dyDescent="0.35">
      <c r="A1081" s="4">
        <v>44593</v>
      </c>
      <c r="B1081" t="s">
        <v>20</v>
      </c>
      <c r="C1081" t="s">
        <v>15</v>
      </c>
      <c r="D1081">
        <v>1</v>
      </c>
      <c r="E1081" s="2">
        <v>2322</v>
      </c>
      <c r="F1081" s="2">
        <f t="shared" si="168"/>
        <v>2205.7940000000003</v>
      </c>
      <c r="G1081" s="3">
        <v>0</v>
      </c>
      <c r="H1081">
        <v>0</v>
      </c>
      <c r="I1081">
        <v>1280.9000000000001</v>
      </c>
      <c r="J1081">
        <v>15855</v>
      </c>
      <c r="K1081">
        <v>15645</v>
      </c>
      <c r="L1081" s="2">
        <v>25.4025</v>
      </c>
      <c r="M1081" s="5">
        <v>163.791</v>
      </c>
      <c r="N1081" s="1">
        <v>201.7362</v>
      </c>
      <c r="O1081" s="2">
        <v>15.1</v>
      </c>
      <c r="P1081">
        <v>176</v>
      </c>
    </row>
    <row r="1082" spans="1:16" x14ac:dyDescent="0.35">
      <c r="A1082" s="4">
        <v>44593</v>
      </c>
      <c r="B1082" t="s">
        <v>21</v>
      </c>
      <c r="C1082" t="s">
        <v>10</v>
      </c>
      <c r="D1082">
        <v>1</v>
      </c>
      <c r="E1082" s="2">
        <f>(1833+1633+1850+1800+1816)/5</f>
        <v>1786.4</v>
      </c>
      <c r="F1082" s="2">
        <f>(2104.33+2095.5+2109+2012.83+2065.8)/5</f>
        <v>2077.4919999999997</v>
      </c>
      <c r="G1082" s="3">
        <v>0</v>
      </c>
      <c r="H1082">
        <v>0</v>
      </c>
      <c r="I1082">
        <v>1280.9000000000001</v>
      </c>
      <c r="J1082">
        <v>15855</v>
      </c>
      <c r="K1082">
        <v>15645</v>
      </c>
      <c r="L1082" s="2">
        <v>25.4025</v>
      </c>
      <c r="M1082" s="5">
        <v>163.791</v>
      </c>
      <c r="N1082" s="1">
        <v>201.7362</v>
      </c>
      <c r="O1082" s="2">
        <v>15.1</v>
      </c>
      <c r="P1082">
        <v>176</v>
      </c>
    </row>
    <row r="1083" spans="1:16" x14ac:dyDescent="0.35">
      <c r="A1083" s="4">
        <v>44593</v>
      </c>
      <c r="B1083" t="s">
        <v>21</v>
      </c>
      <c r="C1083" t="s">
        <v>11</v>
      </c>
      <c r="D1083">
        <v>1</v>
      </c>
      <c r="E1083" s="2">
        <v>2050</v>
      </c>
      <c r="F1083" s="2">
        <f t="shared" ref="F1083:F1087" si="169">(2104.33+2095.5+2109+2012.83+2065.8)/5</f>
        <v>2077.4919999999997</v>
      </c>
      <c r="G1083" s="3">
        <v>0</v>
      </c>
      <c r="H1083">
        <v>0</v>
      </c>
      <c r="I1083">
        <v>1280.9000000000001</v>
      </c>
      <c r="J1083">
        <v>15855</v>
      </c>
      <c r="K1083">
        <v>15645</v>
      </c>
      <c r="L1083" s="2">
        <v>25.4025</v>
      </c>
      <c r="M1083" s="5">
        <v>163.791</v>
      </c>
      <c r="N1083" s="1">
        <v>201.7362</v>
      </c>
      <c r="O1083" s="2">
        <v>15.1</v>
      </c>
      <c r="P1083">
        <v>176</v>
      </c>
    </row>
    <row r="1084" spans="1:16" x14ac:dyDescent="0.35">
      <c r="A1084" s="4">
        <v>44593</v>
      </c>
      <c r="B1084" t="s">
        <v>21</v>
      </c>
      <c r="C1084" t="s">
        <v>12</v>
      </c>
      <c r="D1084">
        <v>1</v>
      </c>
      <c r="E1084" s="2">
        <v>1800</v>
      </c>
      <c r="F1084" s="2">
        <f t="shared" si="169"/>
        <v>2077.4919999999997</v>
      </c>
      <c r="G1084" s="3">
        <v>0</v>
      </c>
      <c r="H1084">
        <v>0</v>
      </c>
      <c r="I1084">
        <v>1280.9000000000001</v>
      </c>
      <c r="J1084">
        <v>15855</v>
      </c>
      <c r="K1084">
        <v>15645</v>
      </c>
      <c r="L1084" s="2">
        <v>25.4025</v>
      </c>
      <c r="M1084" s="5">
        <v>163.791</v>
      </c>
      <c r="N1084" s="1">
        <v>201.7362</v>
      </c>
      <c r="O1084" s="2">
        <v>15.1</v>
      </c>
      <c r="P1084">
        <v>176</v>
      </c>
    </row>
    <row r="1085" spans="1:16" x14ac:dyDescent="0.35">
      <c r="A1085" s="4">
        <v>44593</v>
      </c>
      <c r="B1085" t="s">
        <v>21</v>
      </c>
      <c r="C1085" t="s">
        <v>13</v>
      </c>
      <c r="D1085">
        <v>1</v>
      </c>
      <c r="E1085" s="2">
        <f>(2225*2+2310*2+2325)/5</f>
        <v>2279</v>
      </c>
      <c r="F1085" s="2">
        <f t="shared" si="169"/>
        <v>2077.4919999999997</v>
      </c>
      <c r="G1085" s="3">
        <v>0</v>
      </c>
      <c r="H1085">
        <v>0</v>
      </c>
      <c r="I1085">
        <v>1280.9000000000001</v>
      </c>
      <c r="J1085">
        <v>15855</v>
      </c>
      <c r="K1085">
        <v>15645</v>
      </c>
      <c r="L1085" s="2">
        <v>25.4025</v>
      </c>
      <c r="M1085" s="5">
        <v>163.791</v>
      </c>
      <c r="N1085" s="1">
        <v>201.7362</v>
      </c>
      <c r="O1085" s="2">
        <v>15.1</v>
      </c>
      <c r="P1085">
        <v>176</v>
      </c>
    </row>
    <row r="1086" spans="1:16" x14ac:dyDescent="0.35">
      <c r="A1086" s="4">
        <v>44593</v>
      </c>
      <c r="B1086" t="s">
        <v>21</v>
      </c>
      <c r="C1086" t="s">
        <v>14</v>
      </c>
      <c r="D1086">
        <v>1</v>
      </c>
      <c r="E1086" s="2">
        <f>(2335+2298+2294+2219+2221)/5</f>
        <v>2273.4</v>
      </c>
      <c r="F1086" s="2">
        <f t="shared" si="169"/>
        <v>2077.4919999999997</v>
      </c>
      <c r="G1086" s="3">
        <v>0</v>
      </c>
      <c r="H1086">
        <v>0</v>
      </c>
      <c r="I1086">
        <v>1280.9000000000001</v>
      </c>
      <c r="J1086">
        <v>15855</v>
      </c>
      <c r="K1086">
        <v>15645</v>
      </c>
      <c r="L1086" s="2">
        <v>25.4025</v>
      </c>
      <c r="M1086" s="5">
        <v>163.791</v>
      </c>
      <c r="N1086" s="1">
        <v>201.7362</v>
      </c>
      <c r="O1086" s="2">
        <v>15.1</v>
      </c>
      <c r="P1086">
        <v>176</v>
      </c>
    </row>
    <row r="1087" spans="1:16" x14ac:dyDescent="0.35">
      <c r="A1087" s="4">
        <v>44593</v>
      </c>
      <c r="B1087" t="s">
        <v>21</v>
      </c>
      <c r="C1087" t="s">
        <v>15</v>
      </c>
      <c r="D1087">
        <v>1</v>
      </c>
      <c r="E1087" s="2">
        <f>(2250*3+2265+2350)/5</f>
        <v>2273</v>
      </c>
      <c r="F1087" s="2">
        <f t="shared" si="169"/>
        <v>2077.4919999999997</v>
      </c>
      <c r="G1087" s="3">
        <v>0</v>
      </c>
      <c r="H1087">
        <v>0</v>
      </c>
      <c r="I1087">
        <v>1280.9000000000001</v>
      </c>
      <c r="J1087">
        <v>15855</v>
      </c>
      <c r="K1087">
        <v>15645</v>
      </c>
      <c r="L1087" s="2">
        <v>25.4025</v>
      </c>
      <c r="M1087" s="5">
        <v>163.791</v>
      </c>
      <c r="N1087" s="1">
        <v>201.7362</v>
      </c>
      <c r="O1087" s="2">
        <v>15.1</v>
      </c>
      <c r="P1087">
        <v>176</v>
      </c>
    </row>
    <row r="1088" spans="1:16" x14ac:dyDescent="0.35">
      <c r="A1088" s="4">
        <v>44593</v>
      </c>
      <c r="B1088" t="s">
        <v>22</v>
      </c>
      <c r="C1088" t="s">
        <v>10</v>
      </c>
      <c r="D1088">
        <v>0</v>
      </c>
      <c r="E1088" s="2" t="s">
        <v>27</v>
      </c>
      <c r="F1088" s="2">
        <f t="shared" ref="F1088:F1091" si="170">(1975+1980+2025+1990+2060)/5</f>
        <v>2006</v>
      </c>
      <c r="G1088" s="3">
        <v>0</v>
      </c>
      <c r="H1088">
        <v>0</v>
      </c>
      <c r="I1088">
        <v>1280.9000000000001</v>
      </c>
      <c r="J1088">
        <v>15855</v>
      </c>
      <c r="K1088">
        <v>15645</v>
      </c>
      <c r="L1088" s="2">
        <v>25.4025</v>
      </c>
      <c r="M1088" s="5">
        <v>163.791</v>
      </c>
      <c r="N1088" s="1">
        <v>201.7362</v>
      </c>
      <c r="O1088" s="2">
        <v>15.1</v>
      </c>
      <c r="P1088">
        <v>176</v>
      </c>
    </row>
    <row r="1089" spans="1:16" x14ac:dyDescent="0.35">
      <c r="A1089" s="4">
        <v>44593</v>
      </c>
      <c r="B1089" t="s">
        <v>22</v>
      </c>
      <c r="C1089" t="s">
        <v>11</v>
      </c>
      <c r="D1089">
        <v>0</v>
      </c>
      <c r="E1089" s="2" t="s">
        <v>27</v>
      </c>
      <c r="F1089" s="2">
        <f t="shared" si="170"/>
        <v>2006</v>
      </c>
      <c r="G1089" s="3">
        <v>0</v>
      </c>
      <c r="H1089">
        <v>0</v>
      </c>
      <c r="I1089">
        <v>1280.9000000000001</v>
      </c>
      <c r="J1089">
        <v>15855</v>
      </c>
      <c r="K1089">
        <v>15645</v>
      </c>
      <c r="L1089" s="2">
        <v>25.4025</v>
      </c>
      <c r="M1089" s="5">
        <v>163.791</v>
      </c>
      <c r="N1089" s="1">
        <v>201.7362</v>
      </c>
      <c r="O1089" s="2">
        <v>15.1</v>
      </c>
      <c r="P1089">
        <v>176</v>
      </c>
    </row>
    <row r="1090" spans="1:16" x14ac:dyDescent="0.35">
      <c r="A1090" s="4">
        <v>44593</v>
      </c>
      <c r="B1090" t="s">
        <v>22</v>
      </c>
      <c r="C1090" t="s">
        <v>12</v>
      </c>
      <c r="D1090">
        <v>0</v>
      </c>
      <c r="E1090" s="2" t="s">
        <v>27</v>
      </c>
      <c r="F1090" s="2">
        <f t="shared" si="170"/>
        <v>2006</v>
      </c>
      <c r="G1090" s="3">
        <v>0</v>
      </c>
      <c r="H1090">
        <v>0</v>
      </c>
      <c r="I1090">
        <v>1280.9000000000001</v>
      </c>
      <c r="J1090">
        <v>15855</v>
      </c>
      <c r="K1090">
        <v>15645</v>
      </c>
      <c r="L1090" s="2">
        <v>25.4025</v>
      </c>
      <c r="M1090" s="5">
        <v>163.791</v>
      </c>
      <c r="N1090" s="1">
        <v>201.7362</v>
      </c>
      <c r="O1090" s="2">
        <v>15.1</v>
      </c>
      <c r="P1090">
        <v>176</v>
      </c>
    </row>
    <row r="1091" spans="1:16" x14ac:dyDescent="0.35">
      <c r="A1091" s="4">
        <v>44593</v>
      </c>
      <c r="B1091" t="s">
        <v>22</v>
      </c>
      <c r="C1091" t="s">
        <v>13</v>
      </c>
      <c r="D1091">
        <v>0</v>
      </c>
      <c r="E1091" s="2" t="s">
        <v>27</v>
      </c>
      <c r="F1091" s="2">
        <f t="shared" si="170"/>
        <v>2006</v>
      </c>
      <c r="G1091" s="3">
        <v>0</v>
      </c>
      <c r="H1091">
        <v>0</v>
      </c>
      <c r="I1091">
        <v>1280.9000000000001</v>
      </c>
      <c r="J1091">
        <v>15855</v>
      </c>
      <c r="K1091">
        <v>15645</v>
      </c>
      <c r="L1091" s="2">
        <v>25.4025</v>
      </c>
      <c r="M1091" s="5">
        <v>163.791</v>
      </c>
      <c r="N1091" s="1">
        <v>201.7362</v>
      </c>
      <c r="O1091" s="2">
        <v>15.1</v>
      </c>
      <c r="P1091">
        <v>176</v>
      </c>
    </row>
    <row r="1092" spans="1:16" x14ac:dyDescent="0.35">
      <c r="A1092" s="4">
        <v>44593</v>
      </c>
      <c r="B1092" t="s">
        <v>22</v>
      </c>
      <c r="C1092" t="s">
        <v>14</v>
      </c>
      <c r="D1092">
        <v>1</v>
      </c>
      <c r="E1092" s="2">
        <f>(1975+1980+2025+1990+2060)/5</f>
        <v>2006</v>
      </c>
      <c r="F1092" s="2">
        <f>(1975+1980+2025+1990+2060)/5</f>
        <v>2006</v>
      </c>
      <c r="G1092" s="3">
        <v>0</v>
      </c>
      <c r="H1092">
        <v>0</v>
      </c>
      <c r="I1092">
        <v>1280.9000000000001</v>
      </c>
      <c r="J1092">
        <v>15855</v>
      </c>
      <c r="K1092">
        <v>15645</v>
      </c>
      <c r="L1092" s="2">
        <v>25.4025</v>
      </c>
      <c r="M1092" s="5">
        <v>163.791</v>
      </c>
      <c r="N1092" s="1">
        <v>201.7362</v>
      </c>
      <c r="O1092" s="2">
        <v>15.1</v>
      </c>
      <c r="P1092">
        <v>176</v>
      </c>
    </row>
    <row r="1093" spans="1:16" x14ac:dyDescent="0.35">
      <c r="A1093" s="4">
        <v>44593</v>
      </c>
      <c r="B1093" t="s">
        <v>22</v>
      </c>
      <c r="C1093" t="s">
        <v>15</v>
      </c>
      <c r="D1093">
        <v>0</v>
      </c>
      <c r="E1093" s="2" t="s">
        <v>27</v>
      </c>
      <c r="F1093" s="2">
        <f>(1975+1980+2025+1990+2060)/5</f>
        <v>2006</v>
      </c>
      <c r="G1093" s="3">
        <v>0</v>
      </c>
      <c r="H1093">
        <v>0</v>
      </c>
      <c r="I1093">
        <v>1280.9000000000001</v>
      </c>
      <c r="J1093">
        <v>15855</v>
      </c>
      <c r="K1093">
        <v>15645</v>
      </c>
      <c r="L1093" s="2">
        <v>25.4025</v>
      </c>
      <c r="M1093" s="5">
        <v>163.791</v>
      </c>
      <c r="N1093" s="1">
        <v>201.7362</v>
      </c>
      <c r="O1093" s="2">
        <v>15.1</v>
      </c>
      <c r="P1093">
        <v>176</v>
      </c>
    </row>
    <row r="1094" spans="1:16" x14ac:dyDescent="0.35">
      <c r="A1094" s="4">
        <v>44621</v>
      </c>
      <c r="B1094" t="s">
        <v>16</v>
      </c>
      <c r="C1094" t="s">
        <v>10</v>
      </c>
      <c r="D1094">
        <v>1</v>
      </c>
      <c r="E1094" s="2">
        <f>(4766+4400+3533)/3</f>
        <v>4233</v>
      </c>
      <c r="F1094" s="2">
        <f>(4259+4079+3538.25)/3</f>
        <v>3958.75</v>
      </c>
      <c r="G1094" s="3">
        <v>0</v>
      </c>
      <c r="H1094">
        <v>0</v>
      </c>
      <c r="I1094">
        <v>1097.9000000000001</v>
      </c>
      <c r="J1094">
        <v>23955</v>
      </c>
      <c r="K1094">
        <v>17880</v>
      </c>
      <c r="L1094" s="2">
        <v>26.5825</v>
      </c>
      <c r="M1094" s="5">
        <v>89.297999999999988</v>
      </c>
      <c r="N1094" s="1">
        <v>255.8081</v>
      </c>
      <c r="O1094" s="2">
        <v>18.7</v>
      </c>
      <c r="P1094">
        <v>176</v>
      </c>
    </row>
    <row r="1095" spans="1:16" x14ac:dyDescent="0.35">
      <c r="A1095" s="4">
        <v>44621</v>
      </c>
      <c r="B1095" t="s">
        <v>16</v>
      </c>
      <c r="C1095" t="s">
        <v>11</v>
      </c>
      <c r="D1095">
        <v>0</v>
      </c>
      <c r="E1095" s="2" t="s">
        <v>27</v>
      </c>
      <c r="F1095" s="2">
        <f t="shared" ref="F1095:F1099" si="171">(4259+4079+3538.25)/3</f>
        <v>3958.75</v>
      </c>
      <c r="G1095" s="3">
        <v>0</v>
      </c>
      <c r="H1095">
        <v>0</v>
      </c>
      <c r="I1095">
        <v>1097.9000000000001</v>
      </c>
      <c r="J1095">
        <v>23955</v>
      </c>
      <c r="K1095">
        <v>17880</v>
      </c>
      <c r="L1095" s="2">
        <v>26.5825</v>
      </c>
      <c r="M1095" s="5">
        <v>89.297999999999988</v>
      </c>
      <c r="N1095" s="1">
        <v>255.8081</v>
      </c>
      <c r="O1095" s="2">
        <v>18.7</v>
      </c>
      <c r="P1095">
        <v>176</v>
      </c>
    </row>
    <row r="1096" spans="1:16" x14ac:dyDescent="0.35">
      <c r="A1096" s="4">
        <v>44621</v>
      </c>
      <c r="B1096" t="s">
        <v>16</v>
      </c>
      <c r="C1096" t="s">
        <v>12</v>
      </c>
      <c r="D1096">
        <v>1</v>
      </c>
      <c r="E1096" s="2">
        <f>(3270+3366+3370)/3</f>
        <v>3335.3333333333335</v>
      </c>
      <c r="F1096" s="2">
        <f t="shared" si="171"/>
        <v>3958.75</v>
      </c>
      <c r="G1096" s="3">
        <v>0</v>
      </c>
      <c r="H1096">
        <v>0</v>
      </c>
      <c r="I1096">
        <v>1097.9000000000001</v>
      </c>
      <c r="J1096">
        <v>23955</v>
      </c>
      <c r="K1096">
        <v>17880</v>
      </c>
      <c r="L1096" s="2">
        <v>26.5825</v>
      </c>
      <c r="M1096" s="5">
        <v>89.297999999999988</v>
      </c>
      <c r="N1096" s="1">
        <v>255.8081</v>
      </c>
      <c r="O1096" s="2">
        <v>18.7</v>
      </c>
      <c r="P1096">
        <v>176</v>
      </c>
    </row>
    <row r="1097" spans="1:16" x14ac:dyDescent="0.35">
      <c r="A1097" s="4">
        <v>44621</v>
      </c>
      <c r="B1097" t="s">
        <v>16</v>
      </c>
      <c r="C1097" t="s">
        <v>13</v>
      </c>
      <c r="D1097">
        <v>1</v>
      </c>
      <c r="E1097" s="2">
        <f>(4400+4250+3550)/3</f>
        <v>4066.6666666666665</v>
      </c>
      <c r="F1097" s="2">
        <f t="shared" si="171"/>
        <v>3958.75</v>
      </c>
      <c r="G1097" s="3">
        <v>0</v>
      </c>
      <c r="H1097">
        <v>0</v>
      </c>
      <c r="I1097">
        <v>1097.9000000000001</v>
      </c>
      <c r="J1097">
        <v>23955</v>
      </c>
      <c r="K1097">
        <v>17880</v>
      </c>
      <c r="L1097" s="2">
        <v>26.5825</v>
      </c>
      <c r="M1097" s="5">
        <v>89.297999999999988</v>
      </c>
      <c r="N1097" s="1">
        <v>255.8081</v>
      </c>
      <c r="O1097" s="2">
        <v>18.7</v>
      </c>
      <c r="P1097">
        <v>176</v>
      </c>
    </row>
    <row r="1098" spans="1:16" x14ac:dyDescent="0.35">
      <c r="A1098" s="4">
        <v>44621</v>
      </c>
      <c r="B1098" t="s">
        <v>16</v>
      </c>
      <c r="C1098" t="s">
        <v>14</v>
      </c>
      <c r="D1098">
        <v>1</v>
      </c>
      <c r="E1098" s="2">
        <f>(3800+4300+4500)/3</f>
        <v>4200</v>
      </c>
      <c r="F1098" s="2">
        <f t="shared" si="171"/>
        <v>3958.75</v>
      </c>
      <c r="G1098" s="3">
        <v>0</v>
      </c>
      <c r="H1098">
        <v>0</v>
      </c>
      <c r="I1098">
        <v>1097.9000000000001</v>
      </c>
      <c r="J1098">
        <v>23955</v>
      </c>
      <c r="K1098">
        <v>17880</v>
      </c>
      <c r="L1098" s="2">
        <v>26.5825</v>
      </c>
      <c r="M1098" s="5">
        <v>89.297999999999988</v>
      </c>
      <c r="N1098" s="1">
        <v>255.8081</v>
      </c>
      <c r="O1098" s="2">
        <v>18.7</v>
      </c>
      <c r="P1098">
        <v>176</v>
      </c>
    </row>
    <row r="1099" spans="1:16" x14ac:dyDescent="0.35">
      <c r="A1099" s="4">
        <v>44621</v>
      </c>
      <c r="B1099" t="s">
        <v>16</v>
      </c>
      <c r="C1099" t="s">
        <v>15</v>
      </c>
      <c r="D1099">
        <v>0</v>
      </c>
      <c r="E1099" s="2" t="s">
        <v>27</v>
      </c>
      <c r="F1099" s="2">
        <f t="shared" si="171"/>
        <v>3958.75</v>
      </c>
      <c r="G1099" s="3">
        <v>0</v>
      </c>
      <c r="H1099">
        <v>0</v>
      </c>
      <c r="I1099">
        <v>1097.9000000000001</v>
      </c>
      <c r="J1099">
        <v>23955</v>
      </c>
      <c r="K1099">
        <v>17880</v>
      </c>
      <c r="L1099" s="2">
        <v>26.5825</v>
      </c>
      <c r="M1099" s="5">
        <v>89.297999999999988</v>
      </c>
      <c r="N1099" s="1">
        <v>255.8081</v>
      </c>
      <c r="O1099" s="2">
        <v>18.7</v>
      </c>
      <c r="P1099">
        <v>176</v>
      </c>
    </row>
    <row r="1100" spans="1:16" x14ac:dyDescent="0.35">
      <c r="A1100" s="4">
        <v>44621</v>
      </c>
      <c r="B1100" t="s">
        <v>17</v>
      </c>
      <c r="C1100" t="s">
        <v>10</v>
      </c>
      <c r="D1100">
        <v>1</v>
      </c>
      <c r="E1100" s="2">
        <f>(3100+4100+3166)/3</f>
        <v>3455.3333333333335</v>
      </c>
      <c r="F1100" s="2">
        <f>(2979.6+3594+3717.2)/3</f>
        <v>3430.2666666666664</v>
      </c>
      <c r="G1100" s="3">
        <v>0</v>
      </c>
      <c r="H1100">
        <v>0</v>
      </c>
      <c r="I1100">
        <v>1097.9000000000001</v>
      </c>
      <c r="J1100">
        <v>23955</v>
      </c>
      <c r="K1100">
        <v>17880</v>
      </c>
      <c r="L1100" s="2">
        <v>26.5825</v>
      </c>
      <c r="M1100" s="5">
        <v>89.297999999999988</v>
      </c>
      <c r="N1100" s="1">
        <v>255.8081</v>
      </c>
      <c r="O1100" s="2">
        <v>18.7</v>
      </c>
      <c r="P1100">
        <v>176</v>
      </c>
    </row>
    <row r="1101" spans="1:16" x14ac:dyDescent="0.35">
      <c r="A1101" s="4">
        <v>44621</v>
      </c>
      <c r="B1101" t="s">
        <v>17</v>
      </c>
      <c r="C1101" t="s">
        <v>11</v>
      </c>
      <c r="D1101">
        <v>1</v>
      </c>
      <c r="E1101" s="2">
        <f>(3100+3500+2950)/3</f>
        <v>3183.3333333333335</v>
      </c>
      <c r="F1101" s="2">
        <f t="shared" ref="F1101:F1105" si="172">(2979.6+3594+3717.2)/3</f>
        <v>3430.2666666666664</v>
      </c>
      <c r="G1101" s="3">
        <v>0</v>
      </c>
      <c r="H1101">
        <v>0</v>
      </c>
      <c r="I1101">
        <v>1097.9000000000001</v>
      </c>
      <c r="J1101">
        <v>23955</v>
      </c>
      <c r="K1101">
        <v>17880</v>
      </c>
      <c r="L1101" s="2">
        <v>26.5825</v>
      </c>
      <c r="M1101" s="5">
        <v>89.297999999999988</v>
      </c>
      <c r="N1101" s="1">
        <v>255.8081</v>
      </c>
      <c r="O1101" s="2">
        <v>18.7</v>
      </c>
      <c r="P1101">
        <v>176</v>
      </c>
    </row>
    <row r="1102" spans="1:16" x14ac:dyDescent="0.35">
      <c r="A1102" s="4">
        <v>44621</v>
      </c>
      <c r="B1102" t="s">
        <v>17</v>
      </c>
      <c r="C1102" t="s">
        <v>12</v>
      </c>
      <c r="D1102">
        <v>1</v>
      </c>
      <c r="E1102" s="2">
        <f>(2765+3170*2)/3</f>
        <v>3035</v>
      </c>
      <c r="F1102" s="2">
        <f t="shared" si="172"/>
        <v>3430.2666666666664</v>
      </c>
      <c r="G1102" s="3">
        <v>0</v>
      </c>
      <c r="H1102">
        <v>0</v>
      </c>
      <c r="I1102">
        <v>1097.9000000000001</v>
      </c>
      <c r="J1102">
        <v>23955</v>
      </c>
      <c r="K1102">
        <v>17880</v>
      </c>
      <c r="L1102" s="2">
        <v>26.5825</v>
      </c>
      <c r="M1102" s="5">
        <v>89.297999999999988</v>
      </c>
      <c r="N1102" s="1">
        <v>255.8081</v>
      </c>
      <c r="O1102" s="2">
        <v>18.7</v>
      </c>
      <c r="P1102">
        <v>176</v>
      </c>
    </row>
    <row r="1103" spans="1:16" x14ac:dyDescent="0.35">
      <c r="A1103" s="4">
        <v>44621</v>
      </c>
      <c r="B1103" t="s">
        <v>17</v>
      </c>
      <c r="C1103" t="s">
        <v>13</v>
      </c>
      <c r="D1103">
        <v>1</v>
      </c>
      <c r="E1103" s="2">
        <f>(3750+3700+2950)/3</f>
        <v>3466.6666666666665</v>
      </c>
      <c r="F1103" s="2">
        <f t="shared" si="172"/>
        <v>3430.2666666666664</v>
      </c>
      <c r="G1103" s="3">
        <v>0</v>
      </c>
      <c r="H1103">
        <v>0</v>
      </c>
      <c r="I1103">
        <v>1097.9000000000001</v>
      </c>
      <c r="J1103">
        <v>23955</v>
      </c>
      <c r="K1103">
        <v>17880</v>
      </c>
      <c r="L1103" s="2">
        <v>26.5825</v>
      </c>
      <c r="M1103" s="5">
        <v>89.297999999999988</v>
      </c>
      <c r="N1103" s="1">
        <v>255.8081</v>
      </c>
      <c r="O1103" s="2">
        <v>18.7</v>
      </c>
      <c r="P1103">
        <v>176</v>
      </c>
    </row>
    <row r="1104" spans="1:16" x14ac:dyDescent="0.35">
      <c r="A1104" s="4">
        <v>44621</v>
      </c>
      <c r="B1104" t="s">
        <v>17</v>
      </c>
      <c r="C1104" t="s">
        <v>14</v>
      </c>
      <c r="D1104">
        <v>1</v>
      </c>
      <c r="E1104" s="2">
        <f>(4000+3900+3133)/3</f>
        <v>3677.6666666666665</v>
      </c>
      <c r="F1104" s="2">
        <f t="shared" si="172"/>
        <v>3430.2666666666664</v>
      </c>
      <c r="G1104" s="3">
        <v>0</v>
      </c>
      <c r="H1104">
        <v>0</v>
      </c>
      <c r="I1104">
        <v>1097.9000000000001</v>
      </c>
      <c r="J1104">
        <v>23955</v>
      </c>
      <c r="K1104">
        <v>17880</v>
      </c>
      <c r="L1104" s="2">
        <v>26.5825</v>
      </c>
      <c r="M1104" s="5">
        <v>89.297999999999988</v>
      </c>
      <c r="N1104" s="1">
        <v>255.8081</v>
      </c>
      <c r="O1104" s="2">
        <v>18.7</v>
      </c>
      <c r="P1104">
        <v>176</v>
      </c>
    </row>
    <row r="1105" spans="1:16" x14ac:dyDescent="0.35">
      <c r="A1105" s="4">
        <v>44621</v>
      </c>
      <c r="B1105" t="s">
        <v>17</v>
      </c>
      <c r="C1105" t="s">
        <v>15</v>
      </c>
      <c r="D1105">
        <v>0</v>
      </c>
      <c r="E1105" s="2" t="s">
        <v>27</v>
      </c>
      <c r="F1105" s="2">
        <f t="shared" si="172"/>
        <v>3430.2666666666664</v>
      </c>
      <c r="G1105" s="3">
        <v>0</v>
      </c>
      <c r="H1105">
        <v>0</v>
      </c>
      <c r="I1105">
        <v>1097.9000000000001</v>
      </c>
      <c r="J1105">
        <v>23955</v>
      </c>
      <c r="K1105">
        <v>17880</v>
      </c>
      <c r="L1105" s="2">
        <v>26.5825</v>
      </c>
      <c r="M1105" s="5">
        <v>89.297999999999988</v>
      </c>
      <c r="N1105" s="1">
        <v>255.8081</v>
      </c>
      <c r="O1105" s="2">
        <v>18.7</v>
      </c>
      <c r="P1105">
        <v>176</v>
      </c>
    </row>
    <row r="1106" spans="1:16" x14ac:dyDescent="0.35">
      <c r="A1106" s="4">
        <v>44621</v>
      </c>
      <c r="B1106" t="s">
        <v>18</v>
      </c>
      <c r="C1106" t="s">
        <v>10</v>
      </c>
      <c r="D1106">
        <v>1</v>
      </c>
      <c r="E1106" s="2">
        <f>(3666+3625+2966)/3</f>
        <v>3419</v>
      </c>
      <c r="F1106" s="2">
        <f>(3388+3343+2805.17)/3</f>
        <v>3178.7233333333334</v>
      </c>
      <c r="G1106" s="3">
        <v>0</v>
      </c>
      <c r="H1106">
        <v>0</v>
      </c>
      <c r="I1106">
        <v>1097.9000000000001</v>
      </c>
      <c r="J1106">
        <v>23955</v>
      </c>
      <c r="K1106">
        <v>17880</v>
      </c>
      <c r="L1106" s="2">
        <v>26.5825</v>
      </c>
      <c r="M1106" s="5">
        <v>89.297999999999988</v>
      </c>
      <c r="N1106" s="1">
        <v>255.8081</v>
      </c>
      <c r="O1106" s="2">
        <v>18.7</v>
      </c>
      <c r="P1106">
        <v>176</v>
      </c>
    </row>
    <row r="1107" spans="1:16" x14ac:dyDescent="0.35">
      <c r="A1107" s="4">
        <v>44621</v>
      </c>
      <c r="B1107" t="s">
        <v>18</v>
      </c>
      <c r="C1107" t="s">
        <v>11</v>
      </c>
      <c r="D1107">
        <v>1</v>
      </c>
      <c r="E1107" s="2">
        <v>2933.33</v>
      </c>
      <c r="F1107" s="2">
        <f t="shared" ref="F1107:F1111" si="173">(3388+3343+2805.17)/3</f>
        <v>3178.7233333333334</v>
      </c>
      <c r="G1107" s="3">
        <v>0</v>
      </c>
      <c r="H1107">
        <v>0</v>
      </c>
      <c r="I1107">
        <v>1097.9000000000001</v>
      </c>
      <c r="J1107">
        <v>23955</v>
      </c>
      <c r="K1107">
        <v>17880</v>
      </c>
      <c r="L1107" s="2">
        <v>26.5825</v>
      </c>
      <c r="M1107" s="5">
        <v>89.297999999999988</v>
      </c>
      <c r="N1107" s="1">
        <v>255.8081</v>
      </c>
      <c r="O1107" s="2">
        <v>18.7</v>
      </c>
      <c r="P1107">
        <v>176</v>
      </c>
    </row>
    <row r="1108" spans="1:16" x14ac:dyDescent="0.35">
      <c r="A1108" s="4">
        <v>44621</v>
      </c>
      <c r="B1108" t="s">
        <v>18</v>
      </c>
      <c r="C1108" t="s">
        <v>12</v>
      </c>
      <c r="D1108">
        <v>1</v>
      </c>
      <c r="E1108" s="2">
        <f>(2860*2+2590)/3</f>
        <v>2770</v>
      </c>
      <c r="F1108" s="2">
        <f t="shared" si="173"/>
        <v>3178.7233333333334</v>
      </c>
      <c r="G1108" s="3">
        <v>0</v>
      </c>
      <c r="H1108">
        <v>0</v>
      </c>
      <c r="I1108">
        <v>1097.9000000000001</v>
      </c>
      <c r="J1108">
        <v>23955</v>
      </c>
      <c r="K1108">
        <v>17880</v>
      </c>
      <c r="L1108" s="2">
        <v>26.5825</v>
      </c>
      <c r="M1108" s="5">
        <v>89.297999999999988</v>
      </c>
      <c r="N1108" s="1">
        <v>255.8081</v>
      </c>
      <c r="O1108" s="2">
        <v>18.7</v>
      </c>
      <c r="P1108">
        <v>176</v>
      </c>
    </row>
    <row r="1109" spans="1:16" x14ac:dyDescent="0.35">
      <c r="A1109" s="4">
        <v>44621</v>
      </c>
      <c r="B1109" t="s">
        <v>18</v>
      </c>
      <c r="C1109" t="s">
        <v>13</v>
      </c>
      <c r="D1109">
        <v>1</v>
      </c>
      <c r="E1109" s="2">
        <f>(2825+3550+3590)/3</f>
        <v>3321.6666666666665</v>
      </c>
      <c r="F1109" s="2">
        <f t="shared" si="173"/>
        <v>3178.7233333333334</v>
      </c>
      <c r="G1109" s="3">
        <v>0</v>
      </c>
      <c r="H1109">
        <v>0</v>
      </c>
      <c r="I1109">
        <v>1097.9000000000001</v>
      </c>
      <c r="J1109">
        <v>23955</v>
      </c>
      <c r="K1109">
        <v>17880</v>
      </c>
      <c r="L1109" s="2">
        <v>26.5825</v>
      </c>
      <c r="M1109" s="5">
        <v>89.297999999999988</v>
      </c>
      <c r="N1109" s="1">
        <v>255.8081</v>
      </c>
      <c r="O1109" s="2">
        <v>18.7</v>
      </c>
      <c r="P1109">
        <v>176</v>
      </c>
    </row>
    <row r="1110" spans="1:16" x14ac:dyDescent="0.35">
      <c r="A1110" s="4">
        <v>44621</v>
      </c>
      <c r="B1110" t="s">
        <v>18</v>
      </c>
      <c r="C1110" t="s">
        <v>14</v>
      </c>
      <c r="D1110">
        <v>1</v>
      </c>
      <c r="E1110" s="2">
        <f>(3700+3666+2900)/3</f>
        <v>3422</v>
      </c>
      <c r="F1110" s="2">
        <f t="shared" si="173"/>
        <v>3178.7233333333334</v>
      </c>
      <c r="G1110" s="3">
        <v>0</v>
      </c>
      <c r="H1110">
        <v>0</v>
      </c>
      <c r="I1110">
        <v>1097.9000000000001</v>
      </c>
      <c r="J1110">
        <v>23955</v>
      </c>
      <c r="K1110">
        <v>17880</v>
      </c>
      <c r="L1110" s="2">
        <v>26.5825</v>
      </c>
      <c r="M1110" s="5">
        <v>89.297999999999988</v>
      </c>
      <c r="N1110" s="1">
        <v>255.8081</v>
      </c>
      <c r="O1110" s="2">
        <v>18.7</v>
      </c>
      <c r="P1110">
        <v>176</v>
      </c>
    </row>
    <row r="1111" spans="1:16" x14ac:dyDescent="0.35">
      <c r="A1111" s="4">
        <v>44621</v>
      </c>
      <c r="B1111" t="s">
        <v>18</v>
      </c>
      <c r="C1111" t="s">
        <v>15</v>
      </c>
      <c r="D1111">
        <v>1</v>
      </c>
      <c r="E1111" s="2">
        <f>(2750+3800*2)/3</f>
        <v>3450</v>
      </c>
      <c r="F1111" s="2">
        <f t="shared" si="173"/>
        <v>3178.7233333333334</v>
      </c>
      <c r="G1111" s="3">
        <v>0</v>
      </c>
      <c r="H1111">
        <v>0</v>
      </c>
      <c r="I1111">
        <v>1097.9000000000001</v>
      </c>
      <c r="J1111">
        <v>23955</v>
      </c>
      <c r="K1111">
        <v>17880</v>
      </c>
      <c r="L1111" s="2">
        <v>26.5825</v>
      </c>
      <c r="M1111" s="5">
        <v>89.297999999999988</v>
      </c>
      <c r="N1111" s="1">
        <v>255.8081</v>
      </c>
      <c r="O1111" s="2">
        <v>18.7</v>
      </c>
      <c r="P1111">
        <v>176</v>
      </c>
    </row>
    <row r="1112" spans="1:16" x14ac:dyDescent="0.35">
      <c r="A1112" s="4">
        <v>44621</v>
      </c>
      <c r="B1112" t="s">
        <v>19</v>
      </c>
      <c r="C1112" t="s">
        <v>10</v>
      </c>
      <c r="D1112">
        <v>1</v>
      </c>
      <c r="E1112" s="2">
        <f>(2700+3050+3300)/3</f>
        <v>3016.6666666666665</v>
      </c>
      <c r="F1112" s="2">
        <f>(3120.71+3060.86+2642.14)/3</f>
        <v>2941.2366666666662</v>
      </c>
      <c r="G1112" s="3">
        <v>0</v>
      </c>
      <c r="H1112">
        <v>0</v>
      </c>
      <c r="I1112">
        <v>1097.9000000000001</v>
      </c>
      <c r="J1112">
        <v>23955</v>
      </c>
      <c r="K1112">
        <v>17880</v>
      </c>
      <c r="L1112" s="2">
        <v>26.5825</v>
      </c>
      <c r="M1112" s="5">
        <v>89.297999999999988</v>
      </c>
      <c r="N1112" s="1">
        <v>255.8081</v>
      </c>
      <c r="O1112" s="2">
        <v>18.7</v>
      </c>
      <c r="P1112">
        <v>176</v>
      </c>
    </row>
    <row r="1113" spans="1:16" x14ac:dyDescent="0.35">
      <c r="A1113" s="4">
        <v>44621</v>
      </c>
      <c r="B1113" t="s">
        <v>19</v>
      </c>
      <c r="C1113" t="s">
        <v>11</v>
      </c>
      <c r="D1113">
        <v>1</v>
      </c>
      <c r="E1113" s="2">
        <f>2800</f>
        <v>2800</v>
      </c>
      <c r="F1113" s="2">
        <f t="shared" ref="F1113:F1117" si="174">(3120.71+3060.86+2642.14)/3</f>
        <v>2941.2366666666662</v>
      </c>
      <c r="G1113" s="3">
        <v>0</v>
      </c>
      <c r="H1113">
        <v>0</v>
      </c>
      <c r="I1113">
        <v>1097.9000000000001</v>
      </c>
      <c r="J1113">
        <v>23955</v>
      </c>
      <c r="K1113">
        <v>17880</v>
      </c>
      <c r="L1113" s="2">
        <v>26.5825</v>
      </c>
      <c r="M1113" s="5">
        <v>89.297999999999988</v>
      </c>
      <c r="N1113" s="1">
        <v>255.8081</v>
      </c>
      <c r="O1113" s="2">
        <v>18.7</v>
      </c>
      <c r="P1113">
        <v>176</v>
      </c>
    </row>
    <row r="1114" spans="1:16" x14ac:dyDescent="0.35">
      <c r="A1114" s="4">
        <v>44621</v>
      </c>
      <c r="B1114" t="s">
        <v>19</v>
      </c>
      <c r="C1114" t="s">
        <v>12</v>
      </c>
      <c r="D1114">
        <v>1</v>
      </c>
      <c r="E1114" s="2">
        <f>(2765*2+2470)/3</f>
        <v>2666.6666666666665</v>
      </c>
      <c r="F1114" s="2">
        <f t="shared" si="174"/>
        <v>2941.2366666666662</v>
      </c>
      <c r="G1114" s="3">
        <v>0</v>
      </c>
      <c r="H1114">
        <v>0</v>
      </c>
      <c r="I1114">
        <v>1097.9000000000001</v>
      </c>
      <c r="J1114">
        <v>23955</v>
      </c>
      <c r="K1114">
        <v>17880</v>
      </c>
      <c r="L1114" s="2">
        <v>26.5825</v>
      </c>
      <c r="M1114" s="5">
        <v>89.297999999999988</v>
      </c>
      <c r="N1114" s="1">
        <v>255.8081</v>
      </c>
      <c r="O1114" s="2">
        <v>18.7</v>
      </c>
      <c r="P1114">
        <v>176</v>
      </c>
    </row>
    <row r="1115" spans="1:16" x14ac:dyDescent="0.35">
      <c r="A1115" s="4">
        <v>44621</v>
      </c>
      <c r="B1115" t="s">
        <v>19</v>
      </c>
      <c r="C1115" t="s">
        <v>13</v>
      </c>
      <c r="D1115">
        <v>1</v>
      </c>
      <c r="E1115" s="2">
        <f>(2750+3425+3410)/3</f>
        <v>3195</v>
      </c>
      <c r="F1115" s="2">
        <f t="shared" si="174"/>
        <v>2941.2366666666662</v>
      </c>
      <c r="G1115" s="3">
        <v>0</v>
      </c>
      <c r="H1115">
        <v>0</v>
      </c>
      <c r="I1115">
        <v>1097.9000000000001</v>
      </c>
      <c r="J1115">
        <v>23955</v>
      </c>
      <c r="K1115">
        <v>17880</v>
      </c>
      <c r="L1115" s="2">
        <v>26.5825</v>
      </c>
      <c r="M1115" s="5">
        <v>89.297999999999988</v>
      </c>
      <c r="N1115" s="1">
        <v>255.8081</v>
      </c>
      <c r="O1115" s="2">
        <v>18.7</v>
      </c>
      <c r="P1115">
        <v>176</v>
      </c>
    </row>
    <row r="1116" spans="1:16" x14ac:dyDescent="0.35">
      <c r="A1116" s="4">
        <v>44621</v>
      </c>
      <c r="B1116" t="s">
        <v>19</v>
      </c>
      <c r="C1116" t="s">
        <v>14</v>
      </c>
      <c r="D1116">
        <v>1</v>
      </c>
      <c r="E1116" s="2">
        <f>(3520+3586+2725)/3</f>
        <v>3277</v>
      </c>
      <c r="F1116" s="2">
        <f t="shared" si="174"/>
        <v>2941.2366666666662</v>
      </c>
      <c r="G1116" s="3">
        <v>0</v>
      </c>
      <c r="H1116">
        <v>0</v>
      </c>
      <c r="I1116">
        <v>1097.9000000000001</v>
      </c>
      <c r="J1116">
        <v>23955</v>
      </c>
      <c r="K1116">
        <v>17880</v>
      </c>
      <c r="L1116" s="2">
        <v>26.5825</v>
      </c>
      <c r="M1116" s="5">
        <v>89.297999999999988</v>
      </c>
      <c r="N1116" s="1">
        <v>255.8081</v>
      </c>
      <c r="O1116" s="2">
        <v>18.7</v>
      </c>
      <c r="P1116">
        <v>176</v>
      </c>
    </row>
    <row r="1117" spans="1:16" x14ac:dyDescent="0.35">
      <c r="A1117" s="4">
        <v>44621</v>
      </c>
      <c r="B1117" t="s">
        <v>19</v>
      </c>
      <c r="C1117" t="s">
        <v>15</v>
      </c>
      <c r="D1117">
        <v>1</v>
      </c>
      <c r="E1117" s="2">
        <f>(2700+3500+3600)/3</f>
        <v>3266.6666666666665</v>
      </c>
      <c r="F1117" s="2">
        <f t="shared" si="174"/>
        <v>2941.2366666666662</v>
      </c>
      <c r="G1117" s="3">
        <v>0</v>
      </c>
      <c r="H1117">
        <v>0</v>
      </c>
      <c r="I1117">
        <v>1097.9000000000001</v>
      </c>
      <c r="J1117">
        <v>23955</v>
      </c>
      <c r="K1117">
        <v>17880</v>
      </c>
      <c r="L1117" s="2">
        <v>26.5825</v>
      </c>
      <c r="M1117" s="5">
        <v>89.297999999999988</v>
      </c>
      <c r="N1117" s="1">
        <v>255.8081</v>
      </c>
      <c r="O1117" s="2">
        <v>18.7</v>
      </c>
      <c r="P1117">
        <v>176</v>
      </c>
    </row>
    <row r="1118" spans="1:16" x14ac:dyDescent="0.35">
      <c r="A1118" s="4">
        <v>44621</v>
      </c>
      <c r="B1118" t="s">
        <v>20</v>
      </c>
      <c r="C1118" t="s">
        <v>10</v>
      </c>
      <c r="D1118">
        <v>1</v>
      </c>
      <c r="E1118" s="2">
        <f>(2266+2625+2850)/3</f>
        <v>2580.3333333333335</v>
      </c>
      <c r="F1118" s="2">
        <f>(2259.5+2688.33+2850.83)/3</f>
        <v>2599.5533333333333</v>
      </c>
      <c r="G1118" s="3">
        <v>0</v>
      </c>
      <c r="H1118">
        <v>0</v>
      </c>
      <c r="I1118">
        <v>1097.9000000000001</v>
      </c>
      <c r="J1118">
        <v>23955</v>
      </c>
      <c r="K1118">
        <v>17880</v>
      </c>
      <c r="L1118" s="2">
        <v>26.5825</v>
      </c>
      <c r="M1118" s="5">
        <v>89.297999999999988</v>
      </c>
      <c r="N1118" s="1">
        <v>255.8081</v>
      </c>
      <c r="O1118" s="2">
        <v>18.7</v>
      </c>
      <c r="P1118">
        <v>176</v>
      </c>
    </row>
    <row r="1119" spans="1:16" x14ac:dyDescent="0.35">
      <c r="A1119" s="4">
        <v>44621</v>
      </c>
      <c r="B1119" t="s">
        <v>20</v>
      </c>
      <c r="C1119" t="s">
        <v>11</v>
      </c>
      <c r="D1119">
        <v>1</v>
      </c>
      <c r="E1119" s="2">
        <f>(2100*2+2300)/3</f>
        <v>2166.6666666666665</v>
      </c>
      <c r="F1119" s="2">
        <f t="shared" ref="F1119:F1123" si="175">(2259.5+2688.33+2850.83)/3</f>
        <v>2599.5533333333333</v>
      </c>
      <c r="G1119" s="3">
        <v>0</v>
      </c>
      <c r="H1119">
        <v>0</v>
      </c>
      <c r="I1119">
        <v>1097.9000000000001</v>
      </c>
      <c r="J1119">
        <v>23955</v>
      </c>
      <c r="K1119">
        <v>17880</v>
      </c>
      <c r="L1119" s="2">
        <v>26.5825</v>
      </c>
      <c r="M1119" s="5">
        <v>89.297999999999988</v>
      </c>
      <c r="N1119" s="1">
        <v>255.8081</v>
      </c>
      <c r="O1119" s="2">
        <v>18.7</v>
      </c>
      <c r="P1119">
        <v>176</v>
      </c>
    </row>
    <row r="1120" spans="1:16" x14ac:dyDescent="0.35">
      <c r="A1120" s="4">
        <v>44621</v>
      </c>
      <c r="B1120" t="s">
        <v>20</v>
      </c>
      <c r="C1120" t="s">
        <v>12</v>
      </c>
      <c r="D1120">
        <v>1</v>
      </c>
      <c r="E1120" s="2">
        <v>1970</v>
      </c>
      <c r="F1120" s="2">
        <f t="shared" si="175"/>
        <v>2599.5533333333333</v>
      </c>
      <c r="G1120" s="3">
        <v>0</v>
      </c>
      <c r="H1120">
        <v>0</v>
      </c>
      <c r="I1120">
        <v>1097.9000000000001</v>
      </c>
      <c r="J1120">
        <v>23955</v>
      </c>
      <c r="K1120">
        <v>17880</v>
      </c>
      <c r="L1120" s="2">
        <v>26.5825</v>
      </c>
      <c r="M1120" s="5">
        <v>89.297999999999988</v>
      </c>
      <c r="N1120" s="1">
        <v>255.8081</v>
      </c>
      <c r="O1120" s="2">
        <v>18.7</v>
      </c>
      <c r="P1120">
        <v>176</v>
      </c>
    </row>
    <row r="1121" spans="1:16" x14ac:dyDescent="0.35">
      <c r="A1121" s="4">
        <v>44621</v>
      </c>
      <c r="B1121" t="s">
        <v>20</v>
      </c>
      <c r="C1121" t="s">
        <v>13</v>
      </c>
      <c r="D1121">
        <v>1</v>
      </c>
      <c r="E1121" s="2">
        <f>(3275+3050+2375)/3</f>
        <v>2900</v>
      </c>
      <c r="F1121" s="2">
        <f t="shared" si="175"/>
        <v>2599.5533333333333</v>
      </c>
      <c r="G1121" s="3">
        <v>0</v>
      </c>
      <c r="H1121">
        <v>0</v>
      </c>
      <c r="I1121">
        <v>1097.9000000000001</v>
      </c>
      <c r="J1121">
        <v>23955</v>
      </c>
      <c r="K1121">
        <v>17880</v>
      </c>
      <c r="L1121" s="2">
        <v>26.5825</v>
      </c>
      <c r="M1121" s="5">
        <v>89.297999999999988</v>
      </c>
      <c r="N1121" s="1">
        <v>255.8081</v>
      </c>
      <c r="O1121" s="2">
        <v>18.7</v>
      </c>
      <c r="P1121">
        <v>176</v>
      </c>
    </row>
    <row r="1122" spans="1:16" x14ac:dyDescent="0.35">
      <c r="A1122" s="4">
        <v>44621</v>
      </c>
      <c r="B1122" t="s">
        <v>20</v>
      </c>
      <c r="C1122" t="s">
        <v>14</v>
      </c>
      <c r="D1122">
        <v>1</v>
      </c>
      <c r="E1122" s="2">
        <f>(2466+3250+3325)/3</f>
        <v>3013.6666666666665</v>
      </c>
      <c r="F1122" s="2">
        <f t="shared" si="175"/>
        <v>2599.5533333333333</v>
      </c>
      <c r="G1122" s="3">
        <v>0</v>
      </c>
      <c r="H1122">
        <v>0</v>
      </c>
      <c r="I1122">
        <v>1097.9000000000001</v>
      </c>
      <c r="J1122">
        <v>23955</v>
      </c>
      <c r="K1122">
        <v>17880</v>
      </c>
      <c r="L1122" s="2">
        <v>26.5825</v>
      </c>
      <c r="M1122" s="5">
        <v>89.297999999999988</v>
      </c>
      <c r="N1122" s="1">
        <v>255.8081</v>
      </c>
      <c r="O1122" s="2">
        <v>18.7</v>
      </c>
      <c r="P1122">
        <v>176</v>
      </c>
    </row>
    <row r="1123" spans="1:16" x14ac:dyDescent="0.35">
      <c r="A1123" s="4">
        <v>44621</v>
      </c>
      <c r="B1123" t="s">
        <v>20</v>
      </c>
      <c r="C1123" t="s">
        <v>15</v>
      </c>
      <c r="D1123">
        <v>1</v>
      </c>
      <c r="E1123" s="2">
        <f>(3375+3125+2400)/3</f>
        <v>2966.6666666666665</v>
      </c>
      <c r="F1123" s="2">
        <f t="shared" si="175"/>
        <v>2599.5533333333333</v>
      </c>
      <c r="G1123" s="3">
        <v>0</v>
      </c>
      <c r="H1123">
        <v>0</v>
      </c>
      <c r="I1123">
        <v>1097.9000000000001</v>
      </c>
      <c r="J1123">
        <v>23955</v>
      </c>
      <c r="K1123">
        <v>17880</v>
      </c>
      <c r="L1123" s="2">
        <v>26.5825</v>
      </c>
      <c r="M1123" s="5">
        <v>89.297999999999988</v>
      </c>
      <c r="N1123" s="1">
        <v>255.8081</v>
      </c>
      <c r="O1123" s="2">
        <v>18.7</v>
      </c>
      <c r="P1123">
        <v>176</v>
      </c>
    </row>
    <row r="1124" spans="1:16" x14ac:dyDescent="0.35">
      <c r="A1124" s="4">
        <v>44621</v>
      </c>
      <c r="B1124" t="s">
        <v>21</v>
      </c>
      <c r="C1124" t="s">
        <v>10</v>
      </c>
      <c r="D1124">
        <v>1</v>
      </c>
      <c r="E1124" s="2">
        <f>(2366+2400+1816)/3</f>
        <v>2194</v>
      </c>
      <c r="F1124" s="2">
        <f>(2661+2526+2104.33)/3</f>
        <v>2430.4433333333332</v>
      </c>
      <c r="G1124" s="3">
        <v>0</v>
      </c>
      <c r="H1124">
        <v>0</v>
      </c>
      <c r="I1124">
        <v>1097.9000000000001</v>
      </c>
      <c r="J1124">
        <v>23955</v>
      </c>
      <c r="K1124">
        <v>17880</v>
      </c>
      <c r="L1124" s="2">
        <v>26.5825</v>
      </c>
      <c r="M1124" s="5">
        <v>89.297999999999988</v>
      </c>
      <c r="N1124" s="1">
        <v>255.8081</v>
      </c>
      <c r="O1124" s="2">
        <v>18.7</v>
      </c>
      <c r="P1124">
        <v>176</v>
      </c>
    </row>
    <row r="1125" spans="1:16" x14ac:dyDescent="0.35">
      <c r="A1125" s="4">
        <v>44621</v>
      </c>
      <c r="B1125" t="s">
        <v>21</v>
      </c>
      <c r="C1125" t="s">
        <v>11</v>
      </c>
      <c r="D1125">
        <v>1</v>
      </c>
      <c r="E1125" s="2">
        <v>2075</v>
      </c>
      <c r="F1125" s="2">
        <f t="shared" ref="F1125:F1129" si="176">(2661+2526+2104.33)/3</f>
        <v>2430.4433333333332</v>
      </c>
      <c r="G1125" s="3">
        <v>0</v>
      </c>
      <c r="H1125">
        <v>0</v>
      </c>
      <c r="I1125">
        <v>1097.9000000000001</v>
      </c>
      <c r="J1125">
        <v>23955</v>
      </c>
      <c r="K1125">
        <v>17880</v>
      </c>
      <c r="L1125" s="2">
        <v>26.5825</v>
      </c>
      <c r="M1125" s="5">
        <v>89.297999999999988</v>
      </c>
      <c r="N1125" s="1">
        <v>255.8081</v>
      </c>
      <c r="O1125" s="2">
        <v>18.7</v>
      </c>
      <c r="P1125">
        <v>176</v>
      </c>
    </row>
    <row r="1126" spans="1:16" x14ac:dyDescent="0.35">
      <c r="A1126" s="4">
        <v>44621</v>
      </c>
      <c r="B1126" t="s">
        <v>21</v>
      </c>
      <c r="C1126" t="s">
        <v>12</v>
      </c>
      <c r="D1126">
        <v>1</v>
      </c>
      <c r="E1126" s="2">
        <v>1800</v>
      </c>
      <c r="F1126" s="2">
        <f t="shared" si="176"/>
        <v>2430.4433333333332</v>
      </c>
      <c r="G1126" s="3">
        <v>0</v>
      </c>
      <c r="H1126">
        <v>0</v>
      </c>
      <c r="I1126">
        <v>1097.9000000000001</v>
      </c>
      <c r="J1126">
        <v>23955</v>
      </c>
      <c r="K1126">
        <v>17880</v>
      </c>
      <c r="L1126" s="2">
        <v>26.5825</v>
      </c>
      <c r="M1126" s="5">
        <v>89.297999999999988</v>
      </c>
      <c r="N1126" s="1">
        <v>255.8081</v>
      </c>
      <c r="O1126" s="2">
        <v>18.7</v>
      </c>
      <c r="P1126">
        <v>176</v>
      </c>
    </row>
    <row r="1127" spans="1:16" x14ac:dyDescent="0.35">
      <c r="A1127" s="4">
        <v>44621</v>
      </c>
      <c r="B1127" t="s">
        <v>21</v>
      </c>
      <c r="C1127" t="s">
        <v>13</v>
      </c>
      <c r="D1127">
        <v>1</v>
      </c>
      <c r="E1127" s="2">
        <f>(2325+2900+3125)/3</f>
        <v>2783.3333333333335</v>
      </c>
      <c r="F1127" s="2">
        <f t="shared" si="176"/>
        <v>2430.4433333333332</v>
      </c>
      <c r="G1127" s="3">
        <v>0</v>
      </c>
      <c r="H1127">
        <v>0</v>
      </c>
      <c r="I1127">
        <v>1097.9000000000001</v>
      </c>
      <c r="J1127">
        <v>23955</v>
      </c>
      <c r="K1127">
        <v>17880</v>
      </c>
      <c r="L1127" s="2">
        <v>26.5825</v>
      </c>
      <c r="M1127" s="5">
        <v>89.297999999999988</v>
      </c>
      <c r="N1127" s="1">
        <v>255.8081</v>
      </c>
      <c r="O1127" s="2">
        <v>18.7</v>
      </c>
      <c r="P1127">
        <v>176</v>
      </c>
    </row>
    <row r="1128" spans="1:16" x14ac:dyDescent="0.35">
      <c r="A1128" s="4">
        <v>44621</v>
      </c>
      <c r="B1128" t="s">
        <v>21</v>
      </c>
      <c r="C1128" t="s">
        <v>14</v>
      </c>
      <c r="D1128">
        <v>1</v>
      </c>
      <c r="E1128" s="2">
        <f>(3200+3006+2335)/3</f>
        <v>2847</v>
      </c>
      <c r="F1128" s="2">
        <f t="shared" si="176"/>
        <v>2430.4433333333332</v>
      </c>
      <c r="G1128" s="3">
        <v>0</v>
      </c>
      <c r="H1128">
        <v>0</v>
      </c>
      <c r="I1128">
        <v>1097.9000000000001</v>
      </c>
      <c r="J1128">
        <v>23955</v>
      </c>
      <c r="K1128">
        <v>17880</v>
      </c>
      <c r="L1128" s="2">
        <v>26.5825</v>
      </c>
      <c r="M1128" s="5">
        <v>89.297999999999988</v>
      </c>
      <c r="N1128" s="1">
        <v>255.8081</v>
      </c>
      <c r="O1128" s="2">
        <v>18.7</v>
      </c>
      <c r="P1128">
        <v>176</v>
      </c>
    </row>
    <row r="1129" spans="1:16" x14ac:dyDescent="0.35">
      <c r="A1129" s="4">
        <v>44621</v>
      </c>
      <c r="B1129" t="s">
        <v>21</v>
      </c>
      <c r="C1129" t="s">
        <v>15</v>
      </c>
      <c r="D1129">
        <v>1</v>
      </c>
      <c r="E1129" s="2">
        <f>(2350+3050+3275)/3</f>
        <v>2891.6666666666665</v>
      </c>
      <c r="F1129" s="2">
        <f t="shared" si="176"/>
        <v>2430.4433333333332</v>
      </c>
      <c r="G1129" s="3">
        <v>0</v>
      </c>
      <c r="H1129">
        <v>0</v>
      </c>
      <c r="I1129">
        <v>1097.9000000000001</v>
      </c>
      <c r="J1129">
        <v>23955</v>
      </c>
      <c r="K1129">
        <v>17880</v>
      </c>
      <c r="L1129" s="2">
        <v>26.5825</v>
      </c>
      <c r="M1129" s="5">
        <v>89.297999999999988</v>
      </c>
      <c r="N1129" s="1">
        <v>255.8081</v>
      </c>
      <c r="O1129" s="2">
        <v>18.7</v>
      </c>
      <c r="P1129">
        <v>176</v>
      </c>
    </row>
    <row r="1130" spans="1:16" x14ac:dyDescent="0.35">
      <c r="A1130" s="4">
        <v>44621</v>
      </c>
      <c r="B1130" t="s">
        <v>22</v>
      </c>
      <c r="C1130" t="s">
        <v>10</v>
      </c>
      <c r="D1130">
        <v>0</v>
      </c>
      <c r="E1130" s="2" t="s">
        <v>27</v>
      </c>
      <c r="F1130" s="2">
        <f t="shared" ref="F1130:F1133" si="177">(2060+2425+2750)/3</f>
        <v>2411.6666666666665</v>
      </c>
      <c r="G1130" s="3">
        <v>0</v>
      </c>
      <c r="H1130">
        <v>0</v>
      </c>
      <c r="I1130">
        <v>1097.9000000000001</v>
      </c>
      <c r="J1130">
        <v>23955</v>
      </c>
      <c r="K1130">
        <v>17880</v>
      </c>
      <c r="L1130" s="2">
        <v>26.5825</v>
      </c>
      <c r="M1130" s="5">
        <v>89.297999999999988</v>
      </c>
      <c r="N1130" s="1">
        <v>255.8081</v>
      </c>
      <c r="O1130" s="2">
        <v>18.7</v>
      </c>
      <c r="P1130">
        <v>176</v>
      </c>
    </row>
    <row r="1131" spans="1:16" x14ac:dyDescent="0.35">
      <c r="A1131" s="4">
        <v>44621</v>
      </c>
      <c r="B1131" t="s">
        <v>22</v>
      </c>
      <c r="C1131" t="s">
        <v>11</v>
      </c>
      <c r="D1131">
        <v>0</v>
      </c>
      <c r="E1131" s="2" t="s">
        <v>27</v>
      </c>
      <c r="F1131" s="2">
        <f t="shared" si="177"/>
        <v>2411.6666666666665</v>
      </c>
      <c r="G1131" s="3">
        <v>0</v>
      </c>
      <c r="H1131">
        <v>0</v>
      </c>
      <c r="I1131">
        <v>1097.9000000000001</v>
      </c>
      <c r="J1131">
        <v>23955</v>
      </c>
      <c r="K1131">
        <v>17880</v>
      </c>
      <c r="L1131" s="2">
        <v>26.5825</v>
      </c>
      <c r="M1131" s="5">
        <v>89.297999999999988</v>
      </c>
      <c r="N1131" s="1">
        <v>255.8081</v>
      </c>
      <c r="O1131" s="2">
        <v>18.7</v>
      </c>
      <c r="P1131">
        <v>176</v>
      </c>
    </row>
    <row r="1132" spans="1:16" x14ac:dyDescent="0.35">
      <c r="A1132" s="4">
        <v>44621</v>
      </c>
      <c r="B1132" t="s">
        <v>22</v>
      </c>
      <c r="C1132" t="s">
        <v>12</v>
      </c>
      <c r="D1132">
        <v>0</v>
      </c>
      <c r="E1132" s="2" t="s">
        <v>27</v>
      </c>
      <c r="F1132" s="2">
        <f t="shared" si="177"/>
        <v>2411.6666666666665</v>
      </c>
      <c r="G1132" s="3">
        <v>0</v>
      </c>
      <c r="H1132">
        <v>0</v>
      </c>
      <c r="I1132">
        <v>1097.9000000000001</v>
      </c>
      <c r="J1132">
        <v>23955</v>
      </c>
      <c r="K1132">
        <v>17880</v>
      </c>
      <c r="L1132" s="2">
        <v>26.5825</v>
      </c>
      <c r="M1132" s="5">
        <v>89.297999999999988</v>
      </c>
      <c r="N1132" s="1">
        <v>255.8081</v>
      </c>
      <c r="O1132" s="2">
        <v>18.7</v>
      </c>
      <c r="P1132">
        <v>176</v>
      </c>
    </row>
    <row r="1133" spans="1:16" x14ac:dyDescent="0.35">
      <c r="A1133" s="4">
        <v>44621</v>
      </c>
      <c r="B1133" t="s">
        <v>22</v>
      </c>
      <c r="C1133" t="s">
        <v>13</v>
      </c>
      <c r="D1133">
        <v>0</v>
      </c>
      <c r="E1133" s="2" t="s">
        <v>27</v>
      </c>
      <c r="F1133" s="2">
        <f t="shared" si="177"/>
        <v>2411.6666666666665</v>
      </c>
      <c r="G1133" s="3">
        <v>0</v>
      </c>
      <c r="H1133">
        <v>0</v>
      </c>
      <c r="I1133">
        <v>1097.9000000000001</v>
      </c>
      <c r="J1133">
        <v>23955</v>
      </c>
      <c r="K1133">
        <v>17880</v>
      </c>
      <c r="L1133" s="2">
        <v>26.5825</v>
      </c>
      <c r="M1133" s="5">
        <v>89.297999999999988</v>
      </c>
      <c r="N1133" s="1">
        <v>255.8081</v>
      </c>
      <c r="O1133" s="2">
        <v>18.7</v>
      </c>
      <c r="P1133">
        <v>176</v>
      </c>
    </row>
    <row r="1134" spans="1:16" x14ac:dyDescent="0.35">
      <c r="A1134" s="4">
        <v>44621</v>
      </c>
      <c r="B1134" t="s">
        <v>22</v>
      </c>
      <c r="C1134" t="s">
        <v>14</v>
      </c>
      <c r="D1134">
        <v>1</v>
      </c>
      <c r="E1134" s="2">
        <f>(2060+2425+2750)/3</f>
        <v>2411.6666666666665</v>
      </c>
      <c r="F1134" s="2">
        <f>(2060+2425+2750)/3</f>
        <v>2411.6666666666665</v>
      </c>
      <c r="G1134" s="3">
        <v>0</v>
      </c>
      <c r="H1134">
        <v>0</v>
      </c>
      <c r="I1134">
        <v>1097.9000000000001</v>
      </c>
      <c r="J1134">
        <v>23955</v>
      </c>
      <c r="K1134">
        <v>17880</v>
      </c>
      <c r="L1134" s="2">
        <v>26.5825</v>
      </c>
      <c r="M1134" s="5">
        <v>89.297999999999988</v>
      </c>
      <c r="N1134" s="1">
        <v>255.8081</v>
      </c>
      <c r="O1134" s="2">
        <v>18.7</v>
      </c>
      <c r="P1134">
        <v>176</v>
      </c>
    </row>
    <row r="1135" spans="1:16" x14ac:dyDescent="0.35">
      <c r="A1135" s="4">
        <v>44621</v>
      </c>
      <c r="B1135" t="s">
        <v>22</v>
      </c>
      <c r="C1135" t="s">
        <v>15</v>
      </c>
      <c r="D1135">
        <v>0</v>
      </c>
      <c r="E1135" s="2" t="s">
        <v>27</v>
      </c>
      <c r="F1135" s="2">
        <f>(2060+2425+2750)/3</f>
        <v>2411.6666666666665</v>
      </c>
      <c r="G1135" s="3">
        <v>0</v>
      </c>
      <c r="H1135">
        <v>0</v>
      </c>
      <c r="I1135">
        <v>1097.9000000000001</v>
      </c>
      <c r="J1135">
        <v>23955</v>
      </c>
      <c r="K1135">
        <v>17880</v>
      </c>
      <c r="L1135" s="2">
        <v>26.5825</v>
      </c>
      <c r="M1135" s="5">
        <v>89.297999999999988</v>
      </c>
      <c r="N1135" s="1">
        <v>255.8081</v>
      </c>
      <c r="O1135" s="2">
        <v>18.7</v>
      </c>
      <c r="P1135">
        <v>176</v>
      </c>
    </row>
    <row r="1136" spans="1:16" x14ac:dyDescent="0.35">
      <c r="A1136" s="4">
        <v>44652</v>
      </c>
      <c r="B1136" t="s">
        <v>16</v>
      </c>
      <c r="C1136" t="s">
        <v>10</v>
      </c>
      <c r="D1136">
        <v>1</v>
      </c>
      <c r="E1136" s="2">
        <v>5037.5</v>
      </c>
      <c r="F1136" s="2">
        <f>(4332.5+4180+4750)/3</f>
        <v>4420.833333333333</v>
      </c>
      <c r="G1136" s="3">
        <v>1</v>
      </c>
      <c r="H1136">
        <v>1188</v>
      </c>
      <c r="I1136">
        <v>731.9</v>
      </c>
      <c r="J1136">
        <v>20115</v>
      </c>
      <c r="K1136">
        <v>17880</v>
      </c>
      <c r="L1136" s="2">
        <v>27.1175</v>
      </c>
      <c r="M1136" s="5">
        <v>306.01150000000007</v>
      </c>
      <c r="N1136" s="1">
        <v>319.44040000000001</v>
      </c>
      <c r="O1136" s="2">
        <v>29.8</v>
      </c>
      <c r="P1136">
        <v>289</v>
      </c>
    </row>
    <row r="1137" spans="1:16" x14ac:dyDescent="0.35">
      <c r="A1137" s="4">
        <v>44652</v>
      </c>
      <c r="B1137" t="s">
        <v>16</v>
      </c>
      <c r="C1137" t="s">
        <v>11</v>
      </c>
      <c r="D1137">
        <v>0</v>
      </c>
      <c r="E1137" s="2" t="s">
        <v>27</v>
      </c>
      <c r="F1137" s="2">
        <f t="shared" ref="F1137:F1141" si="178">(4332.5+4180+4750)/3</f>
        <v>4420.833333333333</v>
      </c>
      <c r="G1137" s="3">
        <v>1</v>
      </c>
      <c r="H1137">
        <v>1188</v>
      </c>
      <c r="I1137">
        <v>731.9</v>
      </c>
      <c r="J1137">
        <v>20115</v>
      </c>
      <c r="K1137">
        <v>17880</v>
      </c>
      <c r="L1137" s="2">
        <v>27.1175</v>
      </c>
      <c r="M1137" s="5">
        <v>306.01150000000007</v>
      </c>
      <c r="N1137" s="1">
        <v>319.44040000000001</v>
      </c>
      <c r="O1137" s="2">
        <v>29.8</v>
      </c>
      <c r="P1137">
        <v>289</v>
      </c>
    </row>
    <row r="1138" spans="1:16" x14ac:dyDescent="0.35">
      <c r="A1138" s="4">
        <v>44652</v>
      </c>
      <c r="B1138" t="s">
        <v>16</v>
      </c>
      <c r="C1138" t="s">
        <v>12</v>
      </c>
      <c r="D1138">
        <v>1</v>
      </c>
      <c r="E1138" s="2">
        <f>(3380+3390+3800)/3</f>
        <v>3523.3333333333335</v>
      </c>
      <c r="F1138" s="2">
        <f t="shared" si="178"/>
        <v>4420.833333333333</v>
      </c>
      <c r="G1138" s="3">
        <v>1</v>
      </c>
      <c r="H1138">
        <v>1188</v>
      </c>
      <c r="I1138">
        <v>731.9</v>
      </c>
      <c r="J1138">
        <v>20115</v>
      </c>
      <c r="K1138">
        <v>17880</v>
      </c>
      <c r="L1138" s="2">
        <v>27.1175</v>
      </c>
      <c r="M1138" s="5">
        <v>306.01150000000007</v>
      </c>
      <c r="N1138" s="1">
        <v>319.44040000000001</v>
      </c>
      <c r="O1138" s="2">
        <v>29.8</v>
      </c>
      <c r="P1138">
        <v>289</v>
      </c>
    </row>
    <row r="1139" spans="1:16" x14ac:dyDescent="0.35">
      <c r="A1139" s="4">
        <v>44652</v>
      </c>
      <c r="B1139" t="s">
        <v>16</v>
      </c>
      <c r="C1139" t="s">
        <v>13</v>
      </c>
      <c r="D1139">
        <v>1</v>
      </c>
      <c r="E1139" s="2">
        <f>(4400+4550+5150)/3</f>
        <v>4700</v>
      </c>
      <c r="F1139" s="2">
        <f t="shared" si="178"/>
        <v>4420.833333333333</v>
      </c>
      <c r="G1139" s="3">
        <v>1</v>
      </c>
      <c r="H1139">
        <v>1188</v>
      </c>
      <c r="I1139">
        <v>731.9</v>
      </c>
      <c r="J1139">
        <v>20115</v>
      </c>
      <c r="K1139">
        <v>17880</v>
      </c>
      <c r="L1139" s="2">
        <v>27.1175</v>
      </c>
      <c r="M1139" s="5">
        <v>306.01150000000007</v>
      </c>
      <c r="N1139" s="1">
        <v>319.44040000000001</v>
      </c>
      <c r="O1139" s="2">
        <v>29.8</v>
      </c>
      <c r="P1139">
        <v>289</v>
      </c>
    </row>
    <row r="1140" spans="1:16" x14ac:dyDescent="0.35">
      <c r="A1140" s="4">
        <v>44652</v>
      </c>
      <c r="B1140" t="s">
        <v>16</v>
      </c>
      <c r="C1140" t="s">
        <v>14</v>
      </c>
      <c r="D1140">
        <v>1</v>
      </c>
      <c r="E1140" s="2">
        <f>(4975+4600+4550)/3</f>
        <v>4708.333333333333</v>
      </c>
      <c r="F1140" s="2">
        <f t="shared" si="178"/>
        <v>4420.833333333333</v>
      </c>
      <c r="G1140" s="3">
        <v>1</v>
      </c>
      <c r="H1140">
        <v>1188</v>
      </c>
      <c r="I1140">
        <v>731.9</v>
      </c>
      <c r="J1140">
        <v>20115</v>
      </c>
      <c r="K1140">
        <v>17880</v>
      </c>
      <c r="L1140" s="2">
        <v>27.1175</v>
      </c>
      <c r="M1140" s="5">
        <v>306.01150000000007</v>
      </c>
      <c r="N1140" s="1">
        <v>319.44040000000001</v>
      </c>
      <c r="O1140" s="2">
        <v>29.8</v>
      </c>
      <c r="P1140">
        <v>289</v>
      </c>
    </row>
    <row r="1141" spans="1:16" x14ac:dyDescent="0.35">
      <c r="A1141" s="4">
        <v>44652</v>
      </c>
      <c r="B1141" t="s">
        <v>16</v>
      </c>
      <c r="C1141" t="s">
        <v>15</v>
      </c>
      <c r="D1141">
        <v>0</v>
      </c>
      <c r="E1141" s="2" t="s">
        <v>27</v>
      </c>
      <c r="F1141" s="2">
        <f t="shared" si="178"/>
        <v>4420.833333333333</v>
      </c>
      <c r="G1141" s="3">
        <v>1</v>
      </c>
      <c r="H1141">
        <v>1188</v>
      </c>
      <c r="I1141">
        <v>731.9</v>
      </c>
      <c r="J1141">
        <v>20115</v>
      </c>
      <c r="K1141">
        <v>17880</v>
      </c>
      <c r="L1141" s="2">
        <v>27.1175</v>
      </c>
      <c r="M1141" s="5">
        <v>306.01150000000007</v>
      </c>
      <c r="N1141" s="1">
        <v>319.44040000000001</v>
      </c>
      <c r="O1141" s="2">
        <v>29.8</v>
      </c>
      <c r="P1141">
        <v>289</v>
      </c>
    </row>
    <row r="1142" spans="1:16" x14ac:dyDescent="0.35">
      <c r="A1142" s="4">
        <v>44652</v>
      </c>
      <c r="B1142" t="s">
        <v>17</v>
      </c>
      <c r="C1142" t="s">
        <v>10</v>
      </c>
      <c r="D1142">
        <v>1</v>
      </c>
      <c r="E1142" s="2">
        <v>4300</v>
      </c>
      <c r="F1142" s="2">
        <f>(3754+4001.25+4326.4)/3</f>
        <v>4027.2166666666667</v>
      </c>
      <c r="G1142" s="3">
        <v>1</v>
      </c>
      <c r="H1142">
        <v>1188</v>
      </c>
      <c r="I1142">
        <v>731.9</v>
      </c>
      <c r="J1142">
        <v>20115</v>
      </c>
      <c r="K1142">
        <v>17880</v>
      </c>
      <c r="L1142" s="2">
        <v>27.1175</v>
      </c>
      <c r="M1142" s="5">
        <v>306.01150000000007</v>
      </c>
      <c r="N1142" s="1">
        <v>319.44040000000001</v>
      </c>
      <c r="O1142" s="2">
        <v>29.8</v>
      </c>
      <c r="P1142">
        <v>289</v>
      </c>
    </row>
    <row r="1143" spans="1:16" x14ac:dyDescent="0.35">
      <c r="A1143" s="4">
        <v>44652</v>
      </c>
      <c r="B1143" t="s">
        <v>17</v>
      </c>
      <c r="C1143" t="s">
        <v>11</v>
      </c>
      <c r="D1143">
        <v>1</v>
      </c>
      <c r="E1143" s="2">
        <f>(4500*2+3500)/3</f>
        <v>4166.666666666667</v>
      </c>
      <c r="F1143" s="2">
        <f t="shared" ref="F1143:F1147" si="179">(3754+4001.25+4326.4)/3</f>
        <v>4027.2166666666667</v>
      </c>
      <c r="G1143" s="3">
        <v>1</v>
      </c>
      <c r="H1143">
        <v>1188</v>
      </c>
      <c r="I1143">
        <v>731.9</v>
      </c>
      <c r="J1143">
        <v>20115</v>
      </c>
      <c r="K1143">
        <v>17880</v>
      </c>
      <c r="L1143" s="2">
        <v>27.1175</v>
      </c>
      <c r="M1143" s="5">
        <v>306.01150000000007</v>
      </c>
      <c r="N1143" s="1">
        <v>319.44040000000001</v>
      </c>
      <c r="O1143" s="2">
        <v>29.8</v>
      </c>
      <c r="P1143">
        <v>289</v>
      </c>
    </row>
    <row r="1144" spans="1:16" x14ac:dyDescent="0.35">
      <c r="A1144" s="4">
        <v>44652</v>
      </c>
      <c r="B1144" t="s">
        <v>17</v>
      </c>
      <c r="C1144" t="s">
        <v>12</v>
      </c>
      <c r="D1144">
        <v>1</v>
      </c>
      <c r="E1144" s="2">
        <f>(3565+3180+3170)/3</f>
        <v>3305</v>
      </c>
      <c r="F1144" s="2">
        <f t="shared" si="179"/>
        <v>4027.2166666666667</v>
      </c>
      <c r="G1144" s="3">
        <v>1</v>
      </c>
      <c r="H1144">
        <v>1188</v>
      </c>
      <c r="I1144">
        <v>731.9</v>
      </c>
      <c r="J1144">
        <v>20115</v>
      </c>
      <c r="K1144">
        <v>17880</v>
      </c>
      <c r="L1144" s="2">
        <v>27.1175</v>
      </c>
      <c r="M1144" s="5">
        <v>306.01150000000007</v>
      </c>
      <c r="N1144" s="1">
        <v>319.44040000000001</v>
      </c>
      <c r="O1144" s="2">
        <v>29.8</v>
      </c>
      <c r="P1144">
        <v>289</v>
      </c>
    </row>
    <row r="1145" spans="1:16" x14ac:dyDescent="0.35">
      <c r="A1145" s="4">
        <v>44652</v>
      </c>
      <c r="B1145" t="s">
        <v>17</v>
      </c>
      <c r="C1145" t="s">
        <v>13</v>
      </c>
      <c r="D1145">
        <v>1</v>
      </c>
      <c r="E1145" s="2">
        <f>(3900+4100+4350)/3</f>
        <v>4116.666666666667</v>
      </c>
      <c r="F1145" s="2">
        <f t="shared" si="179"/>
        <v>4027.2166666666667</v>
      </c>
      <c r="G1145" s="3">
        <v>1</v>
      </c>
      <c r="H1145">
        <v>1188</v>
      </c>
      <c r="I1145">
        <v>731.9</v>
      </c>
      <c r="J1145">
        <v>20115</v>
      </c>
      <c r="K1145">
        <v>17880</v>
      </c>
      <c r="L1145" s="2">
        <v>27.1175</v>
      </c>
      <c r="M1145" s="5">
        <v>306.01150000000007</v>
      </c>
      <c r="N1145" s="1">
        <v>319.44040000000001</v>
      </c>
      <c r="O1145" s="2">
        <v>29.8</v>
      </c>
      <c r="P1145">
        <v>289</v>
      </c>
    </row>
    <row r="1146" spans="1:16" x14ac:dyDescent="0.35">
      <c r="A1146" s="4">
        <v>44652</v>
      </c>
      <c r="B1146" t="s">
        <v>17</v>
      </c>
      <c r="C1146" t="s">
        <v>14</v>
      </c>
      <c r="D1146">
        <v>1</v>
      </c>
      <c r="E1146" s="2">
        <f>(4667+4225+4150)/3</f>
        <v>4347.333333333333</v>
      </c>
      <c r="F1146" s="2">
        <f t="shared" si="179"/>
        <v>4027.2166666666667</v>
      </c>
      <c r="G1146" s="3">
        <v>1</v>
      </c>
      <c r="H1146">
        <v>1188</v>
      </c>
      <c r="I1146">
        <v>731.9</v>
      </c>
      <c r="J1146">
        <v>20115</v>
      </c>
      <c r="K1146">
        <v>17880</v>
      </c>
      <c r="L1146" s="2">
        <v>27.1175</v>
      </c>
      <c r="M1146" s="5">
        <v>306.01150000000007</v>
      </c>
      <c r="N1146" s="1">
        <v>319.44040000000001</v>
      </c>
      <c r="O1146" s="2">
        <v>29.8</v>
      </c>
      <c r="P1146">
        <v>289</v>
      </c>
    </row>
    <row r="1147" spans="1:16" x14ac:dyDescent="0.35">
      <c r="A1147" s="4">
        <v>44652</v>
      </c>
      <c r="B1147" t="s">
        <v>17</v>
      </c>
      <c r="C1147" t="s">
        <v>15</v>
      </c>
      <c r="D1147">
        <v>0</v>
      </c>
      <c r="E1147" s="2" t="s">
        <v>27</v>
      </c>
      <c r="F1147" s="2">
        <f t="shared" si="179"/>
        <v>4027.2166666666667</v>
      </c>
      <c r="G1147" s="3">
        <v>1</v>
      </c>
      <c r="H1147">
        <v>1188</v>
      </c>
      <c r="I1147">
        <v>731.9</v>
      </c>
      <c r="J1147">
        <v>20115</v>
      </c>
      <c r="K1147">
        <v>17880</v>
      </c>
      <c r="L1147" s="2">
        <v>27.1175</v>
      </c>
      <c r="M1147" s="5">
        <v>306.01150000000007</v>
      </c>
      <c r="N1147" s="1">
        <v>319.44040000000001</v>
      </c>
      <c r="O1147" s="2">
        <v>29.8</v>
      </c>
      <c r="P1147">
        <v>289</v>
      </c>
    </row>
    <row r="1148" spans="1:16" x14ac:dyDescent="0.35">
      <c r="A1148" s="4">
        <v>44652</v>
      </c>
      <c r="B1148" t="s">
        <v>18</v>
      </c>
      <c r="C1148" t="s">
        <v>10</v>
      </c>
      <c r="D1148">
        <v>1</v>
      </c>
      <c r="E1148" s="2">
        <f>(3933+4025)/2</f>
        <v>3979</v>
      </c>
      <c r="F1148" s="2">
        <f>(3544.67+3646.67+3965.43)/3</f>
        <v>3718.9233333333336</v>
      </c>
      <c r="G1148" s="3">
        <v>1</v>
      </c>
      <c r="H1148">
        <v>1188</v>
      </c>
      <c r="I1148">
        <v>731.9</v>
      </c>
      <c r="J1148">
        <v>20115</v>
      </c>
      <c r="K1148">
        <v>17880</v>
      </c>
      <c r="L1148" s="2">
        <v>27.1175</v>
      </c>
      <c r="M1148" s="5">
        <v>306.01150000000007</v>
      </c>
      <c r="N1148" s="1">
        <v>319.44040000000001</v>
      </c>
      <c r="O1148" s="2">
        <v>29.8</v>
      </c>
      <c r="P1148">
        <v>289</v>
      </c>
    </row>
    <row r="1149" spans="1:16" x14ac:dyDescent="0.35">
      <c r="A1149" s="4">
        <v>44652</v>
      </c>
      <c r="B1149" t="s">
        <v>18</v>
      </c>
      <c r="C1149" t="s">
        <v>11</v>
      </c>
      <c r="D1149">
        <v>1</v>
      </c>
      <c r="E1149" s="2">
        <f>(3200+4200+4400)/3</f>
        <v>3933.3333333333335</v>
      </c>
      <c r="F1149" s="2">
        <f t="shared" ref="F1149:F1153" si="180">(3544.67+3646.67+3965.43)/3</f>
        <v>3718.9233333333336</v>
      </c>
      <c r="G1149" s="3">
        <v>1</v>
      </c>
      <c r="H1149">
        <v>1188</v>
      </c>
      <c r="I1149">
        <v>731.9</v>
      </c>
      <c r="J1149">
        <v>20115</v>
      </c>
      <c r="K1149">
        <v>17880</v>
      </c>
      <c r="L1149" s="2">
        <v>27.1175</v>
      </c>
      <c r="M1149" s="5">
        <v>306.01150000000007</v>
      </c>
      <c r="N1149" s="1">
        <v>319.44040000000001</v>
      </c>
      <c r="O1149" s="2">
        <v>29.8</v>
      </c>
      <c r="P1149">
        <v>289</v>
      </c>
    </row>
    <row r="1150" spans="1:16" x14ac:dyDescent="0.35">
      <c r="A1150" s="4">
        <v>44652</v>
      </c>
      <c r="B1150" t="s">
        <v>18</v>
      </c>
      <c r="C1150" t="s">
        <v>12</v>
      </c>
      <c r="D1150">
        <v>1</v>
      </c>
      <c r="E1150" s="2">
        <f>(2870*2+3383)/3</f>
        <v>3041</v>
      </c>
      <c r="F1150" s="2">
        <f t="shared" si="180"/>
        <v>3718.9233333333336</v>
      </c>
      <c r="G1150" s="3">
        <v>1</v>
      </c>
      <c r="H1150">
        <v>1188</v>
      </c>
      <c r="I1150">
        <v>731.9</v>
      </c>
      <c r="J1150">
        <v>20115</v>
      </c>
      <c r="K1150">
        <v>17880</v>
      </c>
      <c r="L1150" s="2">
        <v>27.1175</v>
      </c>
      <c r="M1150" s="5">
        <v>306.01150000000007</v>
      </c>
      <c r="N1150" s="1">
        <v>319.44040000000001</v>
      </c>
      <c r="O1150" s="2">
        <v>29.8</v>
      </c>
      <c r="P1150">
        <v>289</v>
      </c>
    </row>
    <row r="1151" spans="1:16" x14ac:dyDescent="0.35">
      <c r="A1151" s="4">
        <v>44652</v>
      </c>
      <c r="B1151" t="s">
        <v>18</v>
      </c>
      <c r="C1151" t="s">
        <v>13</v>
      </c>
      <c r="D1151">
        <v>1</v>
      </c>
      <c r="E1151" s="2">
        <f>(3750*2+4200)/3</f>
        <v>3900</v>
      </c>
      <c r="F1151" s="2">
        <f t="shared" si="180"/>
        <v>3718.9233333333336</v>
      </c>
      <c r="G1151" s="3">
        <v>1</v>
      </c>
      <c r="H1151">
        <v>1188</v>
      </c>
      <c r="I1151">
        <v>731.9</v>
      </c>
      <c r="J1151">
        <v>20115</v>
      </c>
      <c r="K1151">
        <v>17880</v>
      </c>
      <c r="L1151" s="2">
        <v>27.1175</v>
      </c>
      <c r="M1151" s="5">
        <v>306.01150000000007</v>
      </c>
      <c r="N1151" s="1">
        <v>319.44040000000001</v>
      </c>
      <c r="O1151" s="2">
        <v>29.8</v>
      </c>
      <c r="P1151">
        <v>289</v>
      </c>
    </row>
    <row r="1152" spans="1:16" x14ac:dyDescent="0.35">
      <c r="A1152" s="4">
        <v>44652</v>
      </c>
      <c r="B1152" t="s">
        <v>18</v>
      </c>
      <c r="C1152" t="s">
        <v>14</v>
      </c>
      <c r="D1152">
        <v>1</v>
      </c>
      <c r="E1152" s="2">
        <f>(4300+3790+3920)/3</f>
        <v>4003.3333333333335</v>
      </c>
      <c r="F1152" s="2">
        <f t="shared" si="180"/>
        <v>3718.9233333333336</v>
      </c>
      <c r="G1152" s="3">
        <v>1</v>
      </c>
      <c r="H1152">
        <v>1188</v>
      </c>
      <c r="I1152">
        <v>731.9</v>
      </c>
      <c r="J1152">
        <v>20115</v>
      </c>
      <c r="K1152">
        <v>17880</v>
      </c>
      <c r="L1152" s="2">
        <v>27.1175</v>
      </c>
      <c r="M1152" s="5">
        <v>306.01150000000007</v>
      </c>
      <c r="N1152" s="1">
        <v>319.44040000000001</v>
      </c>
      <c r="O1152" s="2">
        <v>29.8</v>
      </c>
      <c r="P1152">
        <v>289</v>
      </c>
    </row>
    <row r="1153" spans="1:16" x14ac:dyDescent="0.35">
      <c r="A1153" s="4">
        <v>44652</v>
      </c>
      <c r="B1153" t="s">
        <v>18</v>
      </c>
      <c r="C1153" t="s">
        <v>15</v>
      </c>
      <c r="D1153">
        <v>1</v>
      </c>
      <c r="E1153" s="2">
        <f>(3875+4425+3725)/3</f>
        <v>4008.3333333333335</v>
      </c>
      <c r="F1153" s="2">
        <f t="shared" si="180"/>
        <v>3718.9233333333336</v>
      </c>
      <c r="G1153" s="3">
        <v>1</v>
      </c>
      <c r="H1153">
        <v>1188</v>
      </c>
      <c r="I1153">
        <v>731.9</v>
      </c>
      <c r="J1153">
        <v>20115</v>
      </c>
      <c r="K1153">
        <v>17880</v>
      </c>
      <c r="L1153" s="2">
        <v>27.1175</v>
      </c>
      <c r="M1153" s="5">
        <v>306.01150000000007</v>
      </c>
      <c r="N1153" s="1">
        <v>319.44040000000001</v>
      </c>
      <c r="O1153" s="2">
        <v>29.8</v>
      </c>
      <c r="P1153">
        <v>289</v>
      </c>
    </row>
    <row r="1154" spans="1:16" x14ac:dyDescent="0.35">
      <c r="A1154" s="4">
        <v>44652</v>
      </c>
      <c r="B1154" t="s">
        <v>19</v>
      </c>
      <c r="C1154" t="s">
        <v>10</v>
      </c>
      <c r="D1154">
        <v>1</v>
      </c>
      <c r="E1154" s="2">
        <f>(3725+3450)/2</f>
        <v>3587.5</v>
      </c>
      <c r="F1154" s="2">
        <f>(3666+3234.29+3460.17)/3</f>
        <v>3453.4866666666662</v>
      </c>
      <c r="G1154" s="3">
        <v>1</v>
      </c>
      <c r="H1154">
        <v>1188</v>
      </c>
      <c r="I1154">
        <v>731.9</v>
      </c>
      <c r="J1154">
        <v>20115</v>
      </c>
      <c r="K1154">
        <v>17880</v>
      </c>
      <c r="L1154" s="2">
        <v>27.1175</v>
      </c>
      <c r="M1154" s="5">
        <v>306.01150000000007</v>
      </c>
      <c r="N1154" s="1">
        <v>319.44040000000001</v>
      </c>
      <c r="O1154" s="2">
        <v>29.8</v>
      </c>
      <c r="P1154">
        <v>289</v>
      </c>
    </row>
    <row r="1155" spans="1:16" x14ac:dyDescent="0.35">
      <c r="A1155" s="4">
        <v>44652</v>
      </c>
      <c r="B1155" t="s">
        <v>19</v>
      </c>
      <c r="C1155" t="s">
        <v>11</v>
      </c>
      <c r="D1155">
        <v>1</v>
      </c>
      <c r="E1155" s="2">
        <f>(4000*2+2900)/3</f>
        <v>3633.3333333333335</v>
      </c>
      <c r="F1155" s="2">
        <f t="shared" ref="F1155:F1159" si="181">(3666+3234.29+3460.17)/3</f>
        <v>3453.4866666666662</v>
      </c>
      <c r="G1155" s="3">
        <v>1</v>
      </c>
      <c r="H1155">
        <v>1188</v>
      </c>
      <c r="I1155">
        <v>731.9</v>
      </c>
      <c r="J1155">
        <v>20115</v>
      </c>
      <c r="K1155">
        <v>17880</v>
      </c>
      <c r="L1155" s="2">
        <v>27.1175</v>
      </c>
      <c r="M1155" s="5">
        <v>306.01150000000007</v>
      </c>
      <c r="N1155" s="1">
        <v>319.44040000000001</v>
      </c>
      <c r="O1155" s="2">
        <v>29.8</v>
      </c>
      <c r="P1155">
        <v>289</v>
      </c>
    </row>
    <row r="1156" spans="1:16" x14ac:dyDescent="0.35">
      <c r="A1156" s="4">
        <v>44652</v>
      </c>
      <c r="B1156" t="s">
        <v>19</v>
      </c>
      <c r="C1156" t="s">
        <v>12</v>
      </c>
      <c r="D1156">
        <v>1</v>
      </c>
      <c r="E1156" s="2">
        <f>(2765*2+3167)/3</f>
        <v>2899</v>
      </c>
      <c r="F1156" s="2">
        <f t="shared" si="181"/>
        <v>3453.4866666666662</v>
      </c>
      <c r="G1156" s="3">
        <v>1</v>
      </c>
      <c r="H1156">
        <v>1188</v>
      </c>
      <c r="I1156">
        <v>731.9</v>
      </c>
      <c r="J1156">
        <v>20115</v>
      </c>
      <c r="K1156">
        <v>17880</v>
      </c>
      <c r="L1156" s="2">
        <v>27.1175</v>
      </c>
      <c r="M1156" s="5">
        <v>306.01150000000007</v>
      </c>
      <c r="N1156" s="1">
        <v>319.44040000000001</v>
      </c>
      <c r="O1156" s="2">
        <v>29.8</v>
      </c>
      <c r="P1156">
        <v>289</v>
      </c>
    </row>
    <row r="1157" spans="1:16" x14ac:dyDescent="0.35">
      <c r="A1157" s="4">
        <v>44652</v>
      </c>
      <c r="B1157" t="s">
        <v>19</v>
      </c>
      <c r="C1157" t="s">
        <v>13</v>
      </c>
      <c r="D1157">
        <v>1</v>
      </c>
      <c r="E1157" s="2">
        <f>(3550+3750+4050)/3</f>
        <v>3783.3333333333335</v>
      </c>
      <c r="F1157" s="2">
        <f t="shared" si="181"/>
        <v>3453.4866666666662</v>
      </c>
      <c r="G1157" s="3">
        <v>1</v>
      </c>
      <c r="H1157">
        <v>1188</v>
      </c>
      <c r="I1157">
        <v>731.9</v>
      </c>
      <c r="J1157">
        <v>20115</v>
      </c>
      <c r="K1157">
        <v>17880</v>
      </c>
      <c r="L1157" s="2">
        <v>27.1175</v>
      </c>
      <c r="M1157" s="5">
        <v>306.01150000000007</v>
      </c>
      <c r="N1157" s="1">
        <v>319.44040000000001</v>
      </c>
      <c r="O1157" s="2">
        <v>29.8</v>
      </c>
      <c r="P1157">
        <v>289</v>
      </c>
    </row>
    <row r="1158" spans="1:16" x14ac:dyDescent="0.35">
      <c r="A1158" s="4">
        <v>44652</v>
      </c>
      <c r="B1158" t="s">
        <v>19</v>
      </c>
      <c r="C1158" t="s">
        <v>14</v>
      </c>
      <c r="D1158">
        <v>1</v>
      </c>
      <c r="E1158" s="2">
        <f>(4070+3650+3771)/3</f>
        <v>3830.3333333333335</v>
      </c>
      <c r="F1158" s="2">
        <f t="shared" si="181"/>
        <v>3453.4866666666662</v>
      </c>
      <c r="G1158" s="3">
        <v>1</v>
      </c>
      <c r="H1158">
        <v>1188</v>
      </c>
      <c r="I1158">
        <v>731.9</v>
      </c>
      <c r="J1158">
        <v>20115</v>
      </c>
      <c r="K1158">
        <v>17880</v>
      </c>
      <c r="L1158" s="2">
        <v>27.1175</v>
      </c>
      <c r="M1158" s="5">
        <v>306.01150000000007</v>
      </c>
      <c r="N1158" s="1">
        <v>319.44040000000001</v>
      </c>
      <c r="O1158" s="2">
        <v>29.8</v>
      </c>
      <c r="P1158">
        <v>289</v>
      </c>
    </row>
    <row r="1159" spans="1:16" x14ac:dyDescent="0.35">
      <c r="A1159" s="4">
        <v>44652</v>
      </c>
      <c r="B1159" t="s">
        <v>19</v>
      </c>
      <c r="C1159" t="s">
        <v>15</v>
      </c>
      <c r="D1159">
        <v>1</v>
      </c>
      <c r="E1159" s="2">
        <f>(3775+3625+4050)/3</f>
        <v>3816.6666666666665</v>
      </c>
      <c r="F1159" s="2">
        <f t="shared" si="181"/>
        <v>3453.4866666666662</v>
      </c>
      <c r="G1159" s="3">
        <v>1</v>
      </c>
      <c r="H1159">
        <v>1188</v>
      </c>
      <c r="I1159">
        <v>731.9</v>
      </c>
      <c r="J1159">
        <v>20115</v>
      </c>
      <c r="K1159">
        <v>17880</v>
      </c>
      <c r="L1159" s="2">
        <v>27.1175</v>
      </c>
      <c r="M1159" s="5">
        <v>306.01150000000007</v>
      </c>
      <c r="N1159" s="1">
        <v>319.44040000000001</v>
      </c>
      <c r="O1159" s="2">
        <v>29.8</v>
      </c>
      <c r="P1159">
        <v>289</v>
      </c>
    </row>
    <row r="1160" spans="1:16" x14ac:dyDescent="0.35">
      <c r="A1160" s="4">
        <v>44652</v>
      </c>
      <c r="B1160" t="s">
        <v>20</v>
      </c>
      <c r="C1160" t="s">
        <v>10</v>
      </c>
      <c r="D1160">
        <v>1</v>
      </c>
      <c r="E1160" s="2">
        <f>(2950+3350)/2</f>
        <v>3150</v>
      </c>
      <c r="F1160" s="2">
        <f>(3175.83+2856.33+3277.14)/3</f>
        <v>3103.1</v>
      </c>
      <c r="G1160" s="3">
        <v>1</v>
      </c>
      <c r="H1160">
        <v>1188</v>
      </c>
      <c r="I1160">
        <v>731.9</v>
      </c>
      <c r="J1160">
        <v>20115</v>
      </c>
      <c r="K1160">
        <v>17880</v>
      </c>
      <c r="L1160" s="2">
        <v>27.1175</v>
      </c>
      <c r="M1160" s="5">
        <v>306.01150000000007</v>
      </c>
      <c r="N1160" s="1">
        <v>319.44040000000001</v>
      </c>
      <c r="O1160" s="2">
        <v>29.8</v>
      </c>
      <c r="P1160">
        <v>289</v>
      </c>
    </row>
    <row r="1161" spans="1:16" x14ac:dyDescent="0.35">
      <c r="A1161" s="4">
        <v>44652</v>
      </c>
      <c r="B1161" t="s">
        <v>20</v>
      </c>
      <c r="C1161" t="s">
        <v>11</v>
      </c>
      <c r="D1161">
        <v>1</v>
      </c>
      <c r="E1161" s="2">
        <f>(3500+2700+3300)/3</f>
        <v>3166.6666666666665</v>
      </c>
      <c r="F1161" s="2">
        <f t="shared" ref="F1161:F1165" si="182">(3175.83+2856.33+3277.14)/3</f>
        <v>3103.1</v>
      </c>
      <c r="G1161" s="3">
        <v>1</v>
      </c>
      <c r="H1161">
        <v>1188</v>
      </c>
      <c r="I1161">
        <v>731.9</v>
      </c>
      <c r="J1161">
        <v>20115</v>
      </c>
      <c r="K1161">
        <v>17880</v>
      </c>
      <c r="L1161" s="2">
        <v>27.1175</v>
      </c>
      <c r="M1161" s="5">
        <v>306.01150000000007</v>
      </c>
      <c r="N1161" s="1">
        <v>319.44040000000001</v>
      </c>
      <c r="O1161" s="2">
        <v>29.8</v>
      </c>
      <c r="P1161">
        <v>289</v>
      </c>
    </row>
    <row r="1162" spans="1:16" x14ac:dyDescent="0.35">
      <c r="A1162" s="4">
        <v>44652</v>
      </c>
      <c r="B1162" t="s">
        <v>20</v>
      </c>
      <c r="C1162" t="s">
        <v>12</v>
      </c>
      <c r="D1162">
        <v>1</v>
      </c>
      <c r="E1162" s="2">
        <f>(1980+2465*2)/3</f>
        <v>2303.3333333333335</v>
      </c>
      <c r="F1162" s="2">
        <f t="shared" si="182"/>
        <v>3103.1</v>
      </c>
      <c r="G1162" s="3">
        <v>1</v>
      </c>
      <c r="H1162">
        <v>1188</v>
      </c>
      <c r="I1162">
        <v>731.9</v>
      </c>
      <c r="J1162">
        <v>20115</v>
      </c>
      <c r="K1162">
        <v>17880</v>
      </c>
      <c r="L1162" s="2">
        <v>27.1175</v>
      </c>
      <c r="M1162" s="5">
        <v>306.01150000000007</v>
      </c>
      <c r="N1162" s="1">
        <v>319.44040000000001</v>
      </c>
      <c r="O1162" s="2">
        <v>29.8</v>
      </c>
      <c r="P1162">
        <v>289</v>
      </c>
    </row>
    <row r="1163" spans="1:16" x14ac:dyDescent="0.35">
      <c r="A1163" s="4">
        <v>44652</v>
      </c>
      <c r="B1163" t="s">
        <v>20</v>
      </c>
      <c r="C1163" t="s">
        <v>13</v>
      </c>
      <c r="D1163">
        <v>1</v>
      </c>
      <c r="E1163" s="2">
        <f>(3600+3275+3450)/3</f>
        <v>3441.6666666666665</v>
      </c>
      <c r="F1163" s="2">
        <f t="shared" si="182"/>
        <v>3103.1</v>
      </c>
      <c r="G1163" s="3">
        <v>1</v>
      </c>
      <c r="H1163">
        <v>1188</v>
      </c>
      <c r="I1163">
        <v>731.9</v>
      </c>
      <c r="J1163">
        <v>20115</v>
      </c>
      <c r="K1163">
        <v>17880</v>
      </c>
      <c r="L1163" s="2">
        <v>27.1175</v>
      </c>
      <c r="M1163" s="5">
        <v>306.01150000000007</v>
      </c>
      <c r="N1163" s="1">
        <v>319.44040000000001</v>
      </c>
      <c r="O1163" s="2">
        <v>29.8</v>
      </c>
      <c r="P1163">
        <v>289</v>
      </c>
    </row>
    <row r="1164" spans="1:16" x14ac:dyDescent="0.35">
      <c r="A1164" s="4">
        <v>44652</v>
      </c>
      <c r="B1164" t="s">
        <v>20</v>
      </c>
      <c r="C1164" t="s">
        <v>14</v>
      </c>
      <c r="D1164">
        <v>1</v>
      </c>
      <c r="E1164" s="2">
        <f>(3450+3575+3308)/3</f>
        <v>3444.3333333333335</v>
      </c>
      <c r="F1164" s="2">
        <f t="shared" si="182"/>
        <v>3103.1</v>
      </c>
      <c r="G1164" s="3">
        <v>1</v>
      </c>
      <c r="H1164">
        <v>1188</v>
      </c>
      <c r="I1164">
        <v>731.9</v>
      </c>
      <c r="J1164">
        <v>20115</v>
      </c>
      <c r="K1164">
        <v>17880</v>
      </c>
      <c r="L1164" s="2">
        <v>27.1175</v>
      </c>
      <c r="M1164" s="5">
        <v>306.01150000000007</v>
      </c>
      <c r="N1164" s="1">
        <v>319.44040000000001</v>
      </c>
      <c r="O1164" s="2">
        <v>29.8</v>
      </c>
      <c r="P1164">
        <v>289</v>
      </c>
    </row>
    <row r="1165" spans="1:16" x14ac:dyDescent="0.35">
      <c r="A1165" s="4">
        <v>44652</v>
      </c>
      <c r="B1165" t="s">
        <v>20</v>
      </c>
      <c r="C1165" t="s">
        <v>15</v>
      </c>
      <c r="D1165">
        <v>1</v>
      </c>
      <c r="E1165" s="2">
        <f>(3550+3325+3475)/3</f>
        <v>3450</v>
      </c>
      <c r="F1165" s="2">
        <f t="shared" si="182"/>
        <v>3103.1</v>
      </c>
      <c r="G1165" s="3">
        <v>1</v>
      </c>
      <c r="H1165">
        <v>1188</v>
      </c>
      <c r="I1165">
        <v>731.9</v>
      </c>
      <c r="J1165">
        <v>20115</v>
      </c>
      <c r="K1165">
        <v>17880</v>
      </c>
      <c r="L1165" s="2">
        <v>27.1175</v>
      </c>
      <c r="M1165" s="5">
        <v>306.01150000000007</v>
      </c>
      <c r="N1165" s="1">
        <v>319.44040000000001</v>
      </c>
      <c r="O1165" s="2">
        <v>29.8</v>
      </c>
      <c r="P1165">
        <v>289</v>
      </c>
    </row>
    <row r="1166" spans="1:16" x14ac:dyDescent="0.35">
      <c r="A1166" s="4">
        <v>44652</v>
      </c>
      <c r="B1166" t="s">
        <v>21</v>
      </c>
      <c r="C1166" t="s">
        <v>10</v>
      </c>
      <c r="D1166">
        <v>1</v>
      </c>
      <c r="E1166" s="2">
        <f>(3250+2450)/2</f>
        <v>2850</v>
      </c>
      <c r="F1166" s="2">
        <f>(2989.5+2680+3058.71)/3</f>
        <v>2909.4033333333332</v>
      </c>
      <c r="G1166" s="3">
        <v>1</v>
      </c>
      <c r="H1166">
        <v>1188</v>
      </c>
      <c r="I1166">
        <v>731.9</v>
      </c>
      <c r="J1166">
        <v>20115</v>
      </c>
      <c r="K1166">
        <v>17880</v>
      </c>
      <c r="L1166" s="2">
        <v>27.1175</v>
      </c>
      <c r="M1166" s="5">
        <v>306.01150000000007</v>
      </c>
      <c r="N1166" s="1">
        <v>319.44040000000001</v>
      </c>
      <c r="O1166" s="2">
        <v>29.8</v>
      </c>
      <c r="P1166">
        <v>289</v>
      </c>
    </row>
    <row r="1167" spans="1:16" x14ac:dyDescent="0.35">
      <c r="A1167" s="4">
        <v>44652</v>
      </c>
      <c r="B1167" t="s">
        <v>21</v>
      </c>
      <c r="C1167" t="s">
        <v>11</v>
      </c>
      <c r="D1167">
        <v>1</v>
      </c>
      <c r="E1167" s="2">
        <f>(2200+3200+3500)/3</f>
        <v>2966.6666666666665</v>
      </c>
      <c r="F1167" s="2">
        <f t="shared" ref="F1167:F1171" si="183">(2989.5+2680+3058.71)/3</f>
        <v>2909.4033333333332</v>
      </c>
      <c r="G1167" s="3">
        <v>1</v>
      </c>
      <c r="H1167">
        <v>1188</v>
      </c>
      <c r="I1167">
        <v>731.9</v>
      </c>
      <c r="J1167">
        <v>20115</v>
      </c>
      <c r="K1167">
        <v>17880</v>
      </c>
      <c r="L1167" s="2">
        <v>27.1175</v>
      </c>
      <c r="M1167" s="5">
        <v>306.01150000000007</v>
      </c>
      <c r="N1167" s="1">
        <v>319.44040000000001</v>
      </c>
      <c r="O1167" s="2">
        <v>29.8</v>
      </c>
      <c r="P1167">
        <v>289</v>
      </c>
    </row>
    <row r="1168" spans="1:16" x14ac:dyDescent="0.35">
      <c r="A1168" s="4">
        <v>44652</v>
      </c>
      <c r="B1168" t="s">
        <v>21</v>
      </c>
      <c r="C1168" t="s">
        <v>12</v>
      </c>
      <c r="D1168">
        <v>1</v>
      </c>
      <c r="E1168" s="2">
        <v>1866.67</v>
      </c>
      <c r="F1168" s="2">
        <f t="shared" si="183"/>
        <v>2909.4033333333332</v>
      </c>
      <c r="G1168" s="3">
        <v>1</v>
      </c>
      <c r="H1168">
        <v>1188</v>
      </c>
      <c r="I1168">
        <v>731.9</v>
      </c>
      <c r="J1168">
        <v>20115</v>
      </c>
      <c r="K1168">
        <v>17880</v>
      </c>
      <c r="L1168" s="2">
        <v>27.1175</v>
      </c>
      <c r="M1168" s="5">
        <v>306.01150000000007</v>
      </c>
      <c r="N1168" s="1">
        <v>319.44040000000001</v>
      </c>
      <c r="O1168" s="2">
        <v>29.8</v>
      </c>
      <c r="P1168">
        <v>289</v>
      </c>
    </row>
    <row r="1169" spans="1:16" x14ac:dyDescent="0.35">
      <c r="A1169" s="4">
        <v>44652</v>
      </c>
      <c r="B1169" t="s">
        <v>21</v>
      </c>
      <c r="C1169" t="s">
        <v>13</v>
      </c>
      <c r="D1169">
        <v>1</v>
      </c>
      <c r="E1169" s="2">
        <f>(3475+3125+3375)/3</f>
        <v>3325</v>
      </c>
      <c r="F1169" s="2">
        <f t="shared" si="183"/>
        <v>2909.4033333333332</v>
      </c>
      <c r="G1169" s="3">
        <v>1</v>
      </c>
      <c r="H1169">
        <v>1188</v>
      </c>
      <c r="I1169">
        <v>731.9</v>
      </c>
      <c r="J1169">
        <v>20115</v>
      </c>
      <c r="K1169">
        <v>17880</v>
      </c>
      <c r="L1169" s="2">
        <v>27.1175</v>
      </c>
      <c r="M1169" s="5">
        <v>306.01150000000007</v>
      </c>
      <c r="N1169" s="1">
        <v>319.44040000000001</v>
      </c>
      <c r="O1169" s="2">
        <v>29.8</v>
      </c>
      <c r="P1169">
        <v>289</v>
      </c>
    </row>
    <row r="1170" spans="1:16" x14ac:dyDescent="0.35">
      <c r="A1170" s="4">
        <v>44652</v>
      </c>
      <c r="B1170" t="s">
        <v>21</v>
      </c>
      <c r="C1170" t="s">
        <v>14</v>
      </c>
      <c r="D1170">
        <v>1</v>
      </c>
      <c r="E1170" s="2">
        <f>(3262+3255+3336)/3</f>
        <v>3284.3333333333335</v>
      </c>
      <c r="F1170" s="2">
        <f t="shared" si="183"/>
        <v>2909.4033333333332</v>
      </c>
      <c r="G1170" s="3">
        <v>1</v>
      </c>
      <c r="H1170">
        <v>1188</v>
      </c>
      <c r="I1170">
        <v>731.9</v>
      </c>
      <c r="J1170">
        <v>20115</v>
      </c>
      <c r="K1170">
        <v>17880</v>
      </c>
      <c r="L1170" s="2">
        <v>27.1175</v>
      </c>
      <c r="M1170" s="5">
        <v>306.01150000000007</v>
      </c>
      <c r="N1170" s="1">
        <v>319.44040000000001</v>
      </c>
      <c r="O1170" s="2">
        <v>29.8</v>
      </c>
      <c r="P1170">
        <v>289</v>
      </c>
    </row>
    <row r="1171" spans="1:16" x14ac:dyDescent="0.35">
      <c r="A1171" s="4">
        <v>44652</v>
      </c>
      <c r="B1171" t="s">
        <v>21</v>
      </c>
      <c r="C1171" t="s">
        <v>15</v>
      </c>
      <c r="D1171">
        <v>1</v>
      </c>
      <c r="E1171" s="2">
        <f>(3450+3250+3400)/3</f>
        <v>3366.6666666666665</v>
      </c>
      <c r="F1171" s="2">
        <f t="shared" si="183"/>
        <v>2909.4033333333332</v>
      </c>
      <c r="G1171" s="3">
        <v>1</v>
      </c>
      <c r="H1171">
        <v>1188</v>
      </c>
      <c r="I1171">
        <v>731.9</v>
      </c>
      <c r="J1171">
        <v>20115</v>
      </c>
      <c r="K1171">
        <v>17880</v>
      </c>
      <c r="L1171" s="2">
        <v>27.1175</v>
      </c>
      <c r="M1171" s="5">
        <v>306.01150000000007</v>
      </c>
      <c r="N1171" s="1">
        <v>319.44040000000001</v>
      </c>
      <c r="O1171" s="2">
        <v>29.8</v>
      </c>
      <c r="P1171">
        <v>289</v>
      </c>
    </row>
    <row r="1172" spans="1:16" x14ac:dyDescent="0.35">
      <c r="A1172" s="4">
        <v>44652</v>
      </c>
      <c r="B1172" t="s">
        <v>22</v>
      </c>
      <c r="C1172" t="s">
        <v>10</v>
      </c>
      <c r="D1172">
        <v>0</v>
      </c>
      <c r="E1172" s="2" t="s">
        <v>27</v>
      </c>
      <c r="F1172" s="2">
        <f t="shared" ref="F1172:F1175" si="184">(2900+2767+2975)/3</f>
        <v>2880.6666666666665</v>
      </c>
      <c r="G1172" s="3">
        <v>1</v>
      </c>
      <c r="H1172">
        <v>1188</v>
      </c>
      <c r="I1172">
        <v>731.9</v>
      </c>
      <c r="J1172">
        <v>20115</v>
      </c>
      <c r="K1172">
        <v>17880</v>
      </c>
      <c r="L1172" s="2">
        <v>27.1175</v>
      </c>
      <c r="M1172" s="5">
        <v>306.01150000000007</v>
      </c>
      <c r="N1172" s="1">
        <v>319.44040000000001</v>
      </c>
      <c r="O1172" s="2">
        <v>29.8</v>
      </c>
      <c r="P1172">
        <v>289</v>
      </c>
    </row>
    <row r="1173" spans="1:16" x14ac:dyDescent="0.35">
      <c r="A1173" s="4">
        <v>44652</v>
      </c>
      <c r="B1173" t="s">
        <v>22</v>
      </c>
      <c r="C1173" t="s">
        <v>11</v>
      </c>
      <c r="D1173">
        <v>0</v>
      </c>
      <c r="E1173" s="2" t="s">
        <v>27</v>
      </c>
      <c r="F1173" s="2">
        <f t="shared" si="184"/>
        <v>2880.6666666666665</v>
      </c>
      <c r="G1173" s="3">
        <v>1</v>
      </c>
      <c r="H1173">
        <v>1188</v>
      </c>
      <c r="I1173">
        <v>731.9</v>
      </c>
      <c r="J1173">
        <v>20115</v>
      </c>
      <c r="K1173">
        <v>17880</v>
      </c>
      <c r="L1173" s="2">
        <v>27.1175</v>
      </c>
      <c r="M1173" s="5">
        <v>306.01150000000007</v>
      </c>
      <c r="N1173" s="1">
        <v>319.44040000000001</v>
      </c>
      <c r="O1173" s="2">
        <v>29.8</v>
      </c>
      <c r="P1173">
        <v>289</v>
      </c>
    </row>
    <row r="1174" spans="1:16" x14ac:dyDescent="0.35">
      <c r="A1174" s="4">
        <v>44652</v>
      </c>
      <c r="B1174" t="s">
        <v>22</v>
      </c>
      <c r="C1174" t="s">
        <v>12</v>
      </c>
      <c r="D1174">
        <v>0</v>
      </c>
      <c r="E1174" s="2" t="s">
        <v>27</v>
      </c>
      <c r="F1174" s="2">
        <f t="shared" si="184"/>
        <v>2880.6666666666665</v>
      </c>
      <c r="G1174" s="3">
        <v>1</v>
      </c>
      <c r="H1174">
        <v>1188</v>
      </c>
      <c r="I1174">
        <v>731.9</v>
      </c>
      <c r="J1174">
        <v>20115</v>
      </c>
      <c r="K1174">
        <v>17880</v>
      </c>
      <c r="L1174" s="2">
        <v>27.1175</v>
      </c>
      <c r="M1174" s="5">
        <v>306.01150000000007</v>
      </c>
      <c r="N1174" s="1">
        <v>319.44040000000001</v>
      </c>
      <c r="O1174" s="2">
        <v>29.8</v>
      </c>
      <c r="P1174">
        <v>289</v>
      </c>
    </row>
    <row r="1175" spans="1:16" x14ac:dyDescent="0.35">
      <c r="A1175" s="4">
        <v>44652</v>
      </c>
      <c r="B1175" t="s">
        <v>22</v>
      </c>
      <c r="C1175" t="s">
        <v>13</v>
      </c>
      <c r="D1175">
        <v>0</v>
      </c>
      <c r="E1175" s="2" t="s">
        <v>27</v>
      </c>
      <c r="F1175" s="2">
        <f t="shared" si="184"/>
        <v>2880.6666666666665</v>
      </c>
      <c r="G1175" s="3">
        <v>1</v>
      </c>
      <c r="H1175">
        <v>1188</v>
      </c>
      <c r="I1175">
        <v>731.9</v>
      </c>
      <c r="J1175">
        <v>20115</v>
      </c>
      <c r="K1175">
        <v>17880</v>
      </c>
      <c r="L1175" s="2">
        <v>27.1175</v>
      </c>
      <c r="M1175" s="5">
        <v>306.01150000000007</v>
      </c>
      <c r="N1175" s="1">
        <v>319.44040000000001</v>
      </c>
      <c r="O1175" s="2">
        <v>29.8</v>
      </c>
      <c r="P1175">
        <v>289</v>
      </c>
    </row>
    <row r="1176" spans="1:16" x14ac:dyDescent="0.35">
      <c r="A1176" s="4">
        <v>44652</v>
      </c>
      <c r="B1176" t="s">
        <v>22</v>
      </c>
      <c r="C1176" t="s">
        <v>14</v>
      </c>
      <c r="D1176">
        <v>1</v>
      </c>
      <c r="E1176" s="2">
        <f>(2900+2767+2975)/3</f>
        <v>2880.6666666666665</v>
      </c>
      <c r="F1176" s="2">
        <f>(2900+2767+2975)/3</f>
        <v>2880.6666666666665</v>
      </c>
      <c r="G1176" s="3">
        <v>1</v>
      </c>
      <c r="H1176">
        <v>1188</v>
      </c>
      <c r="I1176">
        <v>731.9</v>
      </c>
      <c r="J1176">
        <v>20115</v>
      </c>
      <c r="K1176">
        <v>17880</v>
      </c>
      <c r="L1176" s="2">
        <v>27.1175</v>
      </c>
      <c r="M1176" s="5">
        <v>306.01150000000007</v>
      </c>
      <c r="N1176" s="1">
        <v>319.44040000000001</v>
      </c>
      <c r="O1176" s="2">
        <v>29.8</v>
      </c>
      <c r="P1176">
        <v>289</v>
      </c>
    </row>
    <row r="1177" spans="1:16" x14ac:dyDescent="0.35">
      <c r="A1177" s="4">
        <v>44652</v>
      </c>
      <c r="B1177" t="s">
        <v>22</v>
      </c>
      <c r="C1177" t="s">
        <v>15</v>
      </c>
      <c r="D1177">
        <v>0</v>
      </c>
      <c r="E1177" s="2" t="s">
        <v>27</v>
      </c>
      <c r="F1177" s="2">
        <f>(2900+2767+2975)/3</f>
        <v>2880.6666666666665</v>
      </c>
      <c r="G1177" s="3">
        <v>1</v>
      </c>
      <c r="H1177">
        <v>1188</v>
      </c>
      <c r="I1177">
        <v>731.9</v>
      </c>
      <c r="J1177">
        <v>20115</v>
      </c>
      <c r="K1177">
        <v>17880</v>
      </c>
      <c r="L1177" s="2">
        <v>27.1175</v>
      </c>
      <c r="M1177" s="5">
        <v>306.01150000000007</v>
      </c>
      <c r="N1177" s="1">
        <v>319.44040000000001</v>
      </c>
      <c r="O1177" s="2">
        <v>29.8</v>
      </c>
      <c r="P1177">
        <v>289</v>
      </c>
    </row>
    <row r="1178" spans="1:16" x14ac:dyDescent="0.35">
      <c r="A1178" s="4">
        <v>44682</v>
      </c>
      <c r="B1178" t="s">
        <v>16</v>
      </c>
      <c r="C1178" t="s">
        <v>10</v>
      </c>
      <c r="D1178">
        <v>1</v>
      </c>
      <c r="E1178" s="2">
        <f>(4950+4850+5050+4633)/4</f>
        <v>4870.75</v>
      </c>
      <c r="F1178" s="2">
        <f>(4875+4578.75+4537+4797.5)/4</f>
        <v>4697.0625</v>
      </c>
      <c r="G1178" s="3">
        <v>1</v>
      </c>
      <c r="H1178">
        <v>2376</v>
      </c>
      <c r="I1178">
        <v>914.9</v>
      </c>
      <c r="J1178">
        <v>18720</v>
      </c>
      <c r="K1178">
        <v>17880</v>
      </c>
      <c r="L1178" s="2">
        <v>27.130624999999998</v>
      </c>
      <c r="M1178" s="5">
        <v>193.64600000000002</v>
      </c>
      <c r="N1178" s="1">
        <v>358.93900000000002</v>
      </c>
      <c r="O1178" s="2">
        <v>39.1</v>
      </c>
      <c r="P1178">
        <v>289</v>
      </c>
    </row>
    <row r="1179" spans="1:16" x14ac:dyDescent="0.35">
      <c r="A1179" s="4">
        <v>44682</v>
      </c>
      <c r="B1179" t="s">
        <v>16</v>
      </c>
      <c r="C1179" t="s">
        <v>11</v>
      </c>
      <c r="D1179">
        <v>0</v>
      </c>
      <c r="E1179" s="2" t="s">
        <v>27</v>
      </c>
      <c r="F1179" s="2">
        <f t="shared" ref="F1179:F1183" si="185">(4875+4578.75+4537+4797.5)/4</f>
        <v>4697.0625</v>
      </c>
      <c r="G1179" s="3">
        <v>1</v>
      </c>
      <c r="H1179">
        <v>2376</v>
      </c>
      <c r="I1179">
        <v>914.9</v>
      </c>
      <c r="J1179">
        <v>18720</v>
      </c>
      <c r="K1179">
        <v>17880</v>
      </c>
      <c r="L1179" s="2">
        <v>27.130624999999998</v>
      </c>
      <c r="M1179" s="5">
        <v>193.64600000000002</v>
      </c>
      <c r="N1179" s="1">
        <v>358.93900000000002</v>
      </c>
      <c r="O1179" s="2">
        <v>39.1</v>
      </c>
      <c r="P1179">
        <v>289</v>
      </c>
    </row>
    <row r="1180" spans="1:16" x14ac:dyDescent="0.35">
      <c r="A1180" s="4">
        <v>44682</v>
      </c>
      <c r="B1180" t="s">
        <v>16</v>
      </c>
      <c r="C1180" t="s">
        <v>12</v>
      </c>
      <c r="D1180">
        <v>1</v>
      </c>
      <c r="E1180" s="2">
        <v>3790</v>
      </c>
      <c r="F1180" s="2">
        <f t="shared" si="185"/>
        <v>4697.0625</v>
      </c>
      <c r="G1180" s="3">
        <v>1</v>
      </c>
      <c r="H1180">
        <v>2376</v>
      </c>
      <c r="I1180">
        <v>914.9</v>
      </c>
      <c r="J1180">
        <v>18720</v>
      </c>
      <c r="K1180">
        <v>17880</v>
      </c>
      <c r="L1180" s="2">
        <v>27.130624999999998</v>
      </c>
      <c r="M1180" s="5">
        <v>193.64600000000002</v>
      </c>
      <c r="N1180" s="1">
        <v>358.93900000000002</v>
      </c>
      <c r="O1180" s="2">
        <v>39.1</v>
      </c>
      <c r="P1180">
        <v>289</v>
      </c>
    </row>
    <row r="1181" spans="1:16" x14ac:dyDescent="0.35">
      <c r="A1181" s="4">
        <v>44682</v>
      </c>
      <c r="B1181" t="s">
        <v>16</v>
      </c>
      <c r="C1181" t="s">
        <v>13</v>
      </c>
      <c r="D1181">
        <v>1</v>
      </c>
      <c r="E1181" s="2">
        <f>(5500+4825+4800+5250)/4</f>
        <v>5093.75</v>
      </c>
      <c r="F1181" s="2">
        <f t="shared" si="185"/>
        <v>4697.0625</v>
      </c>
      <c r="G1181" s="3">
        <v>1</v>
      </c>
      <c r="H1181">
        <v>2376</v>
      </c>
      <c r="I1181">
        <v>914.9</v>
      </c>
      <c r="J1181">
        <v>18720</v>
      </c>
      <c r="K1181">
        <v>17880</v>
      </c>
      <c r="L1181" s="2">
        <v>27.130624999999998</v>
      </c>
      <c r="M1181" s="5">
        <v>193.64600000000002</v>
      </c>
      <c r="N1181" s="1">
        <v>358.93900000000002</v>
      </c>
      <c r="O1181" s="2">
        <v>39.1</v>
      </c>
      <c r="P1181">
        <v>289</v>
      </c>
    </row>
    <row r="1182" spans="1:16" x14ac:dyDescent="0.35">
      <c r="A1182" s="4">
        <v>44682</v>
      </c>
      <c r="B1182" t="s">
        <v>16</v>
      </c>
      <c r="C1182" t="s">
        <v>14</v>
      </c>
      <c r="D1182">
        <v>1</v>
      </c>
      <c r="E1182" s="2">
        <f>(5100+4900+4875+5250)/4</f>
        <v>5031.25</v>
      </c>
      <c r="F1182" s="2">
        <f t="shared" si="185"/>
        <v>4697.0625</v>
      </c>
      <c r="G1182" s="3">
        <v>1</v>
      </c>
      <c r="H1182">
        <v>2376</v>
      </c>
      <c r="I1182">
        <v>914.9</v>
      </c>
      <c r="J1182">
        <v>18720</v>
      </c>
      <c r="K1182">
        <v>17880</v>
      </c>
      <c r="L1182" s="2">
        <v>27.130624999999998</v>
      </c>
      <c r="M1182" s="5">
        <v>193.64600000000002</v>
      </c>
      <c r="N1182" s="1">
        <v>358.93900000000002</v>
      </c>
      <c r="O1182" s="2">
        <v>39.1</v>
      </c>
      <c r="P1182">
        <v>289</v>
      </c>
    </row>
    <row r="1183" spans="1:16" x14ac:dyDescent="0.35">
      <c r="A1183" s="4">
        <v>44682</v>
      </c>
      <c r="B1183" t="s">
        <v>16</v>
      </c>
      <c r="C1183" t="s">
        <v>15</v>
      </c>
      <c r="D1183">
        <v>0</v>
      </c>
      <c r="E1183" s="2" t="s">
        <v>27</v>
      </c>
      <c r="F1183" s="2">
        <f t="shared" si="185"/>
        <v>4697.0625</v>
      </c>
      <c r="G1183" s="3">
        <v>1</v>
      </c>
      <c r="H1183">
        <v>2376</v>
      </c>
      <c r="I1183">
        <v>914.9</v>
      </c>
      <c r="J1183">
        <v>18720</v>
      </c>
      <c r="K1183">
        <v>17880</v>
      </c>
      <c r="L1183" s="2">
        <v>27.130624999999998</v>
      </c>
      <c r="M1183" s="5">
        <v>193.64600000000002</v>
      </c>
      <c r="N1183" s="1">
        <v>358.93900000000002</v>
      </c>
      <c r="O1183" s="2">
        <v>39.1</v>
      </c>
      <c r="P1183">
        <v>289</v>
      </c>
    </row>
    <row r="1184" spans="1:16" x14ac:dyDescent="0.35">
      <c r="A1184" s="4">
        <v>44682</v>
      </c>
      <c r="B1184" t="s">
        <v>17</v>
      </c>
      <c r="C1184" t="s">
        <v>10</v>
      </c>
      <c r="D1184">
        <v>1</v>
      </c>
      <c r="E1184" s="2">
        <f>(4766+4233+4466+4675)/4</f>
        <v>4535</v>
      </c>
      <c r="F1184" s="2">
        <f>(4520.6+4165.6+4172.2+4489)/4</f>
        <v>4336.8500000000004</v>
      </c>
      <c r="G1184" s="3">
        <v>1</v>
      </c>
      <c r="H1184">
        <v>2376</v>
      </c>
      <c r="I1184">
        <v>914.9</v>
      </c>
      <c r="J1184">
        <v>18720</v>
      </c>
      <c r="K1184">
        <v>17880</v>
      </c>
      <c r="L1184" s="2">
        <v>27.130624999999998</v>
      </c>
      <c r="M1184" s="5">
        <v>193.64600000000002</v>
      </c>
      <c r="N1184" s="1">
        <v>358.93900000000002</v>
      </c>
      <c r="O1184" s="2">
        <v>39.1</v>
      </c>
      <c r="P1184">
        <v>289</v>
      </c>
    </row>
    <row r="1185" spans="1:16" x14ac:dyDescent="0.35">
      <c r="A1185" s="4">
        <v>44682</v>
      </c>
      <c r="B1185" t="s">
        <v>17</v>
      </c>
      <c r="C1185" t="s">
        <v>11</v>
      </c>
      <c r="D1185">
        <v>1</v>
      </c>
      <c r="E1185" s="2">
        <f>(4800+4100*2+4500)/4</f>
        <v>4375</v>
      </c>
      <c r="F1185" s="2">
        <f t="shared" ref="F1185:F1189" si="186">(4520.6+4165.6+4172.2+4489)/4</f>
        <v>4336.8500000000004</v>
      </c>
      <c r="G1185" s="3">
        <v>1</v>
      </c>
      <c r="H1185">
        <v>2376</v>
      </c>
      <c r="I1185">
        <v>914.9</v>
      </c>
      <c r="J1185">
        <v>18720</v>
      </c>
      <c r="K1185">
        <v>17880</v>
      </c>
      <c r="L1185" s="2">
        <v>27.130624999999998</v>
      </c>
      <c r="M1185" s="5">
        <v>193.64600000000002</v>
      </c>
      <c r="N1185" s="1">
        <v>358.93900000000002</v>
      </c>
      <c r="O1185" s="2">
        <v>39.1</v>
      </c>
      <c r="P1185">
        <v>289</v>
      </c>
    </row>
    <row r="1186" spans="1:16" x14ac:dyDescent="0.35">
      <c r="A1186" s="4">
        <v>44682</v>
      </c>
      <c r="B1186" t="s">
        <v>17</v>
      </c>
      <c r="C1186" t="s">
        <v>12</v>
      </c>
      <c r="D1186">
        <v>1</v>
      </c>
      <c r="E1186" s="2">
        <v>3570</v>
      </c>
      <c r="F1186" s="2">
        <f t="shared" si="186"/>
        <v>4336.8500000000004</v>
      </c>
      <c r="G1186" s="3">
        <v>1</v>
      </c>
      <c r="H1186">
        <v>2376</v>
      </c>
      <c r="I1186">
        <v>914.9</v>
      </c>
      <c r="J1186">
        <v>18720</v>
      </c>
      <c r="K1186">
        <v>17880</v>
      </c>
      <c r="L1186" s="2">
        <v>27.130624999999998</v>
      </c>
      <c r="M1186" s="5">
        <v>193.64600000000002</v>
      </c>
      <c r="N1186" s="1">
        <v>358.93900000000002</v>
      </c>
      <c r="O1186" s="2">
        <v>39.1</v>
      </c>
      <c r="P1186">
        <v>289</v>
      </c>
    </row>
    <row r="1187" spans="1:16" x14ac:dyDescent="0.35">
      <c r="A1187" s="4">
        <v>44682</v>
      </c>
      <c r="B1187" t="s">
        <v>17</v>
      </c>
      <c r="C1187" t="s">
        <v>13</v>
      </c>
      <c r="D1187">
        <v>1</v>
      </c>
      <c r="E1187" s="2">
        <f>(4700+4275+4225+4800)/4</f>
        <v>4500</v>
      </c>
      <c r="F1187" s="2">
        <f t="shared" si="186"/>
        <v>4336.8500000000004</v>
      </c>
      <c r="G1187" s="3">
        <v>1</v>
      </c>
      <c r="H1187">
        <v>2376</v>
      </c>
      <c r="I1187">
        <v>914.9</v>
      </c>
      <c r="J1187">
        <v>18720</v>
      </c>
      <c r="K1187">
        <v>17880</v>
      </c>
      <c r="L1187" s="2">
        <v>27.130624999999998</v>
      </c>
      <c r="M1187" s="5">
        <v>193.64600000000002</v>
      </c>
      <c r="N1187" s="1">
        <v>358.93900000000002</v>
      </c>
      <c r="O1187" s="2">
        <v>39.1</v>
      </c>
      <c r="P1187">
        <v>289</v>
      </c>
    </row>
    <row r="1188" spans="1:16" x14ac:dyDescent="0.35">
      <c r="A1188" s="4">
        <v>44682</v>
      </c>
      <c r="B1188" t="s">
        <v>17</v>
      </c>
      <c r="C1188" t="s">
        <v>14</v>
      </c>
      <c r="D1188">
        <v>1</v>
      </c>
      <c r="E1188" s="2">
        <f>(4900+4500+4650+4767)/4</f>
        <v>4704.25</v>
      </c>
      <c r="F1188" s="2">
        <f t="shared" si="186"/>
        <v>4336.8500000000004</v>
      </c>
      <c r="G1188" s="3">
        <v>1</v>
      </c>
      <c r="H1188">
        <v>2376</v>
      </c>
      <c r="I1188">
        <v>914.9</v>
      </c>
      <c r="J1188">
        <v>18720</v>
      </c>
      <c r="K1188">
        <v>17880</v>
      </c>
      <c r="L1188" s="2">
        <v>27.130624999999998</v>
      </c>
      <c r="M1188" s="5">
        <v>193.64600000000002</v>
      </c>
      <c r="N1188" s="1">
        <v>358.93900000000002</v>
      </c>
      <c r="O1188" s="2">
        <v>39.1</v>
      </c>
      <c r="P1188">
        <v>289</v>
      </c>
    </row>
    <row r="1189" spans="1:16" x14ac:dyDescent="0.35">
      <c r="A1189" s="4">
        <v>44682</v>
      </c>
      <c r="B1189" t="s">
        <v>17</v>
      </c>
      <c r="C1189" t="s">
        <v>15</v>
      </c>
      <c r="D1189">
        <v>0</v>
      </c>
      <c r="E1189" s="2" t="s">
        <v>27</v>
      </c>
      <c r="F1189" s="2">
        <f t="shared" si="186"/>
        <v>4336.8500000000004</v>
      </c>
      <c r="G1189" s="3">
        <v>1</v>
      </c>
      <c r="H1189">
        <v>2376</v>
      </c>
      <c r="I1189">
        <v>914.9</v>
      </c>
      <c r="J1189">
        <v>18720</v>
      </c>
      <c r="K1189">
        <v>17880</v>
      </c>
      <c r="L1189" s="2">
        <v>27.130624999999998</v>
      </c>
      <c r="M1189" s="5">
        <v>193.64600000000002</v>
      </c>
      <c r="N1189" s="1">
        <v>358.93900000000002</v>
      </c>
      <c r="O1189" s="2">
        <v>39.1</v>
      </c>
      <c r="P1189">
        <v>289</v>
      </c>
    </row>
    <row r="1190" spans="1:16" x14ac:dyDescent="0.35">
      <c r="A1190" s="4">
        <v>44682</v>
      </c>
      <c r="B1190" t="s">
        <v>18</v>
      </c>
      <c r="C1190" t="s">
        <v>10</v>
      </c>
      <c r="D1190">
        <v>1</v>
      </c>
      <c r="E1190" s="2">
        <f>(4300+3950+4250+4050)/4</f>
        <v>4137.5</v>
      </c>
      <c r="F1190" s="2">
        <f>(4045+3918.57+3890.71+4089.29)/4</f>
        <v>3985.8924999999999</v>
      </c>
      <c r="G1190" s="3">
        <v>1</v>
      </c>
      <c r="H1190">
        <v>2376</v>
      </c>
      <c r="I1190">
        <v>914.9</v>
      </c>
      <c r="J1190">
        <v>18720</v>
      </c>
      <c r="K1190">
        <v>17880</v>
      </c>
      <c r="L1190" s="2">
        <v>27.130624999999998</v>
      </c>
      <c r="M1190" s="5">
        <v>193.64600000000002</v>
      </c>
      <c r="N1190" s="1">
        <v>358.93900000000002</v>
      </c>
      <c r="O1190" s="2">
        <v>39.1</v>
      </c>
      <c r="P1190">
        <v>289</v>
      </c>
    </row>
    <row r="1191" spans="1:16" x14ac:dyDescent="0.35">
      <c r="A1191" s="4">
        <v>44682</v>
      </c>
      <c r="B1191" t="s">
        <v>18</v>
      </c>
      <c r="C1191" t="s">
        <v>11</v>
      </c>
      <c r="D1191">
        <v>1</v>
      </c>
      <c r="E1191" s="2">
        <v>4200</v>
      </c>
      <c r="F1191" s="2">
        <f t="shared" ref="F1191:F1195" si="187">(4045+3918.57+3890.71+4089.29)/4</f>
        <v>3985.8924999999999</v>
      </c>
      <c r="G1191" s="3">
        <v>1</v>
      </c>
      <c r="H1191">
        <v>2376</v>
      </c>
      <c r="I1191">
        <v>914.9</v>
      </c>
      <c r="J1191">
        <v>18720</v>
      </c>
      <c r="K1191">
        <v>17880</v>
      </c>
      <c r="L1191" s="2">
        <v>27.130624999999998</v>
      </c>
      <c r="M1191" s="5">
        <v>193.64600000000002</v>
      </c>
      <c r="N1191" s="1">
        <v>358.93900000000002</v>
      </c>
      <c r="O1191" s="2">
        <v>39.1</v>
      </c>
      <c r="P1191">
        <v>289</v>
      </c>
    </row>
    <row r="1192" spans="1:16" x14ac:dyDescent="0.35">
      <c r="A1192" s="4">
        <v>44682</v>
      </c>
      <c r="B1192" t="s">
        <v>18</v>
      </c>
      <c r="C1192" t="s">
        <v>12</v>
      </c>
      <c r="D1192">
        <v>1</v>
      </c>
      <c r="E1192" s="2">
        <v>3385</v>
      </c>
      <c r="F1192" s="2">
        <f t="shared" si="187"/>
        <v>3985.8924999999999</v>
      </c>
      <c r="G1192" s="3">
        <v>1</v>
      </c>
      <c r="H1192">
        <v>2376</v>
      </c>
      <c r="I1192">
        <v>914.9</v>
      </c>
      <c r="J1192">
        <v>18720</v>
      </c>
      <c r="K1192">
        <v>17880</v>
      </c>
      <c r="L1192" s="2">
        <v>27.130624999999998</v>
      </c>
      <c r="M1192" s="5">
        <v>193.64600000000002</v>
      </c>
      <c r="N1192" s="1">
        <v>358.93900000000002</v>
      </c>
      <c r="O1192" s="2">
        <v>39.1</v>
      </c>
      <c r="P1192">
        <v>289</v>
      </c>
    </row>
    <row r="1193" spans="1:16" x14ac:dyDescent="0.35">
      <c r="A1193" s="4">
        <v>44682</v>
      </c>
      <c r="B1193" t="s">
        <v>18</v>
      </c>
      <c r="C1193" t="s">
        <v>13</v>
      </c>
      <c r="D1193">
        <v>1</v>
      </c>
      <c r="E1193" s="2">
        <f>(4400+4075+4125+4250)/4</f>
        <v>4212.5</v>
      </c>
      <c r="F1193" s="2">
        <f t="shared" si="187"/>
        <v>3985.8924999999999</v>
      </c>
      <c r="G1193" s="3">
        <v>1</v>
      </c>
      <c r="H1193">
        <v>2376</v>
      </c>
      <c r="I1193">
        <v>914.9</v>
      </c>
      <c r="J1193">
        <v>18720</v>
      </c>
      <c r="K1193">
        <v>17880</v>
      </c>
      <c r="L1193" s="2">
        <v>27.130624999999998</v>
      </c>
      <c r="M1193" s="5">
        <v>193.64600000000002</v>
      </c>
      <c r="N1193" s="1">
        <v>358.93900000000002</v>
      </c>
      <c r="O1193" s="2">
        <v>39.1</v>
      </c>
      <c r="P1193">
        <v>289</v>
      </c>
    </row>
    <row r="1194" spans="1:16" x14ac:dyDescent="0.35">
      <c r="A1194" s="4">
        <v>44682</v>
      </c>
      <c r="B1194" t="s">
        <v>18</v>
      </c>
      <c r="C1194" t="s">
        <v>14</v>
      </c>
      <c r="D1194">
        <v>1</v>
      </c>
      <c r="E1194" s="2">
        <f>(4350+4270+4150+4540)/4</f>
        <v>4327.5</v>
      </c>
      <c r="F1194" s="2">
        <f t="shared" si="187"/>
        <v>3985.8924999999999</v>
      </c>
      <c r="G1194" s="3">
        <v>1</v>
      </c>
      <c r="H1194">
        <v>2376</v>
      </c>
      <c r="I1194">
        <v>914.9</v>
      </c>
      <c r="J1194">
        <v>18720</v>
      </c>
      <c r="K1194">
        <v>17880</v>
      </c>
      <c r="L1194" s="2">
        <v>27.130624999999998</v>
      </c>
      <c r="M1194" s="5">
        <v>193.64600000000002</v>
      </c>
      <c r="N1194" s="1">
        <v>358.93900000000002</v>
      </c>
      <c r="O1194" s="2">
        <v>39.1</v>
      </c>
      <c r="P1194">
        <v>289</v>
      </c>
    </row>
    <row r="1195" spans="1:16" x14ac:dyDescent="0.35">
      <c r="A1195" s="4">
        <v>44682</v>
      </c>
      <c r="B1195" t="s">
        <v>18</v>
      </c>
      <c r="C1195" t="s">
        <v>15</v>
      </c>
      <c r="D1195">
        <v>1</v>
      </c>
      <c r="E1195" s="2">
        <f>(4450+4200+4200+4150)/4</f>
        <v>4250</v>
      </c>
      <c r="F1195" s="2">
        <f t="shared" si="187"/>
        <v>3985.8924999999999</v>
      </c>
      <c r="G1195" s="3">
        <v>1</v>
      </c>
      <c r="H1195">
        <v>2376</v>
      </c>
      <c r="I1195">
        <v>914.9</v>
      </c>
      <c r="J1195">
        <v>18720</v>
      </c>
      <c r="K1195">
        <v>17880</v>
      </c>
      <c r="L1195" s="2">
        <v>27.130624999999998</v>
      </c>
      <c r="M1195" s="5">
        <v>193.64600000000002</v>
      </c>
      <c r="N1195" s="1">
        <v>358.93900000000002</v>
      </c>
      <c r="O1195" s="2">
        <v>39.1</v>
      </c>
      <c r="P1195">
        <v>289</v>
      </c>
    </row>
    <row r="1196" spans="1:16" x14ac:dyDescent="0.35">
      <c r="A1196" s="4">
        <v>44682</v>
      </c>
      <c r="B1196" t="s">
        <v>19</v>
      </c>
      <c r="C1196" t="s">
        <v>10</v>
      </c>
      <c r="D1196">
        <v>1</v>
      </c>
      <c r="E1196" s="2">
        <f>(3275+3950+3183+4050)/4</f>
        <v>3614.5</v>
      </c>
      <c r="F1196" s="2">
        <f>(3791.43+3671.14+3631.86+3823.29)/4</f>
        <v>3729.4300000000003</v>
      </c>
      <c r="G1196" s="3">
        <v>1</v>
      </c>
      <c r="H1196">
        <v>2376</v>
      </c>
      <c r="I1196">
        <v>914.9</v>
      </c>
      <c r="J1196">
        <v>18720</v>
      </c>
      <c r="K1196">
        <v>17880</v>
      </c>
      <c r="L1196" s="2">
        <v>27.130624999999998</v>
      </c>
      <c r="M1196" s="5">
        <v>193.64600000000002</v>
      </c>
      <c r="N1196" s="1">
        <v>358.93900000000002</v>
      </c>
      <c r="O1196" s="2">
        <v>39.1</v>
      </c>
      <c r="P1196">
        <v>289</v>
      </c>
    </row>
    <row r="1197" spans="1:16" x14ac:dyDescent="0.35">
      <c r="A1197" s="4">
        <v>44682</v>
      </c>
      <c r="B1197" t="s">
        <v>19</v>
      </c>
      <c r="C1197" t="s">
        <v>11</v>
      </c>
      <c r="D1197">
        <v>1</v>
      </c>
      <c r="E1197" s="2">
        <v>3975</v>
      </c>
      <c r="F1197" s="2">
        <f t="shared" ref="F1197:F1201" si="188">(3791.43+3671.14+3631.86+3823.29)/4</f>
        <v>3729.4300000000003</v>
      </c>
      <c r="G1197" s="3">
        <v>1</v>
      </c>
      <c r="H1197">
        <v>2376</v>
      </c>
      <c r="I1197">
        <v>914.9</v>
      </c>
      <c r="J1197">
        <v>18720</v>
      </c>
      <c r="K1197">
        <v>17880</v>
      </c>
      <c r="L1197" s="2">
        <v>27.130624999999998</v>
      </c>
      <c r="M1197" s="5">
        <v>193.64600000000002</v>
      </c>
      <c r="N1197" s="1">
        <v>358.93900000000002</v>
      </c>
      <c r="O1197" s="2">
        <v>39.1</v>
      </c>
      <c r="P1197">
        <v>289</v>
      </c>
    </row>
    <row r="1198" spans="1:16" x14ac:dyDescent="0.35">
      <c r="A1198" s="4">
        <v>44682</v>
      </c>
      <c r="B1198" t="s">
        <v>19</v>
      </c>
      <c r="C1198" t="s">
        <v>12</v>
      </c>
      <c r="D1198">
        <v>1</v>
      </c>
      <c r="E1198" s="2">
        <v>3168</v>
      </c>
      <c r="F1198" s="2">
        <f t="shared" si="188"/>
        <v>3729.4300000000003</v>
      </c>
      <c r="G1198" s="3">
        <v>1</v>
      </c>
      <c r="H1198">
        <v>2376</v>
      </c>
      <c r="I1198">
        <v>914.9</v>
      </c>
      <c r="J1198">
        <v>18720</v>
      </c>
      <c r="K1198">
        <v>17880</v>
      </c>
      <c r="L1198" s="2">
        <v>27.130624999999998</v>
      </c>
      <c r="M1198" s="5">
        <v>193.64600000000002</v>
      </c>
      <c r="N1198" s="1">
        <v>358.93900000000002</v>
      </c>
      <c r="O1198" s="2">
        <v>39.1</v>
      </c>
      <c r="P1198">
        <v>289</v>
      </c>
    </row>
    <row r="1199" spans="1:16" x14ac:dyDescent="0.35">
      <c r="A1199" s="4">
        <v>44682</v>
      </c>
      <c r="B1199" t="s">
        <v>19</v>
      </c>
      <c r="C1199" t="s">
        <v>13</v>
      </c>
      <c r="D1199">
        <v>1</v>
      </c>
      <c r="E1199" s="2">
        <f>(4150+4025*2+4200)/4</f>
        <v>4100</v>
      </c>
      <c r="F1199" s="2">
        <f t="shared" si="188"/>
        <v>3729.4300000000003</v>
      </c>
      <c r="G1199" s="3">
        <v>1</v>
      </c>
      <c r="H1199">
        <v>2376</v>
      </c>
      <c r="I1199">
        <v>914.9</v>
      </c>
      <c r="J1199">
        <v>18720</v>
      </c>
      <c r="K1199">
        <v>17880</v>
      </c>
      <c r="L1199" s="2">
        <v>27.130624999999998</v>
      </c>
      <c r="M1199" s="5">
        <v>193.64600000000002</v>
      </c>
      <c r="N1199" s="1">
        <v>358.93900000000002</v>
      </c>
      <c r="O1199" s="2">
        <v>39.1</v>
      </c>
      <c r="P1199">
        <v>289</v>
      </c>
    </row>
    <row r="1200" spans="1:16" x14ac:dyDescent="0.35">
      <c r="A1200" s="4">
        <v>44682</v>
      </c>
      <c r="B1200" t="s">
        <v>19</v>
      </c>
      <c r="C1200" t="s">
        <v>14</v>
      </c>
      <c r="D1200">
        <v>1</v>
      </c>
      <c r="E1200" s="2">
        <f>(4400+3983+4150+4183)/4</f>
        <v>4179</v>
      </c>
      <c r="F1200" s="2">
        <f t="shared" si="188"/>
        <v>3729.4300000000003</v>
      </c>
      <c r="G1200" s="3">
        <v>1</v>
      </c>
      <c r="H1200">
        <v>2376</v>
      </c>
      <c r="I1200">
        <v>914.9</v>
      </c>
      <c r="J1200">
        <v>18720</v>
      </c>
      <c r="K1200">
        <v>17880</v>
      </c>
      <c r="L1200" s="2">
        <v>27.130624999999998</v>
      </c>
      <c r="M1200" s="5">
        <v>193.64600000000002</v>
      </c>
      <c r="N1200" s="1">
        <v>358.93900000000002</v>
      </c>
      <c r="O1200" s="2">
        <v>39.1</v>
      </c>
      <c r="P1200">
        <v>289</v>
      </c>
    </row>
    <row r="1201" spans="1:16" x14ac:dyDescent="0.35">
      <c r="A1201" s="4">
        <v>44682</v>
      </c>
      <c r="B1201" t="s">
        <v>19</v>
      </c>
      <c r="C1201" t="s">
        <v>15</v>
      </c>
      <c r="D1201">
        <v>1</v>
      </c>
      <c r="E1201" s="2">
        <v>4112.5</v>
      </c>
      <c r="F1201" s="2">
        <f t="shared" si="188"/>
        <v>3729.4300000000003</v>
      </c>
      <c r="G1201" s="3">
        <v>1</v>
      </c>
      <c r="H1201">
        <v>2376</v>
      </c>
      <c r="I1201">
        <v>914.9</v>
      </c>
      <c r="J1201">
        <v>18720</v>
      </c>
      <c r="K1201">
        <v>17880</v>
      </c>
      <c r="L1201" s="2">
        <v>27.130624999999998</v>
      </c>
      <c r="M1201" s="5">
        <v>193.64600000000002</v>
      </c>
      <c r="N1201" s="1">
        <v>358.93900000000002</v>
      </c>
      <c r="O1201" s="2">
        <v>39.1</v>
      </c>
      <c r="P1201">
        <v>289</v>
      </c>
    </row>
    <row r="1202" spans="1:16" x14ac:dyDescent="0.35">
      <c r="A1202" s="4">
        <v>44682</v>
      </c>
      <c r="B1202" t="s">
        <v>20</v>
      </c>
      <c r="C1202" t="s">
        <v>10</v>
      </c>
      <c r="D1202">
        <v>1</v>
      </c>
      <c r="E1202" s="2">
        <f>(3516+2950+2750+3100)/4</f>
        <v>3079</v>
      </c>
      <c r="F1202" s="2">
        <f>(3298.57+3181.43+3225+3401.29)/4</f>
        <v>3276.5725000000002</v>
      </c>
      <c r="G1202" s="3">
        <v>1</v>
      </c>
      <c r="H1202">
        <v>2376</v>
      </c>
      <c r="I1202">
        <v>914.9</v>
      </c>
      <c r="J1202">
        <v>18720</v>
      </c>
      <c r="K1202">
        <v>17880</v>
      </c>
      <c r="L1202" s="2">
        <v>27.130624999999998</v>
      </c>
      <c r="M1202" s="5">
        <v>193.64600000000002</v>
      </c>
      <c r="N1202" s="1">
        <v>358.93900000000002</v>
      </c>
      <c r="O1202" s="2">
        <v>39.1</v>
      </c>
      <c r="P1202">
        <v>289</v>
      </c>
    </row>
    <row r="1203" spans="1:16" x14ac:dyDescent="0.35">
      <c r="A1203" s="4">
        <v>44682</v>
      </c>
      <c r="B1203" t="s">
        <v>20</v>
      </c>
      <c r="C1203" t="s">
        <v>11</v>
      </c>
      <c r="D1203">
        <v>1</v>
      </c>
      <c r="E1203" s="2">
        <v>3625</v>
      </c>
      <c r="F1203" s="2">
        <f t="shared" ref="F1203:F1207" si="189">(3298.57+3181.43+3225+3401.29)/4</f>
        <v>3276.5725000000002</v>
      </c>
      <c r="G1203" s="3">
        <v>1</v>
      </c>
      <c r="H1203">
        <v>2376</v>
      </c>
      <c r="I1203">
        <v>914.9</v>
      </c>
      <c r="J1203">
        <v>18720</v>
      </c>
      <c r="K1203">
        <v>17880</v>
      </c>
      <c r="L1203" s="2">
        <v>27.130624999999998</v>
      </c>
      <c r="M1203" s="5">
        <v>193.64600000000002</v>
      </c>
      <c r="N1203" s="1">
        <v>358.93900000000002</v>
      </c>
      <c r="O1203" s="2">
        <v>39.1</v>
      </c>
      <c r="P1203">
        <v>289</v>
      </c>
    </row>
    <row r="1204" spans="1:16" x14ac:dyDescent="0.35">
      <c r="A1204" s="4">
        <v>44682</v>
      </c>
      <c r="B1204" t="s">
        <v>20</v>
      </c>
      <c r="C1204" t="s">
        <v>12</v>
      </c>
      <c r="D1204">
        <v>1</v>
      </c>
      <c r="E1204" s="2">
        <v>2477.5</v>
      </c>
      <c r="F1204" s="2">
        <f t="shared" si="189"/>
        <v>3276.5725000000002</v>
      </c>
      <c r="G1204" s="3">
        <v>1</v>
      </c>
      <c r="H1204">
        <v>2376</v>
      </c>
      <c r="I1204">
        <v>914.9</v>
      </c>
      <c r="J1204">
        <v>18720</v>
      </c>
      <c r="K1204">
        <v>17880</v>
      </c>
      <c r="L1204" s="2">
        <v>27.130624999999998</v>
      </c>
      <c r="M1204" s="5">
        <v>193.64600000000002</v>
      </c>
      <c r="N1204" s="1">
        <v>358.93900000000002</v>
      </c>
      <c r="O1204" s="2">
        <v>39.1</v>
      </c>
      <c r="P1204">
        <v>289</v>
      </c>
    </row>
    <row r="1205" spans="1:16" x14ac:dyDescent="0.35">
      <c r="A1205" s="4">
        <v>44682</v>
      </c>
      <c r="B1205" t="s">
        <v>20</v>
      </c>
      <c r="C1205" t="s">
        <v>13</v>
      </c>
      <c r="D1205">
        <v>1</v>
      </c>
      <c r="E1205" s="2">
        <v>3625</v>
      </c>
      <c r="F1205" s="2">
        <f t="shared" si="189"/>
        <v>3276.5725000000002</v>
      </c>
      <c r="G1205" s="3">
        <v>1</v>
      </c>
      <c r="H1205">
        <v>2376</v>
      </c>
      <c r="I1205">
        <v>914.9</v>
      </c>
      <c r="J1205">
        <v>18720</v>
      </c>
      <c r="K1205">
        <v>17880</v>
      </c>
      <c r="L1205" s="2">
        <v>27.130624999999998</v>
      </c>
      <c r="M1205" s="5">
        <v>193.64600000000002</v>
      </c>
      <c r="N1205" s="1">
        <v>358.93900000000002</v>
      </c>
      <c r="O1205" s="2">
        <v>39.1</v>
      </c>
      <c r="P1205">
        <v>289</v>
      </c>
    </row>
    <row r="1206" spans="1:16" x14ac:dyDescent="0.35">
      <c r="A1206" s="4">
        <v>44682</v>
      </c>
      <c r="B1206" t="s">
        <v>20</v>
      </c>
      <c r="C1206" t="s">
        <v>14</v>
      </c>
      <c r="D1206">
        <v>1</v>
      </c>
      <c r="E1206" s="2">
        <f>(3740+3450+3600+3688)/4</f>
        <v>3619.5</v>
      </c>
      <c r="F1206" s="2">
        <f t="shared" si="189"/>
        <v>3276.5725000000002</v>
      </c>
      <c r="G1206" s="3">
        <v>1</v>
      </c>
      <c r="H1206">
        <v>2376</v>
      </c>
      <c r="I1206">
        <v>914.9</v>
      </c>
      <c r="J1206">
        <v>18720</v>
      </c>
      <c r="K1206">
        <v>17880</v>
      </c>
      <c r="L1206" s="2">
        <v>27.130624999999998</v>
      </c>
      <c r="M1206" s="5">
        <v>193.64600000000002</v>
      </c>
      <c r="N1206" s="1">
        <v>358.93900000000002</v>
      </c>
      <c r="O1206" s="2">
        <v>39.1</v>
      </c>
      <c r="P1206">
        <v>289</v>
      </c>
    </row>
    <row r="1207" spans="1:16" x14ac:dyDescent="0.35">
      <c r="A1207" s="4">
        <v>44682</v>
      </c>
      <c r="B1207" t="s">
        <v>20</v>
      </c>
      <c r="C1207" t="s">
        <v>15</v>
      </c>
      <c r="D1207">
        <v>1</v>
      </c>
      <c r="E1207" s="2">
        <f>(3825+3550+3490+3625)/4</f>
        <v>3622.5</v>
      </c>
      <c r="F1207" s="2">
        <f t="shared" si="189"/>
        <v>3276.5725000000002</v>
      </c>
      <c r="G1207" s="3">
        <v>1</v>
      </c>
      <c r="H1207">
        <v>2376</v>
      </c>
      <c r="I1207">
        <v>914.9</v>
      </c>
      <c r="J1207">
        <v>18720</v>
      </c>
      <c r="K1207">
        <v>17880</v>
      </c>
      <c r="L1207" s="2">
        <v>27.130624999999998</v>
      </c>
      <c r="M1207" s="5">
        <v>193.64600000000002</v>
      </c>
      <c r="N1207" s="1">
        <v>358.93900000000002</v>
      </c>
      <c r="O1207" s="2">
        <v>39.1</v>
      </c>
      <c r="P1207">
        <v>289</v>
      </c>
    </row>
    <row r="1208" spans="1:16" x14ac:dyDescent="0.35">
      <c r="A1208" s="4">
        <v>44682</v>
      </c>
      <c r="B1208" t="s">
        <v>21</v>
      </c>
      <c r="C1208" t="s">
        <v>10</v>
      </c>
      <c r="D1208">
        <v>1</v>
      </c>
      <c r="E1208" s="2">
        <f>(2850+2700+2300+2725)/4</f>
        <v>2643.75</v>
      </c>
      <c r="F1208" s="2">
        <f>(3132.71+3004.43+3052.71+2880.14)/4</f>
        <v>3017.4974999999995</v>
      </c>
      <c r="G1208" s="3">
        <v>1</v>
      </c>
      <c r="H1208">
        <v>2376</v>
      </c>
      <c r="I1208">
        <v>914.9</v>
      </c>
      <c r="J1208">
        <v>18720</v>
      </c>
      <c r="K1208">
        <v>17880</v>
      </c>
      <c r="L1208" s="2">
        <v>27.130624999999998</v>
      </c>
      <c r="M1208" s="5">
        <v>193.64600000000002</v>
      </c>
      <c r="N1208" s="1">
        <v>358.93900000000002</v>
      </c>
      <c r="O1208" s="2">
        <v>39.1</v>
      </c>
      <c r="P1208">
        <v>289</v>
      </c>
    </row>
    <row r="1209" spans="1:16" x14ac:dyDescent="0.35">
      <c r="A1209" s="4">
        <v>44682</v>
      </c>
      <c r="B1209" t="s">
        <v>21</v>
      </c>
      <c r="C1209" t="s">
        <v>11</v>
      </c>
      <c r="D1209">
        <v>1</v>
      </c>
      <c r="E1209" s="2">
        <v>3425</v>
      </c>
      <c r="F1209" s="2">
        <f t="shared" ref="F1209:F1213" si="190">(3132.71+3004.43+3052.71+2880.14)/4</f>
        <v>3017.4974999999995</v>
      </c>
      <c r="G1209" s="3">
        <v>1</v>
      </c>
      <c r="H1209">
        <v>2376</v>
      </c>
      <c r="I1209">
        <v>914.9</v>
      </c>
      <c r="J1209">
        <v>18720</v>
      </c>
      <c r="K1209">
        <v>17880</v>
      </c>
      <c r="L1209" s="2">
        <v>27.130624999999998</v>
      </c>
      <c r="M1209" s="5">
        <v>193.64600000000002</v>
      </c>
      <c r="N1209" s="1">
        <v>358.93900000000002</v>
      </c>
      <c r="O1209" s="2">
        <v>39.1</v>
      </c>
      <c r="P1209">
        <v>289</v>
      </c>
    </row>
    <row r="1210" spans="1:16" x14ac:dyDescent="0.35">
      <c r="A1210" s="4">
        <v>44682</v>
      </c>
      <c r="B1210" t="s">
        <v>21</v>
      </c>
      <c r="C1210" t="s">
        <v>12</v>
      </c>
      <c r="D1210">
        <v>1</v>
      </c>
      <c r="E1210" s="2">
        <v>2000</v>
      </c>
      <c r="F1210" s="2">
        <f t="shared" si="190"/>
        <v>3017.4974999999995</v>
      </c>
      <c r="G1210" s="3">
        <v>1</v>
      </c>
      <c r="H1210">
        <v>2376</v>
      </c>
      <c r="I1210">
        <v>914.9</v>
      </c>
      <c r="J1210">
        <v>18720</v>
      </c>
      <c r="K1210">
        <v>17880</v>
      </c>
      <c r="L1210" s="2">
        <v>27.130624999999998</v>
      </c>
      <c r="M1210" s="5">
        <v>193.64600000000002</v>
      </c>
      <c r="N1210" s="1">
        <v>358.93900000000002</v>
      </c>
      <c r="O1210" s="2">
        <v>39.1</v>
      </c>
      <c r="P1210">
        <v>289</v>
      </c>
    </row>
    <row r="1211" spans="1:16" x14ac:dyDescent="0.35">
      <c r="A1211" s="4">
        <v>44682</v>
      </c>
      <c r="B1211" t="s">
        <v>21</v>
      </c>
      <c r="C1211" t="s">
        <v>13</v>
      </c>
      <c r="D1211">
        <v>1</v>
      </c>
      <c r="E1211" s="2">
        <v>3500</v>
      </c>
      <c r="F1211" s="2">
        <f t="shared" si="190"/>
        <v>3017.4974999999995</v>
      </c>
      <c r="G1211" s="3">
        <v>1</v>
      </c>
      <c r="H1211">
        <v>2376</v>
      </c>
      <c r="I1211">
        <v>914.9</v>
      </c>
      <c r="J1211">
        <v>18720</v>
      </c>
      <c r="K1211">
        <v>17880</v>
      </c>
      <c r="L1211" s="2">
        <v>27.130624999999998</v>
      </c>
      <c r="M1211" s="5">
        <v>193.64600000000002</v>
      </c>
      <c r="N1211" s="1">
        <v>358.93900000000002</v>
      </c>
      <c r="O1211" s="2">
        <v>39.1</v>
      </c>
      <c r="P1211">
        <v>289</v>
      </c>
    </row>
    <row r="1212" spans="1:16" x14ac:dyDescent="0.35">
      <c r="A1212" s="4">
        <v>44682</v>
      </c>
      <c r="B1212" t="s">
        <v>21</v>
      </c>
      <c r="C1212" t="s">
        <v>14</v>
      </c>
      <c r="D1212">
        <v>1</v>
      </c>
      <c r="E1212" s="2">
        <f>(3236+3494+3481+3529)/4</f>
        <v>3435</v>
      </c>
      <c r="F1212" s="2">
        <f t="shared" si="190"/>
        <v>3017.4974999999995</v>
      </c>
      <c r="G1212" s="3">
        <v>1</v>
      </c>
      <c r="H1212">
        <v>2376</v>
      </c>
      <c r="I1212">
        <v>914.9</v>
      </c>
      <c r="J1212">
        <v>18720</v>
      </c>
      <c r="K1212">
        <v>17880</v>
      </c>
      <c r="L1212" s="2">
        <v>27.130624999999998</v>
      </c>
      <c r="M1212" s="5">
        <v>193.64600000000002</v>
      </c>
      <c r="N1212" s="1">
        <v>358.93900000000002</v>
      </c>
      <c r="O1212" s="2">
        <v>39.1</v>
      </c>
      <c r="P1212">
        <v>289</v>
      </c>
    </row>
    <row r="1213" spans="1:16" x14ac:dyDescent="0.35">
      <c r="A1213" s="4">
        <v>44682</v>
      </c>
      <c r="B1213" t="s">
        <v>21</v>
      </c>
      <c r="C1213" t="s">
        <v>15</v>
      </c>
      <c r="D1213">
        <v>1</v>
      </c>
      <c r="E1213" s="2">
        <f>(3200+3550+3500+3800)/4</f>
        <v>3512.5</v>
      </c>
      <c r="F1213" s="2">
        <f t="shared" si="190"/>
        <v>3017.4974999999995</v>
      </c>
      <c r="G1213" s="3">
        <v>1</v>
      </c>
      <c r="H1213">
        <v>2376</v>
      </c>
      <c r="I1213">
        <v>914.9</v>
      </c>
      <c r="J1213">
        <v>18720</v>
      </c>
      <c r="K1213">
        <v>17880</v>
      </c>
      <c r="L1213" s="2">
        <v>27.130624999999998</v>
      </c>
      <c r="M1213" s="5">
        <v>193.64600000000002</v>
      </c>
      <c r="N1213" s="1">
        <v>358.93900000000002</v>
      </c>
      <c r="O1213" s="2">
        <v>39.1</v>
      </c>
      <c r="P1213">
        <v>289</v>
      </c>
    </row>
    <row r="1214" spans="1:16" x14ac:dyDescent="0.35">
      <c r="A1214" s="4">
        <v>44682</v>
      </c>
      <c r="B1214" t="s">
        <v>22</v>
      </c>
      <c r="C1214" t="s">
        <v>10</v>
      </c>
      <c r="D1214">
        <v>0</v>
      </c>
      <c r="E1214" s="2" t="s">
        <v>27</v>
      </c>
      <c r="F1214" s="2">
        <f t="shared" ref="F1214:F1217" si="191">(2675+3000+3000+2975)/4</f>
        <v>2912.5</v>
      </c>
      <c r="G1214" s="3">
        <v>1</v>
      </c>
      <c r="H1214">
        <v>2376</v>
      </c>
      <c r="I1214">
        <v>914.9</v>
      </c>
      <c r="J1214">
        <v>18720</v>
      </c>
      <c r="K1214">
        <v>17880</v>
      </c>
      <c r="L1214" s="2">
        <v>27.130624999999998</v>
      </c>
      <c r="M1214" s="5">
        <v>193.64600000000002</v>
      </c>
      <c r="N1214" s="1">
        <v>358.93900000000002</v>
      </c>
      <c r="O1214" s="2">
        <v>39.1</v>
      </c>
      <c r="P1214">
        <v>289</v>
      </c>
    </row>
    <row r="1215" spans="1:16" x14ac:dyDescent="0.35">
      <c r="A1215" s="4">
        <v>44682</v>
      </c>
      <c r="B1215" t="s">
        <v>22</v>
      </c>
      <c r="C1215" t="s">
        <v>11</v>
      </c>
      <c r="D1215">
        <v>0</v>
      </c>
      <c r="E1215" s="2" t="s">
        <v>27</v>
      </c>
      <c r="F1215" s="2">
        <f t="shared" si="191"/>
        <v>2912.5</v>
      </c>
      <c r="G1215" s="3">
        <v>1</v>
      </c>
      <c r="H1215">
        <v>2376</v>
      </c>
      <c r="I1215">
        <v>914.9</v>
      </c>
      <c r="J1215">
        <v>18720</v>
      </c>
      <c r="K1215">
        <v>17880</v>
      </c>
      <c r="L1215" s="2">
        <v>27.130624999999998</v>
      </c>
      <c r="M1215" s="5">
        <v>193.64600000000002</v>
      </c>
      <c r="N1215" s="1">
        <v>358.93900000000002</v>
      </c>
      <c r="O1215" s="2">
        <v>39.1</v>
      </c>
      <c r="P1215">
        <v>289</v>
      </c>
    </row>
    <row r="1216" spans="1:16" x14ac:dyDescent="0.35">
      <c r="A1216" s="4">
        <v>44682</v>
      </c>
      <c r="B1216" t="s">
        <v>22</v>
      </c>
      <c r="C1216" t="s">
        <v>12</v>
      </c>
      <c r="D1216">
        <v>0</v>
      </c>
      <c r="E1216" s="2" t="s">
        <v>27</v>
      </c>
      <c r="F1216" s="2">
        <f t="shared" si="191"/>
        <v>2912.5</v>
      </c>
      <c r="G1216" s="3">
        <v>1</v>
      </c>
      <c r="H1216">
        <v>2376</v>
      </c>
      <c r="I1216">
        <v>914.9</v>
      </c>
      <c r="J1216">
        <v>18720</v>
      </c>
      <c r="K1216">
        <v>17880</v>
      </c>
      <c r="L1216" s="2">
        <v>27.130624999999998</v>
      </c>
      <c r="M1216" s="5">
        <v>193.64600000000002</v>
      </c>
      <c r="N1216" s="1">
        <v>358.93900000000002</v>
      </c>
      <c r="O1216" s="2">
        <v>39.1</v>
      </c>
      <c r="P1216">
        <v>289</v>
      </c>
    </row>
    <row r="1217" spans="1:16" x14ac:dyDescent="0.35">
      <c r="A1217" s="4">
        <v>44682</v>
      </c>
      <c r="B1217" t="s">
        <v>22</v>
      </c>
      <c r="C1217" t="s">
        <v>13</v>
      </c>
      <c r="D1217">
        <v>0</v>
      </c>
      <c r="E1217" s="2" t="s">
        <v>27</v>
      </c>
      <c r="F1217" s="2">
        <f t="shared" si="191"/>
        <v>2912.5</v>
      </c>
      <c r="G1217" s="3">
        <v>1</v>
      </c>
      <c r="H1217">
        <v>2376</v>
      </c>
      <c r="I1217">
        <v>914.9</v>
      </c>
      <c r="J1217">
        <v>18720</v>
      </c>
      <c r="K1217">
        <v>17880</v>
      </c>
      <c r="L1217" s="2">
        <v>27.130624999999998</v>
      </c>
      <c r="M1217" s="5">
        <v>193.64600000000002</v>
      </c>
      <c r="N1217" s="1">
        <v>358.93900000000002</v>
      </c>
      <c r="O1217" s="2">
        <v>39.1</v>
      </c>
      <c r="P1217">
        <v>289</v>
      </c>
    </row>
    <row r="1218" spans="1:16" x14ac:dyDescent="0.35">
      <c r="A1218" s="4">
        <v>44682</v>
      </c>
      <c r="B1218" t="s">
        <v>22</v>
      </c>
      <c r="C1218" t="s">
        <v>14</v>
      </c>
      <c r="D1218">
        <v>1</v>
      </c>
      <c r="E1218" s="2">
        <f>(2675+3000+3000+2975)/4</f>
        <v>2912.5</v>
      </c>
      <c r="F1218" s="2">
        <f>(2675+3000+3000+2975)/4</f>
        <v>2912.5</v>
      </c>
      <c r="G1218" s="3">
        <v>1</v>
      </c>
      <c r="H1218">
        <v>2376</v>
      </c>
      <c r="I1218">
        <v>914.9</v>
      </c>
      <c r="J1218">
        <v>18720</v>
      </c>
      <c r="K1218">
        <v>17880</v>
      </c>
      <c r="L1218" s="2">
        <v>27.130624999999998</v>
      </c>
      <c r="M1218" s="5">
        <v>193.64600000000002</v>
      </c>
      <c r="N1218" s="1">
        <v>358.93900000000002</v>
      </c>
      <c r="O1218" s="2">
        <v>39.1</v>
      </c>
      <c r="P1218">
        <v>289</v>
      </c>
    </row>
    <row r="1219" spans="1:16" x14ac:dyDescent="0.35">
      <c r="A1219" s="4">
        <v>44682</v>
      </c>
      <c r="B1219" t="s">
        <v>22</v>
      </c>
      <c r="C1219" t="s">
        <v>15</v>
      </c>
      <c r="D1219">
        <v>0</v>
      </c>
      <c r="E1219" s="2" t="s">
        <v>27</v>
      </c>
      <c r="F1219" s="2">
        <f>(2675+3000+3000+2975)/4</f>
        <v>2912.5</v>
      </c>
      <c r="G1219" s="3">
        <v>1</v>
      </c>
      <c r="H1219">
        <v>2376</v>
      </c>
      <c r="I1219">
        <v>914.9</v>
      </c>
      <c r="J1219">
        <v>18720</v>
      </c>
      <c r="K1219">
        <v>17880</v>
      </c>
      <c r="L1219" s="2">
        <v>27.130624999999998</v>
      </c>
      <c r="M1219" s="5">
        <v>193.64600000000002</v>
      </c>
      <c r="N1219" s="1">
        <v>358.93900000000002</v>
      </c>
      <c r="O1219" s="2">
        <v>39.1</v>
      </c>
      <c r="P1219">
        <v>289</v>
      </c>
    </row>
    <row r="1220" spans="1:16" x14ac:dyDescent="0.35">
      <c r="A1220" s="4">
        <v>44713</v>
      </c>
      <c r="B1220" t="s">
        <v>16</v>
      </c>
      <c r="C1220" t="s">
        <v>10</v>
      </c>
      <c r="D1220">
        <v>1</v>
      </c>
      <c r="E1220" s="2">
        <v>5025</v>
      </c>
      <c r="F1220" s="2">
        <f>(4900.75+4918.75+4836.25+4807.5)/4</f>
        <v>4865.8125</v>
      </c>
      <c r="G1220" s="3">
        <v>1</v>
      </c>
      <c r="H1220">
        <v>3564</v>
      </c>
      <c r="I1220">
        <v>914.9</v>
      </c>
      <c r="J1220">
        <v>12646</v>
      </c>
      <c r="K1220">
        <v>13410</v>
      </c>
      <c r="L1220" s="2">
        <v>26.522499999999994</v>
      </c>
      <c r="M1220" s="5">
        <v>86.710999999999999</v>
      </c>
      <c r="N1220" s="1">
        <v>360.24279999999999</v>
      </c>
      <c r="O1220" s="2">
        <v>54.6</v>
      </c>
      <c r="P1220">
        <v>430</v>
      </c>
    </row>
    <row r="1221" spans="1:16" x14ac:dyDescent="0.35">
      <c r="A1221" s="4">
        <v>44713</v>
      </c>
      <c r="B1221" t="s">
        <v>16</v>
      </c>
      <c r="C1221" t="s">
        <v>11</v>
      </c>
      <c r="D1221">
        <v>0</v>
      </c>
      <c r="E1221" s="2" t="s">
        <v>27</v>
      </c>
      <c r="F1221" s="2">
        <f t="shared" ref="F1221:F1225" si="192">(4900.75+4918.75+4836.25+4807.5)/4</f>
        <v>4865.8125</v>
      </c>
      <c r="G1221" s="3">
        <v>1</v>
      </c>
      <c r="H1221">
        <v>3564</v>
      </c>
      <c r="I1221">
        <v>914.9</v>
      </c>
      <c r="J1221">
        <v>12646</v>
      </c>
      <c r="K1221">
        <v>13410</v>
      </c>
      <c r="L1221" s="2">
        <v>26.522499999999994</v>
      </c>
      <c r="M1221" s="5">
        <v>86.710999999999999</v>
      </c>
      <c r="N1221" s="1">
        <v>360.24279999999999</v>
      </c>
      <c r="O1221" s="2">
        <v>54.6</v>
      </c>
      <c r="P1221">
        <v>430</v>
      </c>
    </row>
    <row r="1222" spans="1:16" x14ac:dyDescent="0.35">
      <c r="A1222" s="4">
        <v>44713</v>
      </c>
      <c r="B1222" t="s">
        <v>16</v>
      </c>
      <c r="C1222" t="s">
        <v>12</v>
      </c>
      <c r="D1222">
        <v>1</v>
      </c>
      <c r="E1222" s="2">
        <f>(4190+4000+3920+3930)/4</f>
        <v>4010</v>
      </c>
      <c r="F1222" s="2">
        <f t="shared" si="192"/>
        <v>4865.8125</v>
      </c>
      <c r="G1222" s="3">
        <v>1</v>
      </c>
      <c r="H1222">
        <v>3564</v>
      </c>
      <c r="I1222">
        <v>914.9</v>
      </c>
      <c r="J1222">
        <v>12646</v>
      </c>
      <c r="K1222">
        <v>13410</v>
      </c>
      <c r="L1222" s="2">
        <v>26.522499999999994</v>
      </c>
      <c r="M1222" s="5">
        <v>86.710999999999999</v>
      </c>
      <c r="N1222" s="1">
        <v>360.24279999999999</v>
      </c>
      <c r="O1222" s="2">
        <v>54.6</v>
      </c>
      <c r="P1222">
        <v>430</v>
      </c>
    </row>
    <row r="1223" spans="1:16" x14ac:dyDescent="0.35">
      <c r="A1223" s="4">
        <v>44713</v>
      </c>
      <c r="B1223" t="s">
        <v>16</v>
      </c>
      <c r="C1223" t="s">
        <v>13</v>
      </c>
      <c r="D1223">
        <v>1</v>
      </c>
      <c r="E1223" s="2">
        <v>5083.33</v>
      </c>
      <c r="F1223" s="2">
        <f t="shared" si="192"/>
        <v>4865.8125</v>
      </c>
      <c r="G1223" s="3">
        <v>1</v>
      </c>
      <c r="H1223">
        <v>3564</v>
      </c>
      <c r="I1223">
        <v>914.9</v>
      </c>
      <c r="J1223">
        <v>12646</v>
      </c>
      <c r="K1223">
        <v>13410</v>
      </c>
      <c r="L1223" s="2">
        <v>26.522499999999994</v>
      </c>
      <c r="M1223" s="5">
        <v>86.710999999999999</v>
      </c>
      <c r="N1223" s="1">
        <v>360.24279999999999</v>
      </c>
      <c r="O1223" s="2">
        <v>54.6</v>
      </c>
      <c r="P1223">
        <v>430</v>
      </c>
    </row>
    <row r="1224" spans="1:16" x14ac:dyDescent="0.35">
      <c r="A1224" s="4">
        <v>44713</v>
      </c>
      <c r="B1224" t="s">
        <v>16</v>
      </c>
      <c r="C1224" t="s">
        <v>14</v>
      </c>
      <c r="D1224">
        <v>1</v>
      </c>
      <c r="E1224" s="2">
        <v>5365.75</v>
      </c>
      <c r="F1224" s="2">
        <f t="shared" si="192"/>
        <v>4865.8125</v>
      </c>
      <c r="G1224" s="3">
        <v>1</v>
      </c>
      <c r="H1224">
        <v>3564</v>
      </c>
      <c r="I1224">
        <v>914.9</v>
      </c>
      <c r="J1224">
        <v>12646</v>
      </c>
      <c r="K1224">
        <v>13410</v>
      </c>
      <c r="L1224" s="2">
        <v>26.522499999999994</v>
      </c>
      <c r="M1224" s="5">
        <v>86.710999999999999</v>
      </c>
      <c r="N1224" s="1">
        <v>360.24279999999999</v>
      </c>
      <c r="O1224" s="2">
        <v>54.6</v>
      </c>
      <c r="P1224">
        <v>430</v>
      </c>
    </row>
    <row r="1225" spans="1:16" x14ac:dyDescent="0.35">
      <c r="A1225" s="4">
        <v>44713</v>
      </c>
      <c r="B1225" t="s">
        <v>16</v>
      </c>
      <c r="C1225" t="s">
        <v>15</v>
      </c>
      <c r="D1225">
        <v>0</v>
      </c>
      <c r="E1225" s="2" t="s">
        <v>27</v>
      </c>
      <c r="F1225" s="2">
        <f t="shared" si="192"/>
        <v>4865.8125</v>
      </c>
      <c r="G1225" s="3">
        <v>1</v>
      </c>
      <c r="H1225">
        <v>3564</v>
      </c>
      <c r="I1225">
        <v>914.9</v>
      </c>
      <c r="J1225">
        <v>12646</v>
      </c>
      <c r="K1225">
        <v>13410</v>
      </c>
      <c r="L1225" s="2">
        <v>26.522499999999994</v>
      </c>
      <c r="M1225" s="5">
        <v>86.710999999999999</v>
      </c>
      <c r="N1225" s="1">
        <v>360.24279999999999</v>
      </c>
      <c r="O1225" s="2">
        <v>54.6</v>
      </c>
      <c r="P1225">
        <v>430</v>
      </c>
    </row>
    <row r="1226" spans="1:16" x14ac:dyDescent="0.35">
      <c r="A1226" s="4">
        <v>44713</v>
      </c>
      <c r="B1226" t="s">
        <v>17</v>
      </c>
      <c r="C1226" t="s">
        <v>10</v>
      </c>
      <c r="D1226">
        <v>1</v>
      </c>
      <c r="E1226" s="2">
        <f>(4600+4633+4700+4716)/4</f>
        <v>4662.25</v>
      </c>
      <c r="F1226" s="2">
        <f>(4475.75+4510.6+4540.4+4556.2)/4</f>
        <v>4520.7375000000002</v>
      </c>
      <c r="G1226" s="3">
        <v>1</v>
      </c>
      <c r="H1226">
        <v>3564</v>
      </c>
      <c r="I1226">
        <v>914.9</v>
      </c>
      <c r="J1226">
        <v>12646</v>
      </c>
      <c r="K1226">
        <v>13410</v>
      </c>
      <c r="L1226" s="2">
        <v>26.522499999999994</v>
      </c>
      <c r="M1226" s="5">
        <v>86.710999999999999</v>
      </c>
      <c r="N1226" s="1">
        <v>360.24279999999999</v>
      </c>
      <c r="O1226" s="2">
        <v>54.6</v>
      </c>
      <c r="P1226">
        <v>430</v>
      </c>
    </row>
    <row r="1227" spans="1:16" x14ac:dyDescent="0.35">
      <c r="A1227" s="4">
        <v>44713</v>
      </c>
      <c r="B1227" t="s">
        <v>17</v>
      </c>
      <c r="C1227" t="s">
        <v>11</v>
      </c>
      <c r="D1227">
        <v>1</v>
      </c>
      <c r="E1227" s="2">
        <v>4600</v>
      </c>
      <c r="F1227" s="2">
        <f t="shared" ref="F1227:F1231" si="193">(4475.75+4510.6+4540.4+4556.2)/4</f>
        <v>4520.7375000000002</v>
      </c>
      <c r="G1227" s="3">
        <v>1</v>
      </c>
      <c r="H1227">
        <v>3564</v>
      </c>
      <c r="I1227">
        <v>914.9</v>
      </c>
      <c r="J1227">
        <v>12646</v>
      </c>
      <c r="K1227">
        <v>13410</v>
      </c>
      <c r="L1227" s="2">
        <v>26.522499999999994</v>
      </c>
      <c r="M1227" s="5">
        <v>86.710999999999999</v>
      </c>
      <c r="N1227" s="1">
        <v>360.24279999999999</v>
      </c>
      <c r="O1227" s="2">
        <v>54.6</v>
      </c>
      <c r="P1227">
        <v>430</v>
      </c>
    </row>
    <row r="1228" spans="1:16" x14ac:dyDescent="0.35">
      <c r="A1228" s="4">
        <v>44713</v>
      </c>
      <c r="B1228" t="s">
        <v>17</v>
      </c>
      <c r="C1228" t="s">
        <v>12</v>
      </c>
      <c r="D1228">
        <v>1</v>
      </c>
      <c r="E1228" s="2">
        <f>(3935+3965+3770*2)/4</f>
        <v>3860</v>
      </c>
      <c r="F1228" s="2">
        <f t="shared" si="193"/>
        <v>4520.7375000000002</v>
      </c>
      <c r="G1228" s="3">
        <v>1</v>
      </c>
      <c r="H1228">
        <v>3564</v>
      </c>
      <c r="I1228">
        <v>914.9</v>
      </c>
      <c r="J1228">
        <v>12646</v>
      </c>
      <c r="K1228">
        <v>13410</v>
      </c>
      <c r="L1228" s="2">
        <v>26.522499999999994</v>
      </c>
      <c r="M1228" s="5">
        <v>86.710999999999999</v>
      </c>
      <c r="N1228" s="1">
        <v>360.24279999999999</v>
      </c>
      <c r="O1228" s="2">
        <v>54.6</v>
      </c>
      <c r="P1228">
        <v>430</v>
      </c>
    </row>
    <row r="1229" spans="1:16" x14ac:dyDescent="0.35">
      <c r="A1229" s="4">
        <v>44713</v>
      </c>
      <c r="B1229" t="s">
        <v>17</v>
      </c>
      <c r="C1229" t="s">
        <v>13</v>
      </c>
      <c r="D1229">
        <v>1</v>
      </c>
      <c r="E1229" s="2">
        <f>(4600+4750+9000)/4</f>
        <v>4587.5</v>
      </c>
      <c r="F1229" s="2">
        <f t="shared" si="193"/>
        <v>4520.7375000000002</v>
      </c>
      <c r="G1229" s="3">
        <v>1</v>
      </c>
      <c r="H1229">
        <v>3564</v>
      </c>
      <c r="I1229">
        <v>914.9</v>
      </c>
      <c r="J1229">
        <v>12646</v>
      </c>
      <c r="K1229">
        <v>13410</v>
      </c>
      <c r="L1229" s="2">
        <v>26.522499999999994</v>
      </c>
      <c r="M1229" s="5">
        <v>86.710999999999999</v>
      </c>
      <c r="N1229" s="1">
        <v>360.24279999999999</v>
      </c>
      <c r="O1229" s="2">
        <v>54.6</v>
      </c>
      <c r="P1229">
        <v>430</v>
      </c>
    </row>
    <row r="1230" spans="1:16" x14ac:dyDescent="0.35">
      <c r="A1230" s="4">
        <v>44713</v>
      </c>
      <c r="B1230" t="s">
        <v>17</v>
      </c>
      <c r="C1230" t="s">
        <v>14</v>
      </c>
      <c r="D1230">
        <v>1</v>
      </c>
      <c r="E1230" s="2">
        <f>(4900+4967+4933+4900)/4</f>
        <v>4925</v>
      </c>
      <c r="F1230" s="2">
        <f t="shared" si="193"/>
        <v>4520.7375000000002</v>
      </c>
      <c r="G1230" s="3">
        <v>1</v>
      </c>
      <c r="H1230">
        <v>3564</v>
      </c>
      <c r="I1230">
        <v>914.9</v>
      </c>
      <c r="J1230">
        <v>12646</v>
      </c>
      <c r="K1230">
        <v>13410</v>
      </c>
      <c r="L1230" s="2">
        <v>26.522499999999994</v>
      </c>
      <c r="M1230" s="5">
        <v>86.710999999999999</v>
      </c>
      <c r="N1230" s="1">
        <v>360.24279999999999</v>
      </c>
      <c r="O1230" s="2">
        <v>54.6</v>
      </c>
      <c r="P1230">
        <v>430</v>
      </c>
    </row>
    <row r="1231" spans="1:16" x14ac:dyDescent="0.35">
      <c r="A1231" s="4">
        <v>44713</v>
      </c>
      <c r="B1231" t="s">
        <v>17</v>
      </c>
      <c r="C1231" t="s">
        <v>15</v>
      </c>
      <c r="D1231">
        <v>0</v>
      </c>
      <c r="E1231" s="2" t="s">
        <v>27</v>
      </c>
      <c r="F1231" s="2">
        <f t="shared" si="193"/>
        <v>4520.7375000000002</v>
      </c>
      <c r="G1231" s="3">
        <v>1</v>
      </c>
      <c r="H1231">
        <v>3564</v>
      </c>
      <c r="I1231">
        <v>914.9</v>
      </c>
      <c r="J1231">
        <v>12646</v>
      </c>
      <c r="K1231">
        <v>13410</v>
      </c>
      <c r="L1231" s="2">
        <v>26.522499999999994</v>
      </c>
      <c r="M1231" s="5">
        <v>86.710999999999999</v>
      </c>
      <c r="N1231" s="1">
        <v>360.24279999999999</v>
      </c>
      <c r="O1231" s="2">
        <v>54.6</v>
      </c>
      <c r="P1231">
        <v>430</v>
      </c>
    </row>
    <row r="1232" spans="1:16" x14ac:dyDescent="0.35">
      <c r="A1232" s="4">
        <v>44713</v>
      </c>
      <c r="B1232" t="s">
        <v>18</v>
      </c>
      <c r="C1232" t="s">
        <v>10</v>
      </c>
      <c r="D1232">
        <v>1</v>
      </c>
      <c r="E1232" s="2">
        <f>(4416+4300+4183+4533)/4</f>
        <v>4358</v>
      </c>
      <c r="F1232" s="2">
        <f>(4110.43+4097.17+4018.86+4118.14)/4</f>
        <v>4086.1500000000005</v>
      </c>
      <c r="G1232" s="3">
        <v>1</v>
      </c>
      <c r="H1232">
        <v>3564</v>
      </c>
      <c r="I1232">
        <v>914.9</v>
      </c>
      <c r="J1232">
        <v>12646</v>
      </c>
      <c r="K1232">
        <v>13410</v>
      </c>
      <c r="L1232" s="2">
        <v>26.522499999999994</v>
      </c>
      <c r="M1232" s="5">
        <v>86.710999999999999</v>
      </c>
      <c r="N1232" s="1">
        <v>360.24279999999999</v>
      </c>
      <c r="O1232" s="2">
        <v>54.6</v>
      </c>
      <c r="P1232">
        <v>430</v>
      </c>
    </row>
    <row r="1233" spans="1:16" x14ac:dyDescent="0.35">
      <c r="A1233" s="4">
        <v>44713</v>
      </c>
      <c r="B1233" t="s">
        <v>18</v>
      </c>
      <c r="C1233" t="s">
        <v>11</v>
      </c>
      <c r="D1233">
        <v>1</v>
      </c>
      <c r="E1233" s="2">
        <v>4333.33</v>
      </c>
      <c r="F1233" s="2">
        <f t="shared" ref="F1233:F1237" si="194">(4110.43+4097.17+4018.86+4118.14)/4</f>
        <v>4086.1500000000005</v>
      </c>
      <c r="G1233" s="3">
        <v>1</v>
      </c>
      <c r="H1233">
        <v>3564</v>
      </c>
      <c r="I1233">
        <v>914.9</v>
      </c>
      <c r="J1233">
        <v>12646</v>
      </c>
      <c r="K1233">
        <v>13410</v>
      </c>
      <c r="L1233" s="2">
        <v>26.522499999999994</v>
      </c>
      <c r="M1233" s="5">
        <v>86.710999999999999</v>
      </c>
      <c r="N1233" s="1">
        <v>360.24279999999999</v>
      </c>
      <c r="O1233" s="2">
        <v>54.6</v>
      </c>
      <c r="P1233">
        <v>430</v>
      </c>
    </row>
    <row r="1234" spans="1:16" x14ac:dyDescent="0.35">
      <c r="A1234" s="4">
        <v>44713</v>
      </c>
      <c r="B1234" t="s">
        <v>18</v>
      </c>
      <c r="C1234" t="s">
        <v>12</v>
      </c>
      <c r="D1234">
        <v>1</v>
      </c>
      <c r="E1234" s="2">
        <f>(3650*2+3785+3890)/4</f>
        <v>3743.75</v>
      </c>
      <c r="F1234" s="2">
        <f t="shared" si="194"/>
        <v>4086.1500000000005</v>
      </c>
      <c r="G1234" s="3">
        <v>1</v>
      </c>
      <c r="H1234">
        <v>3564</v>
      </c>
      <c r="I1234">
        <v>914.9</v>
      </c>
      <c r="J1234">
        <v>12646</v>
      </c>
      <c r="K1234">
        <v>13410</v>
      </c>
      <c r="L1234" s="2">
        <v>26.522499999999994</v>
      </c>
      <c r="M1234" s="5">
        <v>86.710999999999999</v>
      </c>
      <c r="N1234" s="1">
        <v>360.24279999999999</v>
      </c>
      <c r="O1234" s="2">
        <v>54.6</v>
      </c>
      <c r="P1234">
        <v>430</v>
      </c>
    </row>
    <row r="1235" spans="1:16" x14ac:dyDescent="0.35">
      <c r="A1235" s="4">
        <v>44713</v>
      </c>
      <c r="B1235" t="s">
        <v>18</v>
      </c>
      <c r="C1235" t="s">
        <v>13</v>
      </c>
      <c r="D1235">
        <v>1</v>
      </c>
      <c r="E1235" s="2">
        <f>(4200+4280+4450+4300)/4</f>
        <v>4307.5</v>
      </c>
      <c r="F1235" s="2">
        <f t="shared" si="194"/>
        <v>4086.1500000000005</v>
      </c>
      <c r="G1235" s="3">
        <v>1</v>
      </c>
      <c r="H1235">
        <v>3564</v>
      </c>
      <c r="I1235">
        <v>914.9</v>
      </c>
      <c r="J1235">
        <v>12646</v>
      </c>
      <c r="K1235">
        <v>13410</v>
      </c>
      <c r="L1235" s="2">
        <v>26.522499999999994</v>
      </c>
      <c r="M1235" s="5">
        <v>86.710999999999999</v>
      </c>
      <c r="N1235" s="1">
        <v>360.24279999999999</v>
      </c>
      <c r="O1235" s="2">
        <v>54.6</v>
      </c>
      <c r="P1235">
        <v>430</v>
      </c>
    </row>
    <row r="1236" spans="1:16" x14ac:dyDescent="0.35">
      <c r="A1236" s="4">
        <v>44713</v>
      </c>
      <c r="B1236" t="s">
        <v>18</v>
      </c>
      <c r="C1236" t="s">
        <v>14</v>
      </c>
      <c r="D1236">
        <v>1</v>
      </c>
      <c r="E1236" s="2">
        <f>(4350+4600+4467+4338)/4</f>
        <v>4438.75</v>
      </c>
      <c r="F1236" s="2">
        <f t="shared" si="194"/>
        <v>4086.1500000000005</v>
      </c>
      <c r="G1236" s="3">
        <v>1</v>
      </c>
      <c r="H1236">
        <v>3564</v>
      </c>
      <c r="I1236">
        <v>914.9</v>
      </c>
      <c r="J1236">
        <v>12646</v>
      </c>
      <c r="K1236">
        <v>13410</v>
      </c>
      <c r="L1236" s="2">
        <v>26.522499999999994</v>
      </c>
      <c r="M1236" s="5">
        <v>86.710999999999999</v>
      </c>
      <c r="N1236" s="1">
        <v>360.24279999999999</v>
      </c>
      <c r="O1236" s="2">
        <v>54.6</v>
      </c>
      <c r="P1236">
        <v>430</v>
      </c>
    </row>
    <row r="1237" spans="1:16" x14ac:dyDescent="0.35">
      <c r="A1237" s="4">
        <v>44713</v>
      </c>
      <c r="B1237" t="s">
        <v>18</v>
      </c>
      <c r="C1237" t="s">
        <v>15</v>
      </c>
      <c r="D1237">
        <v>1</v>
      </c>
      <c r="E1237" s="2">
        <v>4262.5</v>
      </c>
      <c r="F1237" s="2">
        <f t="shared" si="194"/>
        <v>4086.1500000000005</v>
      </c>
      <c r="G1237" s="3">
        <v>1</v>
      </c>
      <c r="H1237">
        <v>3564</v>
      </c>
      <c r="I1237">
        <v>914.9</v>
      </c>
      <c r="J1237">
        <v>12646</v>
      </c>
      <c r="K1237">
        <v>13410</v>
      </c>
      <c r="L1237" s="2">
        <v>26.522499999999994</v>
      </c>
      <c r="M1237" s="5">
        <v>86.710999999999999</v>
      </c>
      <c r="N1237" s="1">
        <v>360.24279999999999</v>
      </c>
      <c r="O1237" s="2">
        <v>54.6</v>
      </c>
      <c r="P1237">
        <v>430</v>
      </c>
    </row>
    <row r="1238" spans="1:16" x14ac:dyDescent="0.35">
      <c r="A1238" s="4">
        <v>44713</v>
      </c>
      <c r="B1238" t="s">
        <v>19</v>
      </c>
      <c r="C1238" t="s">
        <v>10</v>
      </c>
      <c r="D1238">
        <v>1</v>
      </c>
      <c r="E1238" s="2">
        <f>(4050*2+3850+4100)/4</f>
        <v>4012.5</v>
      </c>
      <c r="F1238" s="2">
        <f>(3786.86+3844.43+3834.29+3766.67)/4</f>
        <v>3808.0625</v>
      </c>
      <c r="G1238" s="3">
        <v>1</v>
      </c>
      <c r="H1238">
        <v>3564</v>
      </c>
      <c r="I1238">
        <v>914.9</v>
      </c>
      <c r="J1238">
        <v>12646</v>
      </c>
      <c r="K1238">
        <v>13410</v>
      </c>
      <c r="L1238" s="2">
        <v>26.522499999999994</v>
      </c>
      <c r="M1238" s="5">
        <v>86.710999999999999</v>
      </c>
      <c r="N1238" s="1">
        <v>360.24279999999999</v>
      </c>
      <c r="O1238" s="2">
        <v>54.6</v>
      </c>
      <c r="P1238">
        <v>430</v>
      </c>
    </row>
    <row r="1239" spans="1:16" x14ac:dyDescent="0.35">
      <c r="A1239" s="4">
        <v>44713</v>
      </c>
      <c r="B1239" t="s">
        <v>19</v>
      </c>
      <c r="C1239" t="s">
        <v>11</v>
      </c>
      <c r="D1239">
        <v>1</v>
      </c>
      <c r="E1239" s="2">
        <v>4100</v>
      </c>
      <c r="F1239" s="2">
        <f t="shared" ref="F1239:F1243" si="195">(3786.86+3844.43+3834.29+3766.67)/4</f>
        <v>3808.0625</v>
      </c>
      <c r="G1239" s="3">
        <v>1</v>
      </c>
      <c r="H1239">
        <v>3564</v>
      </c>
      <c r="I1239">
        <v>914.9</v>
      </c>
      <c r="J1239">
        <v>12646</v>
      </c>
      <c r="K1239">
        <v>13410</v>
      </c>
      <c r="L1239" s="2">
        <v>26.522499999999994</v>
      </c>
      <c r="M1239" s="5">
        <v>86.710999999999999</v>
      </c>
      <c r="N1239" s="1">
        <v>360.24279999999999</v>
      </c>
      <c r="O1239" s="2">
        <v>54.6</v>
      </c>
      <c r="P1239">
        <v>430</v>
      </c>
    </row>
    <row r="1240" spans="1:16" x14ac:dyDescent="0.35">
      <c r="A1240" s="4">
        <v>44713</v>
      </c>
      <c r="B1240" t="s">
        <v>19</v>
      </c>
      <c r="C1240" t="s">
        <v>12</v>
      </c>
      <c r="D1240">
        <v>1</v>
      </c>
      <c r="E1240" s="2">
        <f>(3670+3590+3465*2)/4</f>
        <v>3547.5</v>
      </c>
      <c r="F1240" s="2">
        <f t="shared" si="195"/>
        <v>3808.0625</v>
      </c>
      <c r="G1240" s="3">
        <v>1</v>
      </c>
      <c r="H1240">
        <v>3564</v>
      </c>
      <c r="I1240">
        <v>914.9</v>
      </c>
      <c r="J1240">
        <v>12646</v>
      </c>
      <c r="K1240">
        <v>13410</v>
      </c>
      <c r="L1240" s="2">
        <v>26.522499999999994</v>
      </c>
      <c r="M1240" s="5">
        <v>86.710999999999999</v>
      </c>
      <c r="N1240" s="1">
        <v>360.24279999999999</v>
      </c>
      <c r="O1240" s="2">
        <v>54.6</v>
      </c>
      <c r="P1240">
        <v>430</v>
      </c>
    </row>
    <row r="1241" spans="1:16" x14ac:dyDescent="0.35">
      <c r="A1241" s="4">
        <v>44713</v>
      </c>
      <c r="B1241" t="s">
        <v>19</v>
      </c>
      <c r="C1241" t="s">
        <v>13</v>
      </c>
      <c r="D1241">
        <v>1</v>
      </c>
      <c r="E1241" s="2">
        <f>(4125+4275+4050+4025)/4</f>
        <v>4118.75</v>
      </c>
      <c r="F1241" s="2">
        <f t="shared" si="195"/>
        <v>3808.0625</v>
      </c>
      <c r="G1241" s="3">
        <v>1</v>
      </c>
      <c r="H1241">
        <v>3564</v>
      </c>
      <c r="I1241">
        <v>914.9</v>
      </c>
      <c r="J1241">
        <v>12646</v>
      </c>
      <c r="K1241">
        <v>13410</v>
      </c>
      <c r="L1241" s="2">
        <v>26.522499999999994</v>
      </c>
      <c r="M1241" s="5">
        <v>86.710999999999999</v>
      </c>
      <c r="N1241" s="1">
        <v>360.24279999999999</v>
      </c>
      <c r="O1241" s="2">
        <v>54.6</v>
      </c>
      <c r="P1241">
        <v>430</v>
      </c>
    </row>
    <row r="1242" spans="1:16" x14ac:dyDescent="0.35">
      <c r="A1242" s="4">
        <v>44713</v>
      </c>
      <c r="B1242" t="s">
        <v>19</v>
      </c>
      <c r="C1242" t="s">
        <v>14</v>
      </c>
      <c r="D1242">
        <v>1</v>
      </c>
      <c r="E1242" s="2">
        <f>(4125+4193+4250+4220)/4</f>
        <v>4197</v>
      </c>
      <c r="F1242" s="2">
        <f t="shared" si="195"/>
        <v>3808.0625</v>
      </c>
      <c r="G1242" s="3">
        <v>1</v>
      </c>
      <c r="H1242">
        <v>3564</v>
      </c>
      <c r="I1242">
        <v>914.9</v>
      </c>
      <c r="J1242">
        <v>12646</v>
      </c>
      <c r="K1242">
        <v>13410</v>
      </c>
      <c r="L1242" s="2">
        <v>26.522499999999994</v>
      </c>
      <c r="M1242" s="5">
        <v>86.710999999999999</v>
      </c>
      <c r="N1242" s="1">
        <v>360.24279999999999</v>
      </c>
      <c r="O1242" s="2">
        <v>54.6</v>
      </c>
      <c r="P1242">
        <v>430</v>
      </c>
    </row>
    <row r="1243" spans="1:16" x14ac:dyDescent="0.35">
      <c r="A1243" s="4">
        <v>44713</v>
      </c>
      <c r="B1243" t="s">
        <v>19</v>
      </c>
      <c r="C1243" t="s">
        <v>15</v>
      </c>
      <c r="D1243">
        <v>1</v>
      </c>
      <c r="E1243" s="2">
        <f>(4150+4250+4175+4075)/4</f>
        <v>4162.5</v>
      </c>
      <c r="F1243" s="2">
        <f t="shared" si="195"/>
        <v>3808.0625</v>
      </c>
      <c r="G1243" s="3">
        <v>1</v>
      </c>
      <c r="H1243">
        <v>3564</v>
      </c>
      <c r="I1243">
        <v>914.9</v>
      </c>
      <c r="J1243">
        <v>12646</v>
      </c>
      <c r="K1243">
        <v>13410</v>
      </c>
      <c r="L1243" s="2">
        <v>26.522499999999994</v>
      </c>
      <c r="M1243" s="5">
        <v>86.710999999999999</v>
      </c>
      <c r="N1243" s="1">
        <v>360.24279999999999</v>
      </c>
      <c r="O1243" s="2">
        <v>54.6</v>
      </c>
      <c r="P1243">
        <v>430</v>
      </c>
    </row>
    <row r="1244" spans="1:16" x14ac:dyDescent="0.35">
      <c r="A1244" s="4">
        <v>44713</v>
      </c>
      <c r="B1244" t="s">
        <v>20</v>
      </c>
      <c r="C1244" t="s">
        <v>10</v>
      </c>
      <c r="D1244">
        <v>1</v>
      </c>
      <c r="E1244" s="2">
        <f>(3016+3450*2+3400)/4</f>
        <v>3329</v>
      </c>
      <c r="F1244" s="2">
        <f>(3546.43+3436.14+3505+3546.43)/4</f>
        <v>3508.5</v>
      </c>
      <c r="G1244" s="3">
        <v>1</v>
      </c>
      <c r="H1244">
        <v>3564</v>
      </c>
      <c r="I1244">
        <v>914.9</v>
      </c>
      <c r="J1244">
        <v>12646</v>
      </c>
      <c r="K1244">
        <v>13410</v>
      </c>
      <c r="L1244" s="2">
        <v>26.522499999999994</v>
      </c>
      <c r="M1244" s="5">
        <v>86.710999999999999</v>
      </c>
      <c r="N1244" s="1">
        <v>360.24279999999999</v>
      </c>
      <c r="O1244" s="2">
        <v>54.6</v>
      </c>
      <c r="P1244">
        <v>430</v>
      </c>
    </row>
    <row r="1245" spans="1:16" x14ac:dyDescent="0.35">
      <c r="A1245" s="4">
        <v>44713</v>
      </c>
      <c r="B1245" t="s">
        <v>20</v>
      </c>
      <c r="C1245" t="s">
        <v>11</v>
      </c>
      <c r="D1245">
        <v>1</v>
      </c>
      <c r="E1245" s="2">
        <v>3750</v>
      </c>
      <c r="F1245" s="2">
        <f t="shared" ref="F1245:F1249" si="196">(3546.43+3436.14+3505+3546.43)/4</f>
        <v>3508.5</v>
      </c>
      <c r="G1245" s="3">
        <v>1</v>
      </c>
      <c r="H1245">
        <v>3564</v>
      </c>
      <c r="I1245">
        <v>914.9</v>
      </c>
      <c r="J1245">
        <v>12646</v>
      </c>
      <c r="K1245">
        <v>13410</v>
      </c>
      <c r="L1245" s="2">
        <v>26.522499999999994</v>
      </c>
      <c r="M1245" s="5">
        <v>86.710999999999999</v>
      </c>
      <c r="N1245" s="1">
        <v>360.24279999999999</v>
      </c>
      <c r="O1245" s="2">
        <v>54.6</v>
      </c>
      <c r="P1245">
        <v>430</v>
      </c>
    </row>
    <row r="1246" spans="1:16" x14ac:dyDescent="0.35">
      <c r="A1246" s="4">
        <v>44713</v>
      </c>
      <c r="B1246" t="s">
        <v>20</v>
      </c>
      <c r="C1246" t="s">
        <v>12</v>
      </c>
      <c r="D1246">
        <v>1</v>
      </c>
      <c r="E1246" s="2">
        <f>(2465*2+2665+2585)/4</f>
        <v>2545</v>
      </c>
      <c r="F1246" s="2">
        <f t="shared" si="196"/>
        <v>3508.5</v>
      </c>
      <c r="G1246" s="3">
        <v>1</v>
      </c>
      <c r="H1246">
        <v>3564</v>
      </c>
      <c r="I1246">
        <v>914.9</v>
      </c>
      <c r="J1246">
        <v>12646</v>
      </c>
      <c r="K1246">
        <v>13410</v>
      </c>
      <c r="L1246" s="2">
        <v>26.522499999999994</v>
      </c>
      <c r="M1246" s="5">
        <v>86.710999999999999</v>
      </c>
      <c r="N1246" s="1">
        <v>360.24279999999999</v>
      </c>
      <c r="O1246" s="2">
        <v>54.6</v>
      </c>
      <c r="P1246">
        <v>430</v>
      </c>
    </row>
    <row r="1247" spans="1:16" x14ac:dyDescent="0.35">
      <c r="A1247" s="4">
        <v>44713</v>
      </c>
      <c r="B1247" t="s">
        <v>20</v>
      </c>
      <c r="C1247" t="s">
        <v>13</v>
      </c>
      <c r="D1247">
        <v>1</v>
      </c>
      <c r="E1247" s="2">
        <f>(4000+3950*2+3850)/4</f>
        <v>3937.5</v>
      </c>
      <c r="F1247" s="2">
        <f t="shared" si="196"/>
        <v>3508.5</v>
      </c>
      <c r="G1247" s="3">
        <v>1</v>
      </c>
      <c r="H1247">
        <v>3564</v>
      </c>
      <c r="I1247">
        <v>914.9</v>
      </c>
      <c r="J1247">
        <v>12646</v>
      </c>
      <c r="K1247">
        <v>13410</v>
      </c>
      <c r="L1247" s="2">
        <v>26.522499999999994</v>
      </c>
      <c r="M1247" s="5">
        <v>86.710999999999999</v>
      </c>
      <c r="N1247" s="1">
        <v>360.24279999999999</v>
      </c>
      <c r="O1247" s="2">
        <v>54.6</v>
      </c>
      <c r="P1247">
        <v>430</v>
      </c>
    </row>
    <row r="1248" spans="1:16" x14ac:dyDescent="0.35">
      <c r="A1248" s="4">
        <v>44713</v>
      </c>
      <c r="B1248" t="s">
        <v>20</v>
      </c>
      <c r="C1248" t="s">
        <v>14</v>
      </c>
      <c r="D1248">
        <v>1</v>
      </c>
      <c r="E1248" s="2">
        <f>(3960+3875+3813+3883)/4</f>
        <v>3882.75</v>
      </c>
      <c r="F1248" s="2">
        <f t="shared" si="196"/>
        <v>3508.5</v>
      </c>
      <c r="G1248" s="3">
        <v>1</v>
      </c>
      <c r="H1248">
        <v>3564</v>
      </c>
      <c r="I1248">
        <v>914.9</v>
      </c>
      <c r="J1248">
        <v>12646</v>
      </c>
      <c r="K1248">
        <v>13410</v>
      </c>
      <c r="L1248" s="2">
        <v>26.522499999999994</v>
      </c>
      <c r="M1248" s="5">
        <v>86.710999999999999</v>
      </c>
      <c r="N1248" s="1">
        <v>360.24279999999999</v>
      </c>
      <c r="O1248" s="2">
        <v>54.6</v>
      </c>
      <c r="P1248">
        <v>430</v>
      </c>
    </row>
    <row r="1249" spans="1:16" x14ac:dyDescent="0.35">
      <c r="A1249" s="4">
        <v>44713</v>
      </c>
      <c r="B1249" t="s">
        <v>20</v>
      </c>
      <c r="C1249" t="s">
        <v>15</v>
      </c>
      <c r="D1249">
        <v>1</v>
      </c>
      <c r="E1249" s="2">
        <f>(3900+3875+3975+3900)/4</f>
        <v>3912.5</v>
      </c>
      <c r="F1249" s="2">
        <f t="shared" si="196"/>
        <v>3508.5</v>
      </c>
      <c r="G1249" s="3">
        <v>1</v>
      </c>
      <c r="H1249">
        <v>3564</v>
      </c>
      <c r="I1249">
        <v>914.9</v>
      </c>
      <c r="J1249">
        <v>12646</v>
      </c>
      <c r="K1249">
        <v>13410</v>
      </c>
      <c r="L1249" s="2">
        <v>26.522499999999994</v>
      </c>
      <c r="M1249" s="5">
        <v>86.710999999999999</v>
      </c>
      <c r="N1249" s="1">
        <v>360.24279999999999</v>
      </c>
      <c r="O1249" s="2">
        <v>54.6</v>
      </c>
      <c r="P1249">
        <v>430</v>
      </c>
    </row>
    <row r="1250" spans="1:16" x14ac:dyDescent="0.35">
      <c r="A1250" s="4">
        <v>44713</v>
      </c>
      <c r="B1250" t="s">
        <v>21</v>
      </c>
      <c r="C1250" t="s">
        <v>10</v>
      </c>
      <c r="D1250">
        <v>1</v>
      </c>
      <c r="E1250" s="2">
        <f>(2800+3000+2966+2633)/4</f>
        <v>2849.75</v>
      </c>
      <c r="F1250" s="2">
        <f>(3275.86+3235.71+3160.43+3060.83)/4</f>
        <v>3183.2075</v>
      </c>
      <c r="G1250" s="3">
        <v>1</v>
      </c>
      <c r="H1250">
        <v>3564</v>
      </c>
      <c r="I1250">
        <v>914.9</v>
      </c>
      <c r="J1250">
        <v>12646</v>
      </c>
      <c r="K1250">
        <v>13410</v>
      </c>
      <c r="L1250" s="2">
        <v>26.522499999999994</v>
      </c>
      <c r="M1250" s="5">
        <v>86.710999999999999</v>
      </c>
      <c r="N1250" s="1">
        <v>360.24279999999999</v>
      </c>
      <c r="O1250" s="2">
        <v>54.6</v>
      </c>
      <c r="P1250">
        <v>430</v>
      </c>
    </row>
    <row r="1251" spans="1:16" x14ac:dyDescent="0.35">
      <c r="A1251" s="4">
        <v>44713</v>
      </c>
      <c r="B1251" t="s">
        <v>21</v>
      </c>
      <c r="C1251" t="s">
        <v>11</v>
      </c>
      <c r="D1251">
        <v>1</v>
      </c>
      <c r="E1251" s="2">
        <v>3600</v>
      </c>
      <c r="F1251" s="2">
        <f t="shared" ref="F1251:F1255" si="197">(3275.86+3235.71+3160.43+3060.83)/4</f>
        <v>3183.2075</v>
      </c>
      <c r="G1251" s="3">
        <v>1</v>
      </c>
      <c r="H1251">
        <v>3564</v>
      </c>
      <c r="I1251">
        <v>914.9</v>
      </c>
      <c r="J1251">
        <v>12646</v>
      </c>
      <c r="K1251">
        <v>13410</v>
      </c>
      <c r="L1251" s="2">
        <v>26.522499999999994</v>
      </c>
      <c r="M1251" s="5">
        <v>86.710999999999999</v>
      </c>
      <c r="N1251" s="1">
        <v>360.24279999999999</v>
      </c>
      <c r="O1251" s="2">
        <v>54.6</v>
      </c>
      <c r="P1251">
        <v>430</v>
      </c>
    </row>
    <row r="1252" spans="1:16" x14ac:dyDescent="0.35">
      <c r="A1252" s="4">
        <v>44713</v>
      </c>
      <c r="B1252" t="s">
        <v>21</v>
      </c>
      <c r="C1252" t="s">
        <v>12</v>
      </c>
      <c r="D1252">
        <v>1</v>
      </c>
      <c r="E1252" s="2">
        <v>2050</v>
      </c>
      <c r="F1252" s="2">
        <f t="shared" si="197"/>
        <v>3183.2075</v>
      </c>
      <c r="G1252" s="3">
        <v>1</v>
      </c>
      <c r="H1252">
        <v>3564</v>
      </c>
      <c r="I1252">
        <v>914.9</v>
      </c>
      <c r="J1252">
        <v>12646</v>
      </c>
      <c r="K1252">
        <v>13410</v>
      </c>
      <c r="L1252" s="2">
        <v>26.522499999999994</v>
      </c>
      <c r="M1252" s="5">
        <v>86.710999999999999</v>
      </c>
      <c r="N1252" s="1">
        <v>360.24279999999999</v>
      </c>
      <c r="O1252" s="2">
        <v>54.6</v>
      </c>
      <c r="P1252">
        <v>430</v>
      </c>
    </row>
    <row r="1253" spans="1:16" x14ac:dyDescent="0.35">
      <c r="A1253" s="4">
        <v>44713</v>
      </c>
      <c r="B1253" t="s">
        <v>21</v>
      </c>
      <c r="C1253" t="s">
        <v>13</v>
      </c>
      <c r="D1253">
        <v>1</v>
      </c>
      <c r="E1253" s="2">
        <f>(3550+3800+3850+3875)/4</f>
        <v>3768.75</v>
      </c>
      <c r="F1253" s="2">
        <f t="shared" si="197"/>
        <v>3183.2075</v>
      </c>
      <c r="G1253" s="3">
        <v>1</v>
      </c>
      <c r="H1253">
        <v>3564</v>
      </c>
      <c r="I1253">
        <v>914.9</v>
      </c>
      <c r="J1253">
        <v>12646</v>
      </c>
      <c r="K1253">
        <v>13410</v>
      </c>
      <c r="L1253" s="2">
        <v>26.522499999999994</v>
      </c>
      <c r="M1253" s="5">
        <v>86.710999999999999</v>
      </c>
      <c r="N1253" s="1">
        <v>360.24279999999999</v>
      </c>
      <c r="O1253" s="2">
        <v>54.6</v>
      </c>
      <c r="P1253">
        <v>430</v>
      </c>
    </row>
    <row r="1254" spans="1:16" x14ac:dyDescent="0.35">
      <c r="A1254" s="4">
        <v>44713</v>
      </c>
      <c r="B1254" t="s">
        <v>21</v>
      </c>
      <c r="C1254" t="s">
        <v>14</v>
      </c>
      <c r="D1254">
        <v>1</v>
      </c>
      <c r="E1254" s="2">
        <f>(3871+3725+3657+3707)/4</f>
        <v>3740</v>
      </c>
      <c r="F1254" s="2">
        <f t="shared" si="197"/>
        <v>3183.2075</v>
      </c>
      <c r="G1254" s="3">
        <v>1</v>
      </c>
      <c r="H1254">
        <v>3564</v>
      </c>
      <c r="I1254">
        <v>914.9</v>
      </c>
      <c r="J1254">
        <v>12646</v>
      </c>
      <c r="K1254">
        <v>13410</v>
      </c>
      <c r="L1254" s="2">
        <v>26.522499999999994</v>
      </c>
      <c r="M1254" s="5">
        <v>86.710999999999999</v>
      </c>
      <c r="N1254" s="1">
        <v>360.24279999999999</v>
      </c>
      <c r="O1254" s="2">
        <v>54.6</v>
      </c>
      <c r="P1254">
        <v>430</v>
      </c>
    </row>
    <row r="1255" spans="1:16" x14ac:dyDescent="0.35">
      <c r="A1255" s="4">
        <v>44713</v>
      </c>
      <c r="B1255" t="s">
        <v>21</v>
      </c>
      <c r="C1255" t="s">
        <v>15</v>
      </c>
      <c r="D1255">
        <v>1</v>
      </c>
      <c r="E1255" s="2">
        <f>(3825+3800+3875+3825)/4</f>
        <v>3831.25</v>
      </c>
      <c r="F1255" s="2">
        <f t="shared" si="197"/>
        <v>3183.2075</v>
      </c>
      <c r="G1255" s="3">
        <v>1</v>
      </c>
      <c r="H1255">
        <v>3564</v>
      </c>
      <c r="I1255">
        <v>914.9</v>
      </c>
      <c r="J1255">
        <v>12646</v>
      </c>
      <c r="K1255">
        <v>13410</v>
      </c>
      <c r="L1255" s="2">
        <v>26.522499999999994</v>
      </c>
      <c r="M1255" s="5">
        <v>86.710999999999999</v>
      </c>
      <c r="N1255" s="1">
        <v>360.24279999999999</v>
      </c>
      <c r="O1255" s="2">
        <v>54.6</v>
      </c>
      <c r="P1255">
        <v>430</v>
      </c>
    </row>
    <row r="1256" spans="1:16" x14ac:dyDescent="0.35">
      <c r="A1256" s="4">
        <v>44713</v>
      </c>
      <c r="B1256" t="s">
        <v>22</v>
      </c>
      <c r="C1256" t="s">
        <v>10</v>
      </c>
      <c r="D1256">
        <v>0</v>
      </c>
      <c r="E1256" s="2" t="s">
        <v>27</v>
      </c>
      <c r="F1256" s="2">
        <f t="shared" ref="F1256:F1259" si="198">(3025+3000+3080+3400)/4</f>
        <v>3126.25</v>
      </c>
      <c r="G1256" s="3">
        <v>1</v>
      </c>
      <c r="H1256">
        <v>3564</v>
      </c>
      <c r="I1256">
        <v>914.9</v>
      </c>
      <c r="J1256">
        <v>12646</v>
      </c>
      <c r="K1256">
        <v>13410</v>
      </c>
      <c r="L1256" s="2">
        <v>26.522499999999994</v>
      </c>
      <c r="M1256" s="5">
        <v>86.710999999999999</v>
      </c>
      <c r="N1256" s="1">
        <v>360.24279999999999</v>
      </c>
      <c r="O1256" s="2">
        <v>54.6</v>
      </c>
      <c r="P1256">
        <v>430</v>
      </c>
    </row>
    <row r="1257" spans="1:16" x14ac:dyDescent="0.35">
      <c r="A1257" s="4">
        <v>44713</v>
      </c>
      <c r="B1257" t="s">
        <v>22</v>
      </c>
      <c r="C1257" t="s">
        <v>11</v>
      </c>
      <c r="D1257">
        <v>0</v>
      </c>
      <c r="E1257" s="2" t="s">
        <v>27</v>
      </c>
      <c r="F1257" s="2">
        <f t="shared" si="198"/>
        <v>3126.25</v>
      </c>
      <c r="G1257" s="3">
        <v>1</v>
      </c>
      <c r="H1257">
        <v>3564</v>
      </c>
      <c r="I1257">
        <v>914.9</v>
      </c>
      <c r="J1257">
        <v>12646</v>
      </c>
      <c r="K1257">
        <v>13410</v>
      </c>
      <c r="L1257" s="2">
        <v>26.522499999999994</v>
      </c>
      <c r="M1257" s="5">
        <v>86.710999999999999</v>
      </c>
      <c r="N1257" s="1">
        <v>360.24279999999999</v>
      </c>
      <c r="O1257" s="2">
        <v>54.6</v>
      </c>
      <c r="P1257">
        <v>430</v>
      </c>
    </row>
    <row r="1258" spans="1:16" x14ac:dyDescent="0.35">
      <c r="A1258" s="4">
        <v>44713</v>
      </c>
      <c r="B1258" t="s">
        <v>22</v>
      </c>
      <c r="C1258" t="s">
        <v>12</v>
      </c>
      <c r="D1258">
        <v>0</v>
      </c>
      <c r="E1258" s="2" t="s">
        <v>27</v>
      </c>
      <c r="F1258" s="2">
        <f t="shared" si="198"/>
        <v>3126.25</v>
      </c>
      <c r="G1258" s="3">
        <v>1</v>
      </c>
      <c r="H1258">
        <v>3564</v>
      </c>
      <c r="I1258">
        <v>914.9</v>
      </c>
      <c r="J1258">
        <v>12646</v>
      </c>
      <c r="K1258">
        <v>13410</v>
      </c>
      <c r="L1258" s="2">
        <v>26.522499999999994</v>
      </c>
      <c r="M1258" s="5">
        <v>86.710999999999999</v>
      </c>
      <c r="N1258" s="1">
        <v>360.24279999999999</v>
      </c>
      <c r="O1258" s="2">
        <v>54.6</v>
      </c>
      <c r="P1258">
        <v>430</v>
      </c>
    </row>
    <row r="1259" spans="1:16" x14ac:dyDescent="0.35">
      <c r="A1259" s="4">
        <v>44713</v>
      </c>
      <c r="B1259" t="s">
        <v>22</v>
      </c>
      <c r="C1259" t="s">
        <v>13</v>
      </c>
      <c r="D1259">
        <v>0</v>
      </c>
      <c r="E1259" s="2" t="s">
        <v>27</v>
      </c>
      <c r="F1259" s="2">
        <f t="shared" si="198"/>
        <v>3126.25</v>
      </c>
      <c r="G1259" s="3">
        <v>1</v>
      </c>
      <c r="H1259">
        <v>3564</v>
      </c>
      <c r="I1259">
        <v>914.9</v>
      </c>
      <c r="J1259">
        <v>12646</v>
      </c>
      <c r="K1259">
        <v>13410</v>
      </c>
      <c r="L1259" s="2">
        <v>26.522499999999994</v>
      </c>
      <c r="M1259" s="5">
        <v>86.710999999999999</v>
      </c>
      <c r="N1259" s="1">
        <v>360.24279999999999</v>
      </c>
      <c r="O1259" s="2">
        <v>54.6</v>
      </c>
      <c r="P1259">
        <v>430</v>
      </c>
    </row>
    <row r="1260" spans="1:16" x14ac:dyDescent="0.35">
      <c r="A1260" s="4">
        <v>44713</v>
      </c>
      <c r="B1260" t="s">
        <v>22</v>
      </c>
      <c r="C1260" t="s">
        <v>14</v>
      </c>
      <c r="D1260">
        <v>1</v>
      </c>
      <c r="E1260" s="2">
        <f>(3025+3000+3080+3400)/4</f>
        <v>3126.25</v>
      </c>
      <c r="F1260" s="2">
        <f>(3025+3000+3080+3400)/4</f>
        <v>3126.25</v>
      </c>
      <c r="G1260" s="3">
        <v>1</v>
      </c>
      <c r="H1260">
        <v>3564</v>
      </c>
      <c r="I1260">
        <v>914.9</v>
      </c>
      <c r="J1260">
        <v>12646</v>
      </c>
      <c r="K1260">
        <v>13410</v>
      </c>
      <c r="L1260" s="2">
        <v>26.522499999999994</v>
      </c>
      <c r="M1260" s="5">
        <v>86.710999999999999</v>
      </c>
      <c r="N1260" s="1">
        <v>360.24279999999999</v>
      </c>
      <c r="O1260" s="2">
        <v>54.6</v>
      </c>
      <c r="P1260">
        <v>430</v>
      </c>
    </row>
    <row r="1261" spans="1:16" x14ac:dyDescent="0.35">
      <c r="A1261" s="4">
        <v>44713</v>
      </c>
      <c r="B1261" t="s">
        <v>22</v>
      </c>
      <c r="C1261" t="s">
        <v>15</v>
      </c>
      <c r="D1261">
        <v>0</v>
      </c>
      <c r="E1261" s="2" t="s">
        <v>27</v>
      </c>
      <c r="F1261" s="2">
        <f>(3025+3000+3080+3400)/4</f>
        <v>3126.25</v>
      </c>
      <c r="G1261" s="3">
        <v>1</v>
      </c>
      <c r="H1261">
        <v>3564</v>
      </c>
      <c r="I1261">
        <v>914.9</v>
      </c>
      <c r="J1261">
        <v>12646</v>
      </c>
      <c r="K1261">
        <v>13410</v>
      </c>
      <c r="L1261" s="2">
        <v>26.522499999999994</v>
      </c>
      <c r="M1261" s="5">
        <v>86.710999999999999</v>
      </c>
      <c r="N1261" s="1">
        <v>360.87240000000003</v>
      </c>
      <c r="O1261" s="2">
        <v>54.6</v>
      </c>
      <c r="P1261">
        <v>430</v>
      </c>
    </row>
    <row r="1262" spans="1:16" x14ac:dyDescent="0.35">
      <c r="A1262" s="4">
        <v>44743</v>
      </c>
      <c r="B1262" t="s">
        <v>16</v>
      </c>
      <c r="C1262" t="s">
        <v>10</v>
      </c>
      <c r="D1262">
        <v>1</v>
      </c>
      <c r="E1262" s="2">
        <f>(5000*2+5366+4950)/4</f>
        <v>5079</v>
      </c>
      <c r="F1262" s="2">
        <f>(4922.5+4868.25+5123.75+5163.25)/4</f>
        <v>5019.4375</v>
      </c>
      <c r="G1262" s="3">
        <v>1</v>
      </c>
      <c r="H1262">
        <v>3564</v>
      </c>
      <c r="I1262">
        <v>731.9</v>
      </c>
      <c r="J1262">
        <v>11805</v>
      </c>
      <c r="K1262">
        <v>13410</v>
      </c>
      <c r="L1262" s="2">
        <v>26.33</v>
      </c>
      <c r="M1262" s="5">
        <v>122.36399999999999</v>
      </c>
      <c r="N1262" s="1">
        <v>360.87240000000003</v>
      </c>
      <c r="O1262" s="2">
        <v>60.8</v>
      </c>
      <c r="P1262">
        <v>430</v>
      </c>
    </row>
    <row r="1263" spans="1:16" x14ac:dyDescent="0.35">
      <c r="A1263" s="4">
        <v>44743</v>
      </c>
      <c r="B1263" t="s">
        <v>16</v>
      </c>
      <c r="C1263" t="s">
        <v>11</v>
      </c>
      <c r="D1263">
        <v>0</v>
      </c>
      <c r="E1263" s="2" t="s">
        <v>27</v>
      </c>
      <c r="F1263" s="2">
        <f t="shared" ref="F1263:F1267" si="199">(4922.5+4868.25+5123.75+5163.25)/4</f>
        <v>5019.4375</v>
      </c>
      <c r="G1263" s="3">
        <v>1</v>
      </c>
      <c r="H1263">
        <v>3564</v>
      </c>
      <c r="I1263">
        <v>731.9</v>
      </c>
      <c r="J1263">
        <v>11805</v>
      </c>
      <c r="K1263">
        <v>13410</v>
      </c>
      <c r="L1263" s="2">
        <v>26.33</v>
      </c>
      <c r="M1263" s="5">
        <v>122.36399999999999</v>
      </c>
      <c r="N1263" s="1">
        <v>360.87240000000003</v>
      </c>
      <c r="O1263" s="2">
        <v>60.8</v>
      </c>
      <c r="P1263">
        <v>430</v>
      </c>
    </row>
    <row r="1264" spans="1:16" x14ac:dyDescent="0.35">
      <c r="A1264" s="4">
        <v>44743</v>
      </c>
      <c r="B1264" t="s">
        <v>16</v>
      </c>
      <c r="C1264" t="s">
        <v>12</v>
      </c>
      <c r="D1264">
        <v>1</v>
      </c>
      <c r="E1264" s="2">
        <f>(4190*2+4770*2)/4</f>
        <v>4480</v>
      </c>
      <c r="F1264" s="2">
        <f t="shared" si="199"/>
        <v>5019.4375</v>
      </c>
      <c r="G1264" s="3">
        <v>1</v>
      </c>
      <c r="H1264">
        <v>3564</v>
      </c>
      <c r="I1264">
        <v>731.9</v>
      </c>
      <c r="J1264">
        <v>11805</v>
      </c>
      <c r="K1264">
        <v>13410</v>
      </c>
      <c r="L1264" s="2">
        <v>26.33</v>
      </c>
      <c r="M1264" s="5">
        <v>122.36399999999999</v>
      </c>
      <c r="N1264" s="1">
        <v>360.87240000000003</v>
      </c>
      <c r="O1264" s="2">
        <v>60.8</v>
      </c>
      <c r="P1264">
        <v>430</v>
      </c>
    </row>
    <row r="1265" spans="1:16" x14ac:dyDescent="0.35">
      <c r="A1265" s="4">
        <v>44743</v>
      </c>
      <c r="B1265" t="s">
        <v>16</v>
      </c>
      <c r="C1265" t="s">
        <v>13</v>
      </c>
      <c r="D1265">
        <v>1</v>
      </c>
      <c r="E1265" s="2">
        <f>(5000+4750+5200+4950)/4</f>
        <v>4975</v>
      </c>
      <c r="F1265" s="2">
        <f t="shared" si="199"/>
        <v>5019.4375</v>
      </c>
      <c r="G1265" s="3">
        <v>1</v>
      </c>
      <c r="H1265">
        <v>3564</v>
      </c>
      <c r="I1265">
        <v>731.9</v>
      </c>
      <c r="J1265">
        <v>11805</v>
      </c>
      <c r="K1265">
        <v>13410</v>
      </c>
      <c r="L1265" s="2">
        <v>26.33</v>
      </c>
      <c r="M1265" s="5">
        <v>122.36399999999999</v>
      </c>
      <c r="N1265" s="1">
        <v>360.87240000000003</v>
      </c>
      <c r="O1265" s="2">
        <v>60.8</v>
      </c>
      <c r="P1265">
        <v>430</v>
      </c>
    </row>
    <row r="1266" spans="1:16" x14ac:dyDescent="0.35">
      <c r="A1266" s="4">
        <v>44743</v>
      </c>
      <c r="B1266" t="s">
        <v>16</v>
      </c>
      <c r="C1266" t="s">
        <v>14</v>
      </c>
      <c r="D1266">
        <v>1</v>
      </c>
      <c r="E1266" s="2">
        <f>(5567+5525+5533+5550)/4</f>
        <v>5543.75</v>
      </c>
      <c r="F1266" s="2">
        <f t="shared" si="199"/>
        <v>5019.4375</v>
      </c>
      <c r="G1266" s="3">
        <v>1</v>
      </c>
      <c r="H1266">
        <v>3564</v>
      </c>
      <c r="I1266">
        <v>731.9</v>
      </c>
      <c r="J1266">
        <v>11805</v>
      </c>
      <c r="K1266">
        <v>13410</v>
      </c>
      <c r="L1266" s="2">
        <v>26.33</v>
      </c>
      <c r="M1266" s="5">
        <v>122.36399999999999</v>
      </c>
      <c r="N1266" s="1">
        <v>360.87240000000003</v>
      </c>
      <c r="O1266" s="2">
        <v>60.8</v>
      </c>
      <c r="P1266">
        <v>430</v>
      </c>
    </row>
    <row r="1267" spans="1:16" x14ac:dyDescent="0.35">
      <c r="A1267" s="4">
        <v>44743</v>
      </c>
      <c r="B1267" t="s">
        <v>16</v>
      </c>
      <c r="C1267" t="s">
        <v>15</v>
      </c>
      <c r="D1267">
        <v>0</v>
      </c>
      <c r="E1267" s="2" t="s">
        <v>27</v>
      </c>
      <c r="F1267" s="2">
        <f t="shared" si="199"/>
        <v>5019.4375</v>
      </c>
      <c r="G1267" s="3">
        <v>1</v>
      </c>
      <c r="H1267">
        <v>3564</v>
      </c>
      <c r="I1267">
        <v>731.9</v>
      </c>
      <c r="J1267">
        <v>11805</v>
      </c>
      <c r="K1267">
        <v>13410</v>
      </c>
      <c r="L1267" s="2">
        <v>26.33</v>
      </c>
      <c r="M1267" s="5">
        <v>122.36399999999999</v>
      </c>
      <c r="N1267" s="1">
        <v>360.87240000000003</v>
      </c>
      <c r="O1267" s="2">
        <v>60.8</v>
      </c>
      <c r="P1267">
        <v>430</v>
      </c>
    </row>
    <row r="1268" spans="1:16" x14ac:dyDescent="0.35">
      <c r="A1268" s="4">
        <v>44743</v>
      </c>
      <c r="B1268" t="s">
        <v>17</v>
      </c>
      <c r="C1268" t="s">
        <v>10</v>
      </c>
      <c r="D1268">
        <v>1</v>
      </c>
      <c r="E1268" s="2">
        <f>(4900+4516+4366+4300)/4</f>
        <v>4520.5</v>
      </c>
      <c r="F1268" s="2">
        <f>(4807+4654.4+4429.6+4508.75)/4</f>
        <v>4599.9375</v>
      </c>
      <c r="G1268" s="3">
        <v>1</v>
      </c>
      <c r="H1268">
        <v>3564</v>
      </c>
      <c r="I1268">
        <v>731.9</v>
      </c>
      <c r="J1268">
        <v>11805</v>
      </c>
      <c r="K1268">
        <v>13410</v>
      </c>
      <c r="L1268" s="2">
        <v>26.33</v>
      </c>
      <c r="M1268" s="5">
        <v>122.36399999999999</v>
      </c>
      <c r="N1268" s="1">
        <v>360.87240000000003</v>
      </c>
      <c r="O1268" s="2">
        <v>60.8</v>
      </c>
      <c r="P1268">
        <v>430</v>
      </c>
    </row>
    <row r="1269" spans="1:16" x14ac:dyDescent="0.35">
      <c r="A1269" s="4">
        <v>44743</v>
      </c>
      <c r="B1269" t="s">
        <v>17</v>
      </c>
      <c r="C1269" t="s">
        <v>11</v>
      </c>
      <c r="D1269">
        <v>1</v>
      </c>
      <c r="E1269" s="2">
        <v>4800</v>
      </c>
      <c r="F1269" s="2">
        <f t="shared" ref="F1269:F1273" si="200">(4807+4654.4+4429.6+4508.75)/4</f>
        <v>4599.9375</v>
      </c>
      <c r="G1269" s="3">
        <v>1</v>
      </c>
      <c r="H1269">
        <v>3564</v>
      </c>
      <c r="I1269">
        <v>731.9</v>
      </c>
      <c r="J1269">
        <v>11805</v>
      </c>
      <c r="K1269">
        <v>13410</v>
      </c>
      <c r="L1269" s="2">
        <v>26.33</v>
      </c>
      <c r="M1269" s="5">
        <v>122.36399999999999</v>
      </c>
      <c r="N1269" s="1">
        <v>360.87240000000003</v>
      </c>
      <c r="O1269" s="2">
        <v>60.8</v>
      </c>
      <c r="P1269">
        <v>430</v>
      </c>
    </row>
    <row r="1270" spans="1:16" x14ac:dyDescent="0.35">
      <c r="A1270" s="4">
        <v>44743</v>
      </c>
      <c r="B1270" t="s">
        <v>17</v>
      </c>
      <c r="C1270" t="s">
        <v>12</v>
      </c>
      <c r="D1270">
        <v>1</v>
      </c>
      <c r="E1270" s="2">
        <f>(3965+3985+4485*2)/4</f>
        <v>4230</v>
      </c>
      <c r="F1270" s="2">
        <f t="shared" si="200"/>
        <v>4599.9375</v>
      </c>
      <c r="G1270" s="3">
        <v>1</v>
      </c>
      <c r="H1270">
        <v>3564</v>
      </c>
      <c r="I1270">
        <v>731.9</v>
      </c>
      <c r="J1270">
        <v>11805</v>
      </c>
      <c r="K1270">
        <v>13410</v>
      </c>
      <c r="L1270" s="2">
        <v>26.33</v>
      </c>
      <c r="M1270" s="5">
        <v>122.36399999999999</v>
      </c>
      <c r="N1270" s="1">
        <v>360.87240000000003</v>
      </c>
      <c r="O1270" s="2">
        <v>60.8</v>
      </c>
      <c r="P1270">
        <v>430</v>
      </c>
    </row>
    <row r="1271" spans="1:16" x14ac:dyDescent="0.35">
      <c r="A1271" s="4">
        <v>44743</v>
      </c>
      <c r="B1271" t="s">
        <v>17</v>
      </c>
      <c r="C1271" t="s">
        <v>13</v>
      </c>
      <c r="D1271">
        <v>1</v>
      </c>
      <c r="E1271" s="2">
        <f>(4750+4500+4150+4750)/4</f>
        <v>4537.5</v>
      </c>
      <c r="F1271" s="2">
        <f t="shared" si="200"/>
        <v>4599.9375</v>
      </c>
      <c r="G1271" s="3">
        <v>1</v>
      </c>
      <c r="H1271">
        <v>3564</v>
      </c>
      <c r="I1271">
        <v>731.9</v>
      </c>
      <c r="J1271">
        <v>11805</v>
      </c>
      <c r="K1271">
        <v>13410</v>
      </c>
      <c r="L1271" s="2">
        <v>26.33</v>
      </c>
      <c r="M1271" s="5">
        <v>122.36399999999999</v>
      </c>
      <c r="N1271" s="1">
        <v>360.87240000000003</v>
      </c>
      <c r="O1271" s="2">
        <v>60.8</v>
      </c>
      <c r="P1271">
        <v>430</v>
      </c>
    </row>
    <row r="1272" spans="1:16" x14ac:dyDescent="0.35">
      <c r="A1272" s="4">
        <v>44743</v>
      </c>
      <c r="B1272" t="s">
        <v>17</v>
      </c>
      <c r="C1272" t="s">
        <v>14</v>
      </c>
      <c r="D1272">
        <v>1</v>
      </c>
      <c r="E1272" s="2">
        <f>(5000+4867+4971+5100)/4</f>
        <v>4984.5</v>
      </c>
      <c r="F1272" s="2">
        <f t="shared" si="200"/>
        <v>4599.9375</v>
      </c>
      <c r="G1272" s="3">
        <v>1</v>
      </c>
      <c r="H1272">
        <v>3564</v>
      </c>
      <c r="I1272">
        <v>731.9</v>
      </c>
      <c r="J1272">
        <v>11805</v>
      </c>
      <c r="K1272">
        <v>13410</v>
      </c>
      <c r="L1272" s="2">
        <v>26.33</v>
      </c>
      <c r="M1272" s="5">
        <v>122.36399999999999</v>
      </c>
      <c r="N1272" s="1">
        <v>360.87240000000003</v>
      </c>
      <c r="O1272" s="2">
        <v>60.8</v>
      </c>
      <c r="P1272">
        <v>430</v>
      </c>
    </row>
    <row r="1273" spans="1:16" x14ac:dyDescent="0.35">
      <c r="A1273" s="4">
        <v>44743</v>
      </c>
      <c r="B1273" t="s">
        <v>17</v>
      </c>
      <c r="C1273" t="s">
        <v>15</v>
      </c>
      <c r="D1273">
        <v>0</v>
      </c>
      <c r="E1273" s="2" t="s">
        <v>27</v>
      </c>
      <c r="F1273" s="2">
        <f t="shared" si="200"/>
        <v>4599.9375</v>
      </c>
      <c r="G1273" s="3">
        <v>1</v>
      </c>
      <c r="H1273">
        <v>3564</v>
      </c>
      <c r="I1273">
        <v>731.9</v>
      </c>
      <c r="J1273">
        <v>11805</v>
      </c>
      <c r="K1273">
        <v>13410</v>
      </c>
      <c r="L1273" s="2">
        <v>26.33</v>
      </c>
      <c r="M1273" s="5">
        <v>122.36399999999999</v>
      </c>
      <c r="N1273" s="1">
        <v>360.87240000000003</v>
      </c>
      <c r="O1273" s="2">
        <v>60.8</v>
      </c>
      <c r="P1273">
        <v>430</v>
      </c>
    </row>
    <row r="1274" spans="1:16" x14ac:dyDescent="0.35">
      <c r="A1274" s="4">
        <v>44743</v>
      </c>
      <c r="B1274" t="s">
        <v>18</v>
      </c>
      <c r="C1274" t="s">
        <v>10</v>
      </c>
      <c r="D1274">
        <v>1</v>
      </c>
      <c r="E1274" s="2">
        <f>(4000+4166+3916+4450)/4</f>
        <v>4133</v>
      </c>
      <c r="F1274" s="2">
        <f>(4005.57+3898.33+4022.29+4120)/4</f>
        <v>4011.5474999999997</v>
      </c>
      <c r="G1274" s="3">
        <v>1</v>
      </c>
      <c r="H1274">
        <v>3564</v>
      </c>
      <c r="I1274">
        <v>731.9</v>
      </c>
      <c r="J1274">
        <v>11805</v>
      </c>
      <c r="K1274">
        <v>13410</v>
      </c>
      <c r="L1274" s="2">
        <v>26.33</v>
      </c>
      <c r="M1274" s="5">
        <v>122.36399999999999</v>
      </c>
      <c r="N1274" s="1">
        <v>360.87240000000003</v>
      </c>
      <c r="O1274" s="2">
        <v>60.8</v>
      </c>
      <c r="P1274">
        <v>430</v>
      </c>
    </row>
    <row r="1275" spans="1:16" x14ac:dyDescent="0.35">
      <c r="A1275" s="4">
        <v>44743</v>
      </c>
      <c r="B1275" t="s">
        <v>18</v>
      </c>
      <c r="C1275" t="s">
        <v>11</v>
      </c>
      <c r="D1275">
        <v>1</v>
      </c>
      <c r="E1275" s="2">
        <v>4600</v>
      </c>
      <c r="F1275" s="2">
        <f t="shared" ref="F1275:F1279" si="201">(4005.57+3898.33+4022.29+4120)/4</f>
        <v>4011.5474999999997</v>
      </c>
      <c r="G1275" s="3">
        <v>1</v>
      </c>
      <c r="H1275">
        <v>3564</v>
      </c>
      <c r="I1275">
        <v>731.9</v>
      </c>
      <c r="J1275">
        <v>11805</v>
      </c>
      <c r="K1275">
        <v>13410</v>
      </c>
      <c r="L1275" s="2">
        <v>26.33</v>
      </c>
      <c r="M1275" s="5">
        <v>122.36399999999999</v>
      </c>
      <c r="N1275" s="1">
        <v>360.87240000000003</v>
      </c>
      <c r="O1275" s="2">
        <v>60.8</v>
      </c>
      <c r="P1275">
        <v>430</v>
      </c>
    </row>
    <row r="1276" spans="1:16" x14ac:dyDescent="0.35">
      <c r="A1276" s="4">
        <v>44743</v>
      </c>
      <c r="B1276" t="s">
        <v>18</v>
      </c>
      <c r="C1276" t="s">
        <v>12</v>
      </c>
      <c r="D1276">
        <v>1</v>
      </c>
      <c r="E1276" s="2">
        <v>4090</v>
      </c>
      <c r="F1276" s="2">
        <f t="shared" si="201"/>
        <v>4011.5474999999997</v>
      </c>
      <c r="G1276" s="3">
        <v>1</v>
      </c>
      <c r="H1276">
        <v>3564</v>
      </c>
      <c r="I1276">
        <v>731.9</v>
      </c>
      <c r="J1276">
        <v>11805</v>
      </c>
      <c r="K1276">
        <v>13410</v>
      </c>
      <c r="L1276" s="2">
        <v>26.33</v>
      </c>
      <c r="M1276" s="5">
        <v>122.36399999999999</v>
      </c>
      <c r="N1276" s="1">
        <v>360.87240000000003</v>
      </c>
      <c r="O1276" s="2">
        <v>60.8</v>
      </c>
      <c r="P1276">
        <v>430</v>
      </c>
    </row>
    <row r="1277" spans="1:16" x14ac:dyDescent="0.35">
      <c r="A1277" s="4">
        <v>44743</v>
      </c>
      <c r="B1277" t="s">
        <v>18</v>
      </c>
      <c r="C1277" t="s">
        <v>13</v>
      </c>
      <c r="D1277">
        <v>1</v>
      </c>
      <c r="E1277" s="2">
        <v>3983.33</v>
      </c>
      <c r="F1277" s="2">
        <f t="shared" si="201"/>
        <v>4011.5474999999997</v>
      </c>
      <c r="G1277" s="3">
        <v>1</v>
      </c>
      <c r="H1277">
        <v>3564</v>
      </c>
      <c r="I1277">
        <v>731.9</v>
      </c>
      <c r="J1277">
        <v>11805</v>
      </c>
      <c r="K1277">
        <v>13410</v>
      </c>
      <c r="L1277" s="2">
        <v>26.33</v>
      </c>
      <c r="M1277" s="5">
        <v>122.36399999999999</v>
      </c>
      <c r="N1277" s="1">
        <v>360.87240000000003</v>
      </c>
      <c r="O1277" s="2">
        <v>60.8</v>
      </c>
      <c r="P1277">
        <v>430</v>
      </c>
    </row>
    <row r="1278" spans="1:16" x14ac:dyDescent="0.35">
      <c r="A1278" s="4">
        <v>44743</v>
      </c>
      <c r="B1278" t="s">
        <v>18</v>
      </c>
      <c r="C1278" t="s">
        <v>14</v>
      </c>
      <c r="D1278">
        <v>1</v>
      </c>
      <c r="E1278" s="2">
        <f>(4550+4500+4283+4500)/4</f>
        <v>4458.25</v>
      </c>
      <c r="F1278" s="2">
        <f t="shared" si="201"/>
        <v>4011.5474999999997</v>
      </c>
      <c r="G1278" s="3">
        <v>1</v>
      </c>
      <c r="H1278">
        <v>3564</v>
      </c>
      <c r="I1278">
        <v>731.9</v>
      </c>
      <c r="J1278">
        <v>11805</v>
      </c>
      <c r="K1278">
        <v>13410</v>
      </c>
      <c r="L1278" s="2">
        <v>26.33</v>
      </c>
      <c r="M1278" s="5">
        <v>122.36399999999999</v>
      </c>
      <c r="N1278" s="1">
        <v>360.87240000000003</v>
      </c>
      <c r="O1278" s="2">
        <v>60.8</v>
      </c>
      <c r="P1278">
        <v>430</v>
      </c>
    </row>
    <row r="1279" spans="1:16" x14ac:dyDescent="0.35">
      <c r="A1279" s="4">
        <v>44743</v>
      </c>
      <c r="B1279" t="s">
        <v>18</v>
      </c>
      <c r="C1279" t="s">
        <v>15</v>
      </c>
      <c r="D1279">
        <v>1</v>
      </c>
      <c r="E1279" s="2">
        <v>3900</v>
      </c>
      <c r="F1279" s="2">
        <f t="shared" si="201"/>
        <v>4011.5474999999997</v>
      </c>
      <c r="G1279" s="3">
        <v>1</v>
      </c>
      <c r="H1279">
        <v>3564</v>
      </c>
      <c r="I1279">
        <v>731.9</v>
      </c>
      <c r="J1279">
        <v>11805</v>
      </c>
      <c r="K1279">
        <v>13410</v>
      </c>
      <c r="L1279" s="2">
        <v>26.33</v>
      </c>
      <c r="M1279" s="5">
        <v>122.36399999999999</v>
      </c>
      <c r="N1279" s="1">
        <v>360.87240000000003</v>
      </c>
      <c r="O1279" s="2">
        <v>60.8</v>
      </c>
      <c r="P1279">
        <v>430</v>
      </c>
    </row>
    <row r="1280" spans="1:16" x14ac:dyDescent="0.35">
      <c r="A1280" s="4">
        <v>44743</v>
      </c>
      <c r="B1280" t="s">
        <v>19</v>
      </c>
      <c r="C1280" t="s">
        <v>10</v>
      </c>
      <c r="D1280">
        <v>1</v>
      </c>
      <c r="E1280" s="2">
        <f>(3350+3630+3933+3866)/4</f>
        <v>3694.75</v>
      </c>
      <c r="F1280" s="2">
        <f>(3746.86+3608.83+3619.43+3719.57)/4</f>
        <v>3673.6725000000001</v>
      </c>
      <c r="G1280" s="3">
        <v>1</v>
      </c>
      <c r="H1280">
        <v>3564</v>
      </c>
      <c r="I1280">
        <v>731.9</v>
      </c>
      <c r="J1280">
        <v>11805</v>
      </c>
      <c r="K1280">
        <v>13410</v>
      </c>
      <c r="L1280" s="2">
        <v>26.33</v>
      </c>
      <c r="M1280" s="5">
        <v>122.36399999999999</v>
      </c>
      <c r="N1280" s="1">
        <v>360.87240000000003</v>
      </c>
      <c r="O1280" s="2">
        <v>60.8</v>
      </c>
      <c r="P1280">
        <v>430</v>
      </c>
    </row>
    <row r="1281" spans="1:16" x14ac:dyDescent="0.35">
      <c r="A1281" s="4">
        <v>44743</v>
      </c>
      <c r="B1281" t="s">
        <v>19</v>
      </c>
      <c r="C1281" t="s">
        <v>11</v>
      </c>
      <c r="D1281">
        <v>1</v>
      </c>
      <c r="E1281" s="2">
        <v>4166.67</v>
      </c>
      <c r="F1281" s="2">
        <f t="shared" ref="F1281:F1285" si="202">(3746.86+3608.83+3619.43+3719.57)/4</f>
        <v>3673.6725000000001</v>
      </c>
      <c r="G1281" s="3">
        <v>1</v>
      </c>
      <c r="H1281">
        <v>3564</v>
      </c>
      <c r="I1281">
        <v>731.9</v>
      </c>
      <c r="J1281">
        <v>11805</v>
      </c>
      <c r="K1281">
        <v>13410</v>
      </c>
      <c r="L1281" s="2">
        <v>26.33</v>
      </c>
      <c r="M1281" s="5">
        <v>122.36399999999999</v>
      </c>
      <c r="N1281" s="1">
        <v>360.87240000000003</v>
      </c>
      <c r="O1281" s="2">
        <v>60.8</v>
      </c>
      <c r="P1281">
        <v>430</v>
      </c>
    </row>
    <row r="1282" spans="1:16" x14ac:dyDescent="0.35">
      <c r="A1282" s="4">
        <v>44743</v>
      </c>
      <c r="B1282" t="s">
        <v>19</v>
      </c>
      <c r="C1282" t="s">
        <v>12</v>
      </c>
      <c r="D1282">
        <v>1</v>
      </c>
      <c r="E1282" s="2">
        <v>3820</v>
      </c>
      <c r="F1282" s="2">
        <f t="shared" si="202"/>
        <v>3673.6725000000001</v>
      </c>
      <c r="G1282" s="3">
        <v>1</v>
      </c>
      <c r="H1282">
        <v>3564</v>
      </c>
      <c r="I1282">
        <v>731.9</v>
      </c>
      <c r="J1282">
        <v>11805</v>
      </c>
      <c r="K1282">
        <v>13410</v>
      </c>
      <c r="L1282" s="2">
        <v>26.33</v>
      </c>
      <c r="M1282" s="5">
        <v>122.36399999999999</v>
      </c>
      <c r="N1282" s="1">
        <v>360.87240000000003</v>
      </c>
      <c r="O1282" s="2">
        <v>60.8</v>
      </c>
      <c r="P1282">
        <v>430</v>
      </c>
    </row>
    <row r="1283" spans="1:16" x14ac:dyDescent="0.35">
      <c r="A1283" s="4">
        <v>44743</v>
      </c>
      <c r="B1283" t="s">
        <v>19</v>
      </c>
      <c r="C1283" t="s">
        <v>13</v>
      </c>
      <c r="D1283">
        <v>1</v>
      </c>
      <c r="E1283" s="2">
        <v>3775</v>
      </c>
      <c r="F1283" s="2">
        <f t="shared" si="202"/>
        <v>3673.6725000000001</v>
      </c>
      <c r="G1283" s="3">
        <v>1</v>
      </c>
      <c r="H1283">
        <v>3564</v>
      </c>
      <c r="I1283">
        <v>731.9</v>
      </c>
      <c r="J1283">
        <v>11805</v>
      </c>
      <c r="K1283">
        <v>13410</v>
      </c>
      <c r="L1283" s="2">
        <v>26.33</v>
      </c>
      <c r="M1283" s="5">
        <v>122.36399999999999</v>
      </c>
      <c r="N1283" s="1">
        <v>360.87240000000003</v>
      </c>
      <c r="O1283" s="2">
        <v>60.8</v>
      </c>
      <c r="P1283">
        <v>430</v>
      </c>
    </row>
    <row r="1284" spans="1:16" x14ac:dyDescent="0.35">
      <c r="A1284" s="4">
        <v>44743</v>
      </c>
      <c r="B1284" t="s">
        <v>19</v>
      </c>
      <c r="C1284" t="s">
        <v>14</v>
      </c>
      <c r="D1284">
        <v>1</v>
      </c>
      <c r="E1284" s="2">
        <f>(3867+4075+3786+3867)/4</f>
        <v>3898.75</v>
      </c>
      <c r="F1284" s="2">
        <f t="shared" si="202"/>
        <v>3673.6725000000001</v>
      </c>
      <c r="G1284" s="3">
        <v>1</v>
      </c>
      <c r="H1284">
        <v>3564</v>
      </c>
      <c r="I1284">
        <v>731.9</v>
      </c>
      <c r="J1284">
        <v>11805</v>
      </c>
      <c r="K1284">
        <v>13410</v>
      </c>
      <c r="L1284" s="2">
        <v>26.33</v>
      </c>
      <c r="M1284" s="5">
        <v>122.36399999999999</v>
      </c>
      <c r="N1284" s="1">
        <v>360.87240000000003</v>
      </c>
      <c r="O1284" s="2">
        <v>60.8</v>
      </c>
      <c r="P1284">
        <v>430</v>
      </c>
    </row>
    <row r="1285" spans="1:16" x14ac:dyDescent="0.35">
      <c r="A1285" s="4">
        <v>44743</v>
      </c>
      <c r="B1285" t="s">
        <v>19</v>
      </c>
      <c r="C1285" t="s">
        <v>15</v>
      </c>
      <c r="D1285">
        <v>1</v>
      </c>
      <c r="E1285" s="2">
        <v>3800</v>
      </c>
      <c r="F1285" s="2">
        <f t="shared" si="202"/>
        <v>3673.6725000000001</v>
      </c>
      <c r="G1285" s="3">
        <v>1</v>
      </c>
      <c r="H1285">
        <v>3564</v>
      </c>
      <c r="I1285">
        <v>731.9</v>
      </c>
      <c r="J1285">
        <v>11805</v>
      </c>
      <c r="K1285">
        <v>13410</v>
      </c>
      <c r="L1285" s="2">
        <v>26.33</v>
      </c>
      <c r="M1285" s="5">
        <v>122.36399999999999</v>
      </c>
      <c r="N1285" s="1">
        <v>360.87240000000003</v>
      </c>
      <c r="O1285" s="2">
        <v>60.8</v>
      </c>
      <c r="P1285">
        <v>430</v>
      </c>
    </row>
    <row r="1286" spans="1:16" x14ac:dyDescent="0.35">
      <c r="A1286" s="4">
        <v>44743</v>
      </c>
      <c r="B1286" t="s">
        <v>20</v>
      </c>
      <c r="C1286" t="s">
        <v>10</v>
      </c>
      <c r="D1286">
        <v>1</v>
      </c>
      <c r="E1286" s="2">
        <f>(3250*2+3100+3466)/4</f>
        <v>3266.5</v>
      </c>
      <c r="F1286" s="2">
        <f>(3427.86+3383.14+3481.57+3320)/4</f>
        <v>3403.1424999999999</v>
      </c>
      <c r="G1286" s="3">
        <v>1</v>
      </c>
      <c r="H1286">
        <v>3564</v>
      </c>
      <c r="I1286">
        <v>731.9</v>
      </c>
      <c r="J1286">
        <v>11805</v>
      </c>
      <c r="K1286">
        <v>13410</v>
      </c>
      <c r="L1286" s="2">
        <v>26.33</v>
      </c>
      <c r="M1286" s="5">
        <v>122.36399999999999</v>
      </c>
      <c r="N1286" s="1">
        <v>360.87240000000003</v>
      </c>
      <c r="O1286" s="2">
        <v>60.8</v>
      </c>
      <c r="P1286">
        <v>430</v>
      </c>
    </row>
    <row r="1287" spans="1:16" x14ac:dyDescent="0.35">
      <c r="A1287" s="4">
        <v>44743</v>
      </c>
      <c r="B1287" t="s">
        <v>20</v>
      </c>
      <c r="C1287" t="s">
        <v>11</v>
      </c>
      <c r="D1287">
        <v>1</v>
      </c>
      <c r="E1287" s="2">
        <v>3775</v>
      </c>
      <c r="F1287" s="2">
        <f t="shared" ref="F1287:F1291" si="203">(3427.86+3383.14+3481.57+3320)/4</f>
        <v>3403.1424999999999</v>
      </c>
      <c r="G1287" s="3">
        <v>1</v>
      </c>
      <c r="H1287">
        <v>3564</v>
      </c>
      <c r="I1287">
        <v>731.9</v>
      </c>
      <c r="J1287">
        <v>11805</v>
      </c>
      <c r="K1287">
        <v>13410</v>
      </c>
      <c r="L1287" s="2">
        <v>26.33</v>
      </c>
      <c r="M1287" s="5">
        <v>122.36399999999999</v>
      </c>
      <c r="N1287" s="1">
        <v>360.87240000000003</v>
      </c>
      <c r="O1287" s="2">
        <v>60.8</v>
      </c>
      <c r="P1287">
        <v>430</v>
      </c>
    </row>
    <row r="1288" spans="1:16" x14ac:dyDescent="0.35">
      <c r="A1288" s="4">
        <v>44743</v>
      </c>
      <c r="B1288" t="s">
        <v>20</v>
      </c>
      <c r="C1288" t="s">
        <v>12</v>
      </c>
      <c r="D1288">
        <v>1</v>
      </c>
      <c r="E1288" s="2">
        <v>2915</v>
      </c>
      <c r="F1288" s="2">
        <f t="shared" si="203"/>
        <v>3403.1424999999999</v>
      </c>
      <c r="G1288" s="3">
        <v>1</v>
      </c>
      <c r="H1288">
        <v>3564</v>
      </c>
      <c r="I1288">
        <v>731.9</v>
      </c>
      <c r="J1288">
        <v>11805</v>
      </c>
      <c r="K1288">
        <v>13410</v>
      </c>
      <c r="L1288" s="2">
        <v>26.33</v>
      </c>
      <c r="M1288" s="5">
        <v>122.36399999999999</v>
      </c>
      <c r="N1288" s="1">
        <v>360.87240000000003</v>
      </c>
      <c r="O1288" s="2">
        <v>60.8</v>
      </c>
      <c r="P1288">
        <v>430</v>
      </c>
    </row>
    <row r="1289" spans="1:16" x14ac:dyDescent="0.35">
      <c r="A1289" s="4">
        <v>44743</v>
      </c>
      <c r="B1289" t="s">
        <v>20</v>
      </c>
      <c r="C1289" t="s">
        <v>13</v>
      </c>
      <c r="D1289">
        <v>1</v>
      </c>
      <c r="E1289" s="2">
        <f>(3580+3550+3750+3600)/4</f>
        <v>3620</v>
      </c>
      <c r="F1289" s="2">
        <f t="shared" si="203"/>
        <v>3403.1424999999999</v>
      </c>
      <c r="G1289" s="3">
        <v>1</v>
      </c>
      <c r="H1289">
        <v>3564</v>
      </c>
      <c r="I1289">
        <v>731.9</v>
      </c>
      <c r="J1289">
        <v>11805</v>
      </c>
      <c r="K1289">
        <v>13410</v>
      </c>
      <c r="L1289" s="2">
        <v>26.33</v>
      </c>
      <c r="M1289" s="5">
        <v>122.36399999999999</v>
      </c>
      <c r="N1289" s="1">
        <v>360.87240000000003</v>
      </c>
      <c r="O1289" s="2">
        <v>60.8</v>
      </c>
      <c r="P1289">
        <v>430</v>
      </c>
    </row>
    <row r="1290" spans="1:16" x14ac:dyDescent="0.35">
      <c r="A1290" s="4">
        <v>44743</v>
      </c>
      <c r="B1290" t="s">
        <v>20</v>
      </c>
      <c r="C1290" t="s">
        <v>14</v>
      </c>
      <c r="D1290">
        <v>1</v>
      </c>
      <c r="E1290" s="2">
        <f>(3620+3790+3700+3617)/4</f>
        <v>3681.75</v>
      </c>
      <c r="F1290" s="2">
        <f t="shared" si="203"/>
        <v>3403.1424999999999</v>
      </c>
      <c r="G1290" s="3">
        <v>1</v>
      </c>
      <c r="H1290">
        <v>3564</v>
      </c>
      <c r="I1290">
        <v>731.9</v>
      </c>
      <c r="J1290">
        <v>11805</v>
      </c>
      <c r="K1290">
        <v>13410</v>
      </c>
      <c r="L1290" s="2">
        <v>26.33</v>
      </c>
      <c r="M1290" s="5">
        <v>122.36399999999999</v>
      </c>
      <c r="N1290" s="1">
        <v>360.87240000000003</v>
      </c>
      <c r="O1290" s="2">
        <v>60.8</v>
      </c>
      <c r="P1290">
        <v>430</v>
      </c>
    </row>
    <row r="1291" spans="1:16" x14ac:dyDescent="0.35">
      <c r="A1291" s="4">
        <v>44743</v>
      </c>
      <c r="B1291" t="s">
        <v>20</v>
      </c>
      <c r="C1291" t="s">
        <v>15</v>
      </c>
      <c r="D1291">
        <v>1</v>
      </c>
      <c r="E1291" s="2">
        <f>(3700+3800+3550+3650)/4</f>
        <v>3675</v>
      </c>
      <c r="F1291" s="2">
        <f t="shared" si="203"/>
        <v>3403.1424999999999</v>
      </c>
      <c r="G1291" s="3">
        <v>1</v>
      </c>
      <c r="H1291">
        <v>3564</v>
      </c>
      <c r="I1291">
        <v>731.9</v>
      </c>
      <c r="J1291">
        <v>11805</v>
      </c>
      <c r="K1291">
        <v>13410</v>
      </c>
      <c r="L1291" s="2">
        <v>26.33</v>
      </c>
      <c r="M1291" s="5">
        <v>122.36399999999999</v>
      </c>
      <c r="N1291" s="1">
        <v>360.87240000000003</v>
      </c>
      <c r="O1291" s="2">
        <v>60.8</v>
      </c>
      <c r="P1291">
        <v>430</v>
      </c>
    </row>
    <row r="1292" spans="1:16" x14ac:dyDescent="0.35">
      <c r="A1292" s="4">
        <v>44743</v>
      </c>
      <c r="B1292" t="s">
        <v>21</v>
      </c>
      <c r="C1292" t="s">
        <v>10</v>
      </c>
      <c r="D1292">
        <v>1</v>
      </c>
      <c r="E1292" s="2">
        <f>(2950+3033+2900+3150)/4</f>
        <v>3008.25</v>
      </c>
      <c r="F1292" s="2">
        <f>(3290.86+3185.86+3234.14+3140.71)/4</f>
        <v>3212.8924999999999</v>
      </c>
      <c r="G1292" s="3">
        <v>1</v>
      </c>
      <c r="H1292">
        <v>3564</v>
      </c>
      <c r="I1292">
        <v>731.9</v>
      </c>
      <c r="J1292">
        <v>11805</v>
      </c>
      <c r="K1292">
        <v>13410</v>
      </c>
      <c r="L1292" s="2">
        <v>26.33</v>
      </c>
      <c r="M1292" s="5">
        <v>122.36399999999999</v>
      </c>
      <c r="N1292" s="1">
        <v>360.87240000000003</v>
      </c>
      <c r="O1292" s="2">
        <v>60.8</v>
      </c>
      <c r="P1292">
        <v>430</v>
      </c>
    </row>
    <row r="1293" spans="1:16" x14ac:dyDescent="0.35">
      <c r="A1293" s="4">
        <v>44743</v>
      </c>
      <c r="B1293" t="s">
        <v>21</v>
      </c>
      <c r="C1293" t="s">
        <v>11</v>
      </c>
      <c r="D1293">
        <v>1</v>
      </c>
      <c r="E1293" s="2">
        <v>3625</v>
      </c>
      <c r="F1293" s="2">
        <f t="shared" ref="F1293:F1297" si="204">(3290.86+3185.86+3234.14+3140.71)/4</f>
        <v>3212.8924999999999</v>
      </c>
      <c r="G1293" s="3">
        <v>1</v>
      </c>
      <c r="H1293">
        <v>3564</v>
      </c>
      <c r="I1293">
        <v>731.9</v>
      </c>
      <c r="J1293">
        <v>11805</v>
      </c>
      <c r="K1293">
        <v>13410</v>
      </c>
      <c r="L1293" s="2">
        <v>26.33</v>
      </c>
      <c r="M1293" s="5">
        <v>122.36399999999999</v>
      </c>
      <c r="N1293" s="1">
        <v>360.87240000000003</v>
      </c>
      <c r="O1293" s="2">
        <v>60.8</v>
      </c>
      <c r="P1293">
        <v>430</v>
      </c>
    </row>
    <row r="1294" spans="1:16" x14ac:dyDescent="0.35">
      <c r="A1294" s="4">
        <v>44743</v>
      </c>
      <c r="B1294" t="s">
        <v>21</v>
      </c>
      <c r="C1294" t="s">
        <v>12</v>
      </c>
      <c r="D1294">
        <v>1</v>
      </c>
      <c r="E1294" s="2">
        <v>2525</v>
      </c>
      <c r="F1294" s="2">
        <f t="shared" si="204"/>
        <v>3212.8924999999999</v>
      </c>
      <c r="G1294" s="3">
        <v>1</v>
      </c>
      <c r="H1294">
        <v>3564</v>
      </c>
      <c r="I1294">
        <v>731.9</v>
      </c>
      <c r="J1294">
        <v>11805</v>
      </c>
      <c r="K1294">
        <v>13410</v>
      </c>
      <c r="L1294" s="2">
        <v>26.33</v>
      </c>
      <c r="M1294" s="5">
        <v>122.36399999999999</v>
      </c>
      <c r="N1294" s="1">
        <v>360.87240000000003</v>
      </c>
      <c r="O1294" s="2">
        <v>60.8</v>
      </c>
      <c r="P1294">
        <v>430</v>
      </c>
    </row>
    <row r="1295" spans="1:16" x14ac:dyDescent="0.35">
      <c r="A1295" s="4">
        <v>44743</v>
      </c>
      <c r="B1295" t="s">
        <v>21</v>
      </c>
      <c r="C1295" t="s">
        <v>13</v>
      </c>
      <c r="D1295">
        <v>1</v>
      </c>
      <c r="E1295" s="2">
        <f>(3500+3480+3650+3500)/4</f>
        <v>3532.5</v>
      </c>
      <c r="F1295" s="2">
        <f t="shared" si="204"/>
        <v>3212.8924999999999</v>
      </c>
      <c r="G1295" s="3">
        <v>1</v>
      </c>
      <c r="H1295">
        <v>3564</v>
      </c>
      <c r="I1295">
        <v>731.9</v>
      </c>
      <c r="J1295">
        <v>11805</v>
      </c>
      <c r="K1295">
        <v>13410</v>
      </c>
      <c r="L1295" s="2">
        <v>26.33</v>
      </c>
      <c r="M1295" s="5">
        <v>122.36399999999999</v>
      </c>
      <c r="N1295" s="1">
        <v>360.87240000000003</v>
      </c>
      <c r="O1295" s="2">
        <v>60.8</v>
      </c>
      <c r="P1295">
        <v>430</v>
      </c>
    </row>
    <row r="1296" spans="1:16" x14ac:dyDescent="0.35">
      <c r="A1296" s="4">
        <v>44743</v>
      </c>
      <c r="B1296" t="s">
        <v>21</v>
      </c>
      <c r="C1296" t="s">
        <v>14</v>
      </c>
      <c r="D1296">
        <v>1</v>
      </c>
      <c r="E1296" s="2">
        <f>(3485+3606+3421+3586)/4</f>
        <v>3524.5</v>
      </c>
      <c r="F1296" s="2">
        <f t="shared" si="204"/>
        <v>3212.8924999999999</v>
      </c>
      <c r="G1296" s="3">
        <v>1</v>
      </c>
      <c r="H1296">
        <v>3564</v>
      </c>
      <c r="I1296">
        <v>731.9</v>
      </c>
      <c r="J1296">
        <v>11805</v>
      </c>
      <c r="K1296">
        <v>13410</v>
      </c>
      <c r="L1296" s="2">
        <v>26.33</v>
      </c>
      <c r="M1296" s="5">
        <v>122.36399999999999</v>
      </c>
      <c r="N1296" s="1">
        <v>360.87240000000003</v>
      </c>
      <c r="O1296" s="2">
        <v>60.8</v>
      </c>
      <c r="P1296">
        <v>430</v>
      </c>
    </row>
    <row r="1297" spans="1:16" x14ac:dyDescent="0.35">
      <c r="A1297" s="4">
        <v>44743</v>
      </c>
      <c r="B1297" t="s">
        <v>21</v>
      </c>
      <c r="C1297" t="s">
        <v>15</v>
      </c>
      <c r="D1297">
        <v>1</v>
      </c>
      <c r="E1297" s="2">
        <f>(3600+3400+3700+3550)/4</f>
        <v>3562.5</v>
      </c>
      <c r="F1297" s="2">
        <f t="shared" si="204"/>
        <v>3212.8924999999999</v>
      </c>
      <c r="G1297" s="3">
        <v>1</v>
      </c>
      <c r="H1297">
        <v>3564</v>
      </c>
      <c r="I1297">
        <v>731.9</v>
      </c>
      <c r="J1297">
        <v>11805</v>
      </c>
      <c r="K1297">
        <v>13410</v>
      </c>
      <c r="L1297" s="2">
        <v>26.33</v>
      </c>
      <c r="M1297" s="5">
        <v>122.36399999999999</v>
      </c>
      <c r="N1297" s="1">
        <v>360.87240000000003</v>
      </c>
      <c r="O1297" s="2">
        <v>60.8</v>
      </c>
      <c r="P1297">
        <v>430</v>
      </c>
    </row>
    <row r="1298" spans="1:16" x14ac:dyDescent="0.35">
      <c r="A1298" s="4">
        <v>44743</v>
      </c>
      <c r="B1298" t="s">
        <v>22</v>
      </c>
      <c r="C1298" t="s">
        <v>10</v>
      </c>
      <c r="D1298">
        <v>0</v>
      </c>
      <c r="E1298" s="2" t="s">
        <v>27</v>
      </c>
      <c r="F1298" s="2">
        <f t="shared" ref="F1298:F1301" si="205">(3100+3200+3040+2900)/4</f>
        <v>3060</v>
      </c>
      <c r="G1298" s="3">
        <v>1</v>
      </c>
      <c r="H1298">
        <v>3564</v>
      </c>
      <c r="I1298">
        <v>731.9</v>
      </c>
      <c r="J1298">
        <v>11805</v>
      </c>
      <c r="K1298">
        <v>13410</v>
      </c>
      <c r="L1298" s="2">
        <v>26.33</v>
      </c>
      <c r="M1298" s="5">
        <v>122.36399999999999</v>
      </c>
      <c r="N1298" s="1">
        <v>360.87240000000003</v>
      </c>
      <c r="O1298" s="2">
        <v>60.8</v>
      </c>
      <c r="P1298">
        <v>430</v>
      </c>
    </row>
    <row r="1299" spans="1:16" x14ac:dyDescent="0.35">
      <c r="A1299" s="4">
        <v>44743</v>
      </c>
      <c r="B1299" t="s">
        <v>22</v>
      </c>
      <c r="C1299" t="s">
        <v>11</v>
      </c>
      <c r="D1299">
        <v>0</v>
      </c>
      <c r="E1299" s="2" t="s">
        <v>27</v>
      </c>
      <c r="F1299" s="2">
        <f t="shared" si="205"/>
        <v>3060</v>
      </c>
      <c r="G1299" s="3">
        <v>1</v>
      </c>
      <c r="H1299">
        <v>3564</v>
      </c>
      <c r="I1299">
        <v>731.9</v>
      </c>
      <c r="J1299">
        <v>11805</v>
      </c>
      <c r="K1299">
        <v>13410</v>
      </c>
      <c r="L1299" s="2">
        <v>26.33</v>
      </c>
      <c r="M1299" s="5">
        <v>122.36399999999999</v>
      </c>
      <c r="N1299" s="1">
        <v>360.87240000000003</v>
      </c>
      <c r="O1299" s="2">
        <v>60.8</v>
      </c>
      <c r="P1299">
        <v>430</v>
      </c>
    </row>
    <row r="1300" spans="1:16" x14ac:dyDescent="0.35">
      <c r="A1300" s="4">
        <v>44743</v>
      </c>
      <c r="B1300" t="s">
        <v>22</v>
      </c>
      <c r="C1300" t="s">
        <v>12</v>
      </c>
      <c r="D1300">
        <v>0</v>
      </c>
      <c r="E1300" s="2" t="s">
        <v>27</v>
      </c>
      <c r="F1300" s="2">
        <f t="shared" si="205"/>
        <v>3060</v>
      </c>
      <c r="G1300" s="3">
        <v>1</v>
      </c>
      <c r="H1300">
        <v>3564</v>
      </c>
      <c r="I1300">
        <v>731.9</v>
      </c>
      <c r="J1300">
        <v>11805</v>
      </c>
      <c r="K1300">
        <v>13410</v>
      </c>
      <c r="L1300" s="2">
        <v>26.33</v>
      </c>
      <c r="M1300" s="5">
        <v>122.36399999999999</v>
      </c>
      <c r="N1300" s="1">
        <v>360.87240000000003</v>
      </c>
      <c r="O1300" s="2">
        <v>60.8</v>
      </c>
      <c r="P1300">
        <v>430</v>
      </c>
    </row>
    <row r="1301" spans="1:16" x14ac:dyDescent="0.35">
      <c r="A1301" s="4">
        <v>44743</v>
      </c>
      <c r="B1301" t="s">
        <v>22</v>
      </c>
      <c r="C1301" t="s">
        <v>13</v>
      </c>
      <c r="D1301">
        <v>0</v>
      </c>
      <c r="E1301" s="2" t="s">
        <v>27</v>
      </c>
      <c r="F1301" s="2">
        <f t="shared" si="205"/>
        <v>3060</v>
      </c>
      <c r="G1301" s="3">
        <v>1</v>
      </c>
      <c r="H1301">
        <v>3564</v>
      </c>
      <c r="I1301">
        <v>731.9</v>
      </c>
      <c r="J1301">
        <v>11805</v>
      </c>
      <c r="K1301">
        <v>13410</v>
      </c>
      <c r="L1301" s="2">
        <v>26.33</v>
      </c>
      <c r="M1301" s="5">
        <v>122.36399999999999</v>
      </c>
      <c r="N1301" s="1">
        <v>360.87240000000003</v>
      </c>
      <c r="O1301" s="2">
        <v>60.8</v>
      </c>
      <c r="P1301">
        <v>430</v>
      </c>
    </row>
    <row r="1302" spans="1:16" x14ac:dyDescent="0.35">
      <c r="A1302" s="4">
        <v>44743</v>
      </c>
      <c r="B1302" t="s">
        <v>22</v>
      </c>
      <c r="C1302" t="s">
        <v>14</v>
      </c>
      <c r="D1302">
        <v>1</v>
      </c>
      <c r="E1302" s="2">
        <f>(3100+3200+3040+2900)/4</f>
        <v>3060</v>
      </c>
      <c r="F1302" s="2">
        <f>(3100+3200+3040+2900)/4</f>
        <v>3060</v>
      </c>
      <c r="G1302" s="3">
        <v>1</v>
      </c>
      <c r="H1302">
        <v>3564</v>
      </c>
      <c r="I1302">
        <v>731.9</v>
      </c>
      <c r="J1302">
        <v>11805</v>
      </c>
      <c r="K1302">
        <v>13410</v>
      </c>
      <c r="L1302" s="2">
        <v>26.33</v>
      </c>
      <c r="M1302" s="5">
        <v>122.36399999999999</v>
      </c>
      <c r="N1302" s="1">
        <v>360.87240000000003</v>
      </c>
      <c r="O1302" s="2">
        <v>60.8</v>
      </c>
      <c r="P1302">
        <v>430</v>
      </c>
    </row>
    <row r="1303" spans="1:16" x14ac:dyDescent="0.35">
      <c r="A1303" s="4">
        <v>44743</v>
      </c>
      <c r="B1303" t="s">
        <v>22</v>
      </c>
      <c r="C1303" t="s">
        <v>15</v>
      </c>
      <c r="D1303">
        <v>0</v>
      </c>
      <c r="E1303" s="2" t="s">
        <v>27</v>
      </c>
      <c r="F1303" s="2">
        <f>(3100+3200+3040+2900)/4</f>
        <v>3060</v>
      </c>
      <c r="G1303" s="3">
        <v>1</v>
      </c>
      <c r="H1303">
        <v>3564</v>
      </c>
      <c r="I1303">
        <v>731.9</v>
      </c>
      <c r="J1303">
        <v>11805</v>
      </c>
      <c r="K1303">
        <v>13410</v>
      </c>
      <c r="L1303" s="2">
        <v>26.33</v>
      </c>
      <c r="M1303" s="5">
        <v>122.36399999999999</v>
      </c>
      <c r="N1303" s="1">
        <v>360.87240000000003</v>
      </c>
      <c r="O1303" s="2">
        <v>60.8</v>
      </c>
      <c r="P1303">
        <v>430</v>
      </c>
    </row>
    <row r="1304" spans="1:16" x14ac:dyDescent="0.35">
      <c r="A1304" s="4">
        <v>44774</v>
      </c>
      <c r="B1304" t="s">
        <v>16</v>
      </c>
      <c r="C1304" t="s">
        <v>10</v>
      </c>
      <c r="D1304">
        <v>1</v>
      </c>
      <c r="E1304" s="2">
        <f>(5066+5166*2+5033+5230)/5</f>
        <v>5132.2</v>
      </c>
      <c r="F1304" s="2">
        <f>(5137.5+5093.75+5129.5+5251.5+5207.75)/5</f>
        <v>5164</v>
      </c>
      <c r="G1304" s="3">
        <v>1</v>
      </c>
      <c r="H1304">
        <v>2376</v>
      </c>
      <c r="I1304">
        <v>2744.7</v>
      </c>
      <c r="J1304">
        <v>15435</v>
      </c>
      <c r="K1304">
        <v>13410</v>
      </c>
      <c r="L1304" s="2">
        <v>25.993749999999999</v>
      </c>
      <c r="M1304" s="5">
        <v>169.767</v>
      </c>
      <c r="N1304" s="1">
        <v>360.99829999999997</v>
      </c>
      <c r="O1304" s="2">
        <v>64.3</v>
      </c>
      <c r="P1304">
        <v>430</v>
      </c>
    </row>
    <row r="1305" spans="1:16" x14ac:dyDescent="0.35">
      <c r="A1305" s="4">
        <v>44774</v>
      </c>
      <c r="B1305" t="s">
        <v>16</v>
      </c>
      <c r="C1305" t="s">
        <v>11</v>
      </c>
      <c r="D1305">
        <v>0</v>
      </c>
      <c r="E1305" s="2" t="s">
        <v>27</v>
      </c>
      <c r="F1305" s="2">
        <f t="shared" ref="F1305:F1309" si="206">(5137.5+5093.75+5129.5+5251.5+5207.75)/5</f>
        <v>5164</v>
      </c>
      <c r="G1305" s="3">
        <v>1</v>
      </c>
      <c r="H1305">
        <v>2376</v>
      </c>
      <c r="I1305">
        <v>2744.7</v>
      </c>
      <c r="J1305">
        <v>15435</v>
      </c>
      <c r="K1305">
        <v>13410</v>
      </c>
      <c r="L1305" s="2">
        <v>25.993749999999999</v>
      </c>
      <c r="M1305" s="5">
        <v>169.767</v>
      </c>
      <c r="N1305" s="1">
        <v>360.99829999999997</v>
      </c>
      <c r="O1305" s="2">
        <v>64.3</v>
      </c>
      <c r="P1305">
        <v>430</v>
      </c>
    </row>
    <row r="1306" spans="1:16" x14ac:dyDescent="0.35">
      <c r="A1306" s="4">
        <v>44774</v>
      </c>
      <c r="B1306" t="s">
        <v>16</v>
      </c>
      <c r="C1306" t="s">
        <v>12</v>
      </c>
      <c r="D1306">
        <v>1</v>
      </c>
      <c r="E1306" s="2">
        <v>4784</v>
      </c>
      <c r="F1306" s="2">
        <f t="shared" si="206"/>
        <v>5164</v>
      </c>
      <c r="G1306" s="3">
        <v>1</v>
      </c>
      <c r="H1306">
        <v>2376</v>
      </c>
      <c r="I1306">
        <v>2744.7</v>
      </c>
      <c r="J1306">
        <v>15435</v>
      </c>
      <c r="K1306">
        <v>13410</v>
      </c>
      <c r="L1306" s="2">
        <v>25.993749999999999</v>
      </c>
      <c r="M1306" s="5">
        <v>169.767</v>
      </c>
      <c r="N1306" s="1">
        <v>360.99829999999997</v>
      </c>
      <c r="O1306" s="2">
        <v>64.3</v>
      </c>
      <c r="P1306">
        <v>430</v>
      </c>
    </row>
    <row r="1307" spans="1:16" x14ac:dyDescent="0.35">
      <c r="A1307" s="4">
        <v>44774</v>
      </c>
      <c r="B1307" t="s">
        <v>16</v>
      </c>
      <c r="C1307" t="s">
        <v>13</v>
      </c>
      <c r="D1307">
        <v>1</v>
      </c>
      <c r="E1307" s="2">
        <v>5180</v>
      </c>
      <c r="F1307" s="2">
        <f t="shared" si="206"/>
        <v>5164</v>
      </c>
      <c r="G1307" s="3">
        <v>1</v>
      </c>
      <c r="H1307">
        <v>2376</v>
      </c>
      <c r="I1307">
        <v>2744.7</v>
      </c>
      <c r="J1307">
        <v>15435</v>
      </c>
      <c r="K1307">
        <v>13410</v>
      </c>
      <c r="L1307" s="2">
        <v>25.993749999999999</v>
      </c>
      <c r="M1307" s="5">
        <v>169.767</v>
      </c>
      <c r="N1307" s="1">
        <v>360.99829999999997</v>
      </c>
      <c r="O1307" s="2">
        <v>64.3</v>
      </c>
      <c r="P1307">
        <v>430</v>
      </c>
    </row>
    <row r="1308" spans="1:16" x14ac:dyDescent="0.35">
      <c r="A1308" s="4">
        <v>44774</v>
      </c>
      <c r="B1308" t="s">
        <v>16</v>
      </c>
      <c r="C1308" t="s">
        <v>14</v>
      </c>
      <c r="D1308">
        <v>1</v>
      </c>
      <c r="E1308" s="2">
        <f>(5575+5550+5562+5562+5550)/5</f>
        <v>5559.8</v>
      </c>
      <c r="F1308" s="2">
        <f t="shared" si="206"/>
        <v>5164</v>
      </c>
      <c r="G1308" s="3">
        <v>1</v>
      </c>
      <c r="H1308">
        <v>2376</v>
      </c>
      <c r="I1308">
        <v>2744.7</v>
      </c>
      <c r="J1308">
        <v>15435</v>
      </c>
      <c r="K1308">
        <v>13410</v>
      </c>
      <c r="L1308" s="2">
        <v>25.993749999999999</v>
      </c>
      <c r="M1308" s="5">
        <v>169.767</v>
      </c>
      <c r="N1308" s="1">
        <v>360.99829999999997</v>
      </c>
      <c r="O1308" s="2">
        <v>64.3</v>
      </c>
      <c r="P1308">
        <v>430</v>
      </c>
    </row>
    <row r="1309" spans="1:16" x14ac:dyDescent="0.35">
      <c r="A1309" s="4">
        <v>44774</v>
      </c>
      <c r="B1309" t="s">
        <v>16</v>
      </c>
      <c r="C1309" t="s">
        <v>15</v>
      </c>
      <c r="D1309">
        <v>0</v>
      </c>
      <c r="E1309" s="2" t="s">
        <v>27</v>
      </c>
      <c r="F1309" s="2">
        <f t="shared" si="206"/>
        <v>5164</v>
      </c>
      <c r="G1309" s="3">
        <v>1</v>
      </c>
      <c r="H1309">
        <v>2376</v>
      </c>
      <c r="I1309">
        <v>2744.7</v>
      </c>
      <c r="J1309">
        <v>15435</v>
      </c>
      <c r="K1309">
        <v>13410</v>
      </c>
      <c r="L1309" s="2">
        <v>25.993749999999999</v>
      </c>
      <c r="M1309" s="5">
        <v>169.767</v>
      </c>
      <c r="N1309" s="1">
        <v>360.99829999999997</v>
      </c>
      <c r="O1309" s="2">
        <v>64.3</v>
      </c>
      <c r="P1309">
        <v>430</v>
      </c>
    </row>
    <row r="1310" spans="1:16" x14ac:dyDescent="0.35">
      <c r="A1310" s="4">
        <v>44774</v>
      </c>
      <c r="B1310" t="s">
        <v>17</v>
      </c>
      <c r="C1310" t="s">
        <v>10</v>
      </c>
      <c r="D1310">
        <v>1</v>
      </c>
      <c r="E1310" s="2">
        <f>(4483+4733+4850+4533+4425)/5</f>
        <v>4604.8</v>
      </c>
      <c r="F1310" s="2">
        <f>(4607+4632+4680.6+4583.6+4388.6)/5</f>
        <v>4578.3600000000006</v>
      </c>
      <c r="G1310" s="3">
        <v>1</v>
      </c>
      <c r="H1310">
        <v>2376</v>
      </c>
      <c r="I1310">
        <v>2744.7</v>
      </c>
      <c r="J1310">
        <v>15435</v>
      </c>
      <c r="K1310">
        <v>13410</v>
      </c>
      <c r="L1310" s="2">
        <v>25.993749999999999</v>
      </c>
      <c r="M1310" s="5">
        <v>169.767</v>
      </c>
      <c r="N1310" s="1">
        <v>360.99829999999997</v>
      </c>
      <c r="O1310" s="2">
        <v>64.3</v>
      </c>
      <c r="P1310">
        <v>430</v>
      </c>
    </row>
    <row r="1311" spans="1:16" x14ac:dyDescent="0.35">
      <c r="A1311" s="4">
        <v>44774</v>
      </c>
      <c r="B1311" t="s">
        <v>17</v>
      </c>
      <c r="C1311" t="s">
        <v>11</v>
      </c>
      <c r="D1311">
        <v>1</v>
      </c>
      <c r="E1311" s="2">
        <f>(4800*2+4700*2+4200)/5</f>
        <v>4640</v>
      </c>
      <c r="F1311" s="2">
        <f t="shared" ref="F1311:F1315" si="207">(4607+4632+4680.6+4583.6+4388.6)/5</f>
        <v>4578.3600000000006</v>
      </c>
      <c r="G1311" s="3">
        <v>1</v>
      </c>
      <c r="H1311">
        <v>2376</v>
      </c>
      <c r="I1311">
        <v>2744.7</v>
      </c>
      <c r="J1311">
        <v>15435</v>
      </c>
      <c r="K1311">
        <v>13410</v>
      </c>
      <c r="L1311" s="2">
        <v>25.993749999999999</v>
      </c>
      <c r="M1311" s="5">
        <v>169.767</v>
      </c>
      <c r="N1311" s="1">
        <v>360.99829999999997</v>
      </c>
      <c r="O1311" s="2">
        <v>64.3</v>
      </c>
      <c r="P1311">
        <v>430</v>
      </c>
    </row>
    <row r="1312" spans="1:16" x14ac:dyDescent="0.35">
      <c r="A1312" s="4">
        <v>44774</v>
      </c>
      <c r="B1312" t="s">
        <v>17</v>
      </c>
      <c r="C1312" t="s">
        <v>12</v>
      </c>
      <c r="D1312">
        <v>1</v>
      </c>
      <c r="E1312" s="2">
        <v>4485</v>
      </c>
      <c r="F1312" s="2">
        <f t="shared" si="207"/>
        <v>4578.3600000000006</v>
      </c>
      <c r="G1312" s="3">
        <v>1</v>
      </c>
      <c r="H1312">
        <v>2376</v>
      </c>
      <c r="I1312">
        <v>2744.7</v>
      </c>
      <c r="J1312">
        <v>15435</v>
      </c>
      <c r="K1312">
        <v>13410</v>
      </c>
      <c r="L1312" s="2">
        <v>25.993749999999999</v>
      </c>
      <c r="M1312" s="5">
        <v>169.767</v>
      </c>
      <c r="N1312" s="1">
        <v>360.99829999999997</v>
      </c>
      <c r="O1312" s="2">
        <v>64.3</v>
      </c>
      <c r="P1312">
        <v>430</v>
      </c>
    </row>
    <row r="1313" spans="1:16" x14ac:dyDescent="0.35">
      <c r="A1313" s="4">
        <v>44774</v>
      </c>
      <c r="B1313" t="s">
        <v>17</v>
      </c>
      <c r="C1313" t="s">
        <v>13</v>
      </c>
      <c r="D1313">
        <v>1</v>
      </c>
      <c r="E1313" s="2">
        <f>(4425+4375*2+4100+4175)/5</f>
        <v>4290</v>
      </c>
      <c r="F1313" s="2">
        <f t="shared" si="207"/>
        <v>4578.3600000000006</v>
      </c>
      <c r="G1313" s="3">
        <v>1</v>
      </c>
      <c r="H1313">
        <v>2376</v>
      </c>
      <c r="I1313">
        <v>2744.7</v>
      </c>
      <c r="J1313">
        <v>15435</v>
      </c>
      <c r="K1313">
        <v>13410</v>
      </c>
      <c r="L1313" s="2">
        <v>25.993749999999999</v>
      </c>
      <c r="M1313" s="5">
        <v>169.767</v>
      </c>
      <c r="N1313" s="1">
        <v>360.99829999999997</v>
      </c>
      <c r="O1313" s="2">
        <v>64.3</v>
      </c>
      <c r="P1313">
        <v>430</v>
      </c>
    </row>
    <row r="1314" spans="1:16" x14ac:dyDescent="0.35">
      <c r="A1314" s="4">
        <v>44774</v>
      </c>
      <c r="B1314" t="s">
        <v>17</v>
      </c>
      <c r="C1314" t="s">
        <v>14</v>
      </c>
      <c r="D1314">
        <v>1</v>
      </c>
      <c r="E1314" s="2">
        <f>(4600+4900+4993+4967+4900)/5</f>
        <v>4872</v>
      </c>
      <c r="F1314" s="2">
        <f t="shared" si="207"/>
        <v>4578.3600000000006</v>
      </c>
      <c r="G1314" s="3">
        <v>1</v>
      </c>
      <c r="H1314">
        <v>2376</v>
      </c>
      <c r="I1314">
        <v>2744.7</v>
      </c>
      <c r="J1314">
        <v>15435</v>
      </c>
      <c r="K1314">
        <v>13410</v>
      </c>
      <c r="L1314" s="2">
        <v>25.993749999999999</v>
      </c>
      <c r="M1314" s="5">
        <v>169.767</v>
      </c>
      <c r="N1314" s="1">
        <v>360.99829999999997</v>
      </c>
      <c r="O1314" s="2">
        <v>64.3</v>
      </c>
      <c r="P1314">
        <v>430</v>
      </c>
    </row>
    <row r="1315" spans="1:16" x14ac:dyDescent="0.35">
      <c r="A1315" s="4">
        <v>44774</v>
      </c>
      <c r="B1315" t="s">
        <v>17</v>
      </c>
      <c r="C1315" t="s">
        <v>15</v>
      </c>
      <c r="D1315">
        <v>0</v>
      </c>
      <c r="E1315" s="2" t="s">
        <v>27</v>
      </c>
      <c r="F1315" s="2">
        <f t="shared" si="207"/>
        <v>4578.3600000000006</v>
      </c>
      <c r="G1315" s="3">
        <v>1</v>
      </c>
      <c r="H1315">
        <v>2376</v>
      </c>
      <c r="I1315">
        <v>2744.7</v>
      </c>
      <c r="J1315">
        <v>15435</v>
      </c>
      <c r="K1315">
        <v>13410</v>
      </c>
      <c r="L1315" s="2">
        <v>25.993749999999999</v>
      </c>
      <c r="M1315" s="5">
        <v>169.767</v>
      </c>
      <c r="N1315" s="1">
        <v>360.99829999999997</v>
      </c>
      <c r="O1315" s="2">
        <v>64.3</v>
      </c>
      <c r="P1315">
        <v>430</v>
      </c>
    </row>
    <row r="1316" spans="1:16" x14ac:dyDescent="0.35">
      <c r="A1316" s="4">
        <v>44774</v>
      </c>
      <c r="B1316" t="s">
        <v>18</v>
      </c>
      <c r="C1316" t="s">
        <v>10</v>
      </c>
      <c r="D1316">
        <v>1</v>
      </c>
      <c r="E1316" s="2">
        <f>(3616+4133+4250+4400+4000)/5</f>
        <v>4079.8</v>
      </c>
      <c r="F1316" s="2">
        <f>(3964+3707.57+3989.57+4012.86+4077.14)/5</f>
        <v>3950.2280000000001</v>
      </c>
      <c r="G1316" s="3">
        <v>1</v>
      </c>
      <c r="H1316">
        <v>2376</v>
      </c>
      <c r="I1316">
        <v>2744.7</v>
      </c>
      <c r="J1316">
        <v>15435</v>
      </c>
      <c r="K1316">
        <v>13410</v>
      </c>
      <c r="L1316" s="2">
        <v>25.993749999999999</v>
      </c>
      <c r="M1316" s="5">
        <v>169.767</v>
      </c>
      <c r="N1316" s="1">
        <v>360.99829999999997</v>
      </c>
      <c r="O1316" s="2">
        <v>64.3</v>
      </c>
      <c r="P1316">
        <v>430</v>
      </c>
    </row>
    <row r="1317" spans="1:16" x14ac:dyDescent="0.35">
      <c r="A1317" s="4">
        <v>44774</v>
      </c>
      <c r="B1317" t="s">
        <v>18</v>
      </c>
      <c r="C1317" t="s">
        <v>11</v>
      </c>
      <c r="D1317">
        <v>1</v>
      </c>
      <c r="E1317" s="2">
        <v>4340</v>
      </c>
      <c r="F1317" s="2">
        <f t="shared" ref="F1317:F1321" si="208">(3964+3707.57+3989.57+4012.86+4077.14)/5</f>
        <v>3950.2280000000001</v>
      </c>
      <c r="G1317" s="3">
        <v>1</v>
      </c>
      <c r="H1317">
        <v>2376</v>
      </c>
      <c r="I1317">
        <v>2744.7</v>
      </c>
      <c r="J1317">
        <v>15435</v>
      </c>
      <c r="K1317">
        <v>13410</v>
      </c>
      <c r="L1317" s="2">
        <v>25.993749999999999</v>
      </c>
      <c r="M1317" s="5">
        <v>169.767</v>
      </c>
      <c r="N1317" s="1">
        <v>360.99829999999997</v>
      </c>
      <c r="O1317" s="2">
        <v>64.3</v>
      </c>
      <c r="P1317">
        <v>430</v>
      </c>
    </row>
    <row r="1318" spans="1:16" x14ac:dyDescent="0.35">
      <c r="A1318" s="4">
        <v>44774</v>
      </c>
      <c r="B1318" t="s">
        <v>18</v>
      </c>
      <c r="C1318" t="s">
        <v>12</v>
      </c>
      <c r="D1318">
        <v>1</v>
      </c>
      <c r="E1318" s="2">
        <v>4290</v>
      </c>
      <c r="F1318" s="2">
        <f t="shared" si="208"/>
        <v>3950.2280000000001</v>
      </c>
      <c r="G1318" s="3">
        <v>1</v>
      </c>
      <c r="H1318">
        <v>2376</v>
      </c>
      <c r="I1318">
        <v>2744.7</v>
      </c>
      <c r="J1318">
        <v>15435</v>
      </c>
      <c r="K1318">
        <v>13410</v>
      </c>
      <c r="L1318" s="2">
        <v>25.993749999999999</v>
      </c>
      <c r="M1318" s="5">
        <v>169.767</v>
      </c>
      <c r="N1318" s="1">
        <v>360.99829999999997</v>
      </c>
      <c r="O1318" s="2">
        <v>64.3</v>
      </c>
      <c r="P1318">
        <v>430</v>
      </c>
    </row>
    <row r="1319" spans="1:16" x14ac:dyDescent="0.35">
      <c r="A1319" s="4">
        <v>44774</v>
      </c>
      <c r="B1319" t="s">
        <v>18</v>
      </c>
      <c r="C1319" t="s">
        <v>13</v>
      </c>
      <c r="D1319">
        <v>1</v>
      </c>
      <c r="E1319" s="2">
        <f>(3775*2+3800+3900+4100)/5</f>
        <v>3870</v>
      </c>
      <c r="F1319" s="2">
        <f t="shared" si="208"/>
        <v>3950.2280000000001</v>
      </c>
      <c r="G1319" s="3">
        <v>1</v>
      </c>
      <c r="H1319">
        <v>2376</v>
      </c>
      <c r="I1319">
        <v>2744.7</v>
      </c>
      <c r="J1319">
        <v>15435</v>
      </c>
      <c r="K1319">
        <v>13410</v>
      </c>
      <c r="L1319" s="2">
        <v>25.993749999999999</v>
      </c>
      <c r="M1319" s="5">
        <v>169.767</v>
      </c>
      <c r="N1319" s="1">
        <v>360.99829999999997</v>
      </c>
      <c r="O1319" s="2">
        <v>64.3</v>
      </c>
      <c r="P1319">
        <v>430</v>
      </c>
    </row>
    <row r="1320" spans="1:16" x14ac:dyDescent="0.35">
      <c r="A1320" s="4">
        <v>44774</v>
      </c>
      <c r="B1320" t="s">
        <v>18</v>
      </c>
      <c r="C1320" t="s">
        <v>14</v>
      </c>
      <c r="D1320">
        <v>1</v>
      </c>
      <c r="E1320" s="2">
        <f>(4500+4225+4112+4150+3862)/5</f>
        <v>4169.8</v>
      </c>
      <c r="F1320" s="2">
        <f t="shared" si="208"/>
        <v>3950.2280000000001</v>
      </c>
      <c r="G1320" s="3">
        <v>1</v>
      </c>
      <c r="H1320">
        <v>2376</v>
      </c>
      <c r="I1320">
        <v>2744.7</v>
      </c>
      <c r="J1320">
        <v>15435</v>
      </c>
      <c r="K1320">
        <v>13410</v>
      </c>
      <c r="L1320" s="2">
        <v>25.993749999999999</v>
      </c>
      <c r="M1320" s="5">
        <v>169.767</v>
      </c>
      <c r="N1320" s="1">
        <v>360.99829999999997</v>
      </c>
      <c r="O1320" s="2">
        <v>64.3</v>
      </c>
      <c r="P1320">
        <v>430</v>
      </c>
    </row>
    <row r="1321" spans="1:16" x14ac:dyDescent="0.35">
      <c r="A1321" s="4">
        <v>44774</v>
      </c>
      <c r="B1321" t="s">
        <v>18</v>
      </c>
      <c r="C1321" t="s">
        <v>15</v>
      </c>
      <c r="D1321">
        <v>1</v>
      </c>
      <c r="E1321" s="2">
        <f>(3950+3825+3725+3775*2)/5</f>
        <v>3810</v>
      </c>
      <c r="F1321" s="2">
        <f t="shared" si="208"/>
        <v>3950.2280000000001</v>
      </c>
      <c r="G1321" s="3">
        <v>1</v>
      </c>
      <c r="H1321">
        <v>2376</v>
      </c>
      <c r="I1321">
        <v>2744.7</v>
      </c>
      <c r="J1321">
        <v>15435</v>
      </c>
      <c r="K1321">
        <v>13410</v>
      </c>
      <c r="L1321" s="2">
        <v>25.993749999999999</v>
      </c>
      <c r="M1321" s="5">
        <v>169.767</v>
      </c>
      <c r="N1321" s="1">
        <v>360.99829999999997</v>
      </c>
      <c r="O1321" s="2">
        <v>64.3</v>
      </c>
      <c r="P1321">
        <v>430</v>
      </c>
    </row>
    <row r="1322" spans="1:16" x14ac:dyDescent="0.35">
      <c r="A1322" s="4">
        <v>44774</v>
      </c>
      <c r="B1322" t="s">
        <v>19</v>
      </c>
      <c r="C1322" t="s">
        <v>10</v>
      </c>
      <c r="D1322">
        <v>1</v>
      </c>
      <c r="E1322" s="2">
        <f>(3488+3666+3750+3516*2)/5</f>
        <v>3587.2</v>
      </c>
      <c r="F1322" s="2">
        <f>(3520.86+3593.29+3635+3672.71+3717.86)/5</f>
        <v>3627.9440000000004</v>
      </c>
      <c r="G1322" s="3">
        <v>1</v>
      </c>
      <c r="H1322">
        <v>2376</v>
      </c>
      <c r="I1322">
        <v>2744.7</v>
      </c>
      <c r="J1322">
        <v>15435</v>
      </c>
      <c r="K1322">
        <v>13410</v>
      </c>
      <c r="L1322" s="2">
        <v>25.993749999999999</v>
      </c>
      <c r="M1322" s="5">
        <v>169.767</v>
      </c>
      <c r="N1322" s="1">
        <v>360.99829999999997</v>
      </c>
      <c r="O1322" s="2">
        <v>64.3</v>
      </c>
      <c r="P1322">
        <v>430</v>
      </c>
    </row>
    <row r="1323" spans="1:16" x14ac:dyDescent="0.35">
      <c r="A1323" s="4">
        <v>44774</v>
      </c>
      <c r="B1323" t="s">
        <v>19</v>
      </c>
      <c r="C1323" t="s">
        <v>11</v>
      </c>
      <c r="D1323">
        <v>1</v>
      </c>
      <c r="E1323" s="2">
        <v>3800</v>
      </c>
      <c r="F1323" s="2">
        <f t="shared" ref="F1323:F1327" si="209">(3520.86+3593.29+3635+3672.71+3717.86)/5</f>
        <v>3627.9440000000004</v>
      </c>
      <c r="G1323" s="3">
        <v>1</v>
      </c>
      <c r="H1323">
        <v>2376</v>
      </c>
      <c r="I1323">
        <v>2744.7</v>
      </c>
      <c r="J1323">
        <v>15435</v>
      </c>
      <c r="K1323">
        <v>13410</v>
      </c>
      <c r="L1323" s="2">
        <v>25.993749999999999</v>
      </c>
      <c r="M1323" s="5">
        <v>169.767</v>
      </c>
      <c r="N1323" s="1">
        <v>360.99829999999997</v>
      </c>
      <c r="O1323" s="2">
        <v>64.3</v>
      </c>
      <c r="P1323">
        <v>430</v>
      </c>
    </row>
    <row r="1324" spans="1:16" x14ac:dyDescent="0.35">
      <c r="A1324" s="4">
        <v>44774</v>
      </c>
      <c r="B1324" t="s">
        <v>19</v>
      </c>
      <c r="C1324" t="s">
        <v>12</v>
      </c>
      <c r="D1324">
        <v>1</v>
      </c>
      <c r="E1324" s="2">
        <v>3972</v>
      </c>
      <c r="F1324" s="2">
        <f t="shared" si="209"/>
        <v>3627.9440000000004</v>
      </c>
      <c r="G1324" s="3">
        <v>1</v>
      </c>
      <c r="H1324">
        <v>2376</v>
      </c>
      <c r="I1324">
        <v>2744.7</v>
      </c>
      <c r="J1324">
        <v>15435</v>
      </c>
      <c r="K1324">
        <v>13410</v>
      </c>
      <c r="L1324" s="2">
        <v>25.993749999999999</v>
      </c>
      <c r="M1324" s="5">
        <v>169.767</v>
      </c>
      <c r="N1324" s="1">
        <v>360.99829999999997</v>
      </c>
      <c r="O1324" s="2">
        <v>64.3</v>
      </c>
      <c r="P1324">
        <v>430</v>
      </c>
    </row>
    <row r="1325" spans="1:16" x14ac:dyDescent="0.35">
      <c r="A1325" s="4">
        <v>44774</v>
      </c>
      <c r="B1325" t="s">
        <v>19</v>
      </c>
      <c r="C1325" t="s">
        <v>13</v>
      </c>
      <c r="D1325">
        <v>1</v>
      </c>
      <c r="E1325" s="2">
        <f>(3775+3725+3675*2+3700)/5</f>
        <v>3710</v>
      </c>
      <c r="F1325" s="2">
        <f t="shared" si="209"/>
        <v>3627.9440000000004</v>
      </c>
      <c r="G1325" s="3">
        <v>1</v>
      </c>
      <c r="H1325">
        <v>2376</v>
      </c>
      <c r="I1325">
        <v>2744.7</v>
      </c>
      <c r="J1325">
        <v>15435</v>
      </c>
      <c r="K1325">
        <v>13410</v>
      </c>
      <c r="L1325" s="2">
        <v>25.993749999999999</v>
      </c>
      <c r="M1325" s="5">
        <v>169.767</v>
      </c>
      <c r="N1325" s="1">
        <v>360.99829999999997</v>
      </c>
      <c r="O1325" s="2">
        <v>64.3</v>
      </c>
      <c r="P1325">
        <v>430</v>
      </c>
    </row>
    <row r="1326" spans="1:16" x14ac:dyDescent="0.35">
      <c r="A1326" s="4">
        <v>44774</v>
      </c>
      <c r="B1326" t="s">
        <v>19</v>
      </c>
      <c r="C1326" t="s">
        <v>14</v>
      </c>
      <c r="D1326">
        <v>1</v>
      </c>
      <c r="E1326" s="2">
        <f>(3725+3742+3825+3833+3892)/5</f>
        <v>3803.4</v>
      </c>
      <c r="F1326" s="2">
        <f t="shared" si="209"/>
        <v>3627.9440000000004</v>
      </c>
      <c r="G1326" s="3">
        <v>1</v>
      </c>
      <c r="H1326">
        <v>2376</v>
      </c>
      <c r="I1326">
        <v>2744.7</v>
      </c>
      <c r="J1326">
        <v>15435</v>
      </c>
      <c r="K1326">
        <v>13410</v>
      </c>
      <c r="L1326" s="2">
        <v>25.993749999999999</v>
      </c>
      <c r="M1326" s="5">
        <v>169.767</v>
      </c>
      <c r="N1326" s="1">
        <v>360.99829999999997</v>
      </c>
      <c r="O1326" s="2">
        <v>64.3</v>
      </c>
      <c r="P1326">
        <v>430</v>
      </c>
    </row>
    <row r="1327" spans="1:16" x14ac:dyDescent="0.35">
      <c r="A1327" s="4">
        <v>44774</v>
      </c>
      <c r="B1327" t="s">
        <v>19</v>
      </c>
      <c r="C1327" t="s">
        <v>15</v>
      </c>
      <c r="D1327">
        <v>1</v>
      </c>
      <c r="E1327" s="2">
        <v>3730</v>
      </c>
      <c r="F1327" s="2">
        <f t="shared" si="209"/>
        <v>3627.9440000000004</v>
      </c>
      <c r="G1327" s="3">
        <v>1</v>
      </c>
      <c r="H1327">
        <v>2376</v>
      </c>
      <c r="I1327">
        <v>2744.7</v>
      </c>
      <c r="J1327">
        <v>15435</v>
      </c>
      <c r="K1327">
        <v>13410</v>
      </c>
      <c r="L1327" s="2">
        <v>25.993749999999999</v>
      </c>
      <c r="M1327" s="5">
        <v>169.767</v>
      </c>
      <c r="N1327" s="1">
        <v>360.99829999999997</v>
      </c>
      <c r="O1327" s="2">
        <v>64.3</v>
      </c>
      <c r="P1327">
        <v>430</v>
      </c>
    </row>
    <row r="1328" spans="1:16" x14ac:dyDescent="0.35">
      <c r="A1328" s="4">
        <v>44774</v>
      </c>
      <c r="B1328" t="s">
        <v>20</v>
      </c>
      <c r="C1328" t="s">
        <v>10</v>
      </c>
      <c r="D1328">
        <v>1</v>
      </c>
      <c r="E1328" s="2">
        <f>(3150+3250+3483+3266+3250)/5</f>
        <v>3279.8</v>
      </c>
      <c r="F1328" s="2">
        <f>(3260+3329+3344.29+3359.29+3411)/5</f>
        <v>3340.7160000000003</v>
      </c>
      <c r="G1328" s="3">
        <v>1</v>
      </c>
      <c r="H1328">
        <v>2376</v>
      </c>
      <c r="I1328">
        <v>2744.7</v>
      </c>
      <c r="J1328">
        <v>15435</v>
      </c>
      <c r="K1328">
        <v>13410</v>
      </c>
      <c r="L1328" s="2">
        <v>25.993749999999999</v>
      </c>
      <c r="M1328" s="5">
        <v>169.767</v>
      </c>
      <c r="N1328" s="1">
        <v>360.99829999999997</v>
      </c>
      <c r="O1328" s="2">
        <v>64.3</v>
      </c>
      <c r="P1328">
        <v>430</v>
      </c>
    </row>
    <row r="1329" spans="1:16" x14ac:dyDescent="0.35">
      <c r="A1329" s="4">
        <v>44774</v>
      </c>
      <c r="B1329" t="s">
        <v>20</v>
      </c>
      <c r="C1329" t="s">
        <v>11</v>
      </c>
      <c r="D1329">
        <v>1</v>
      </c>
      <c r="E1329" s="2">
        <v>3540</v>
      </c>
      <c r="F1329" s="2">
        <f t="shared" ref="F1329:F1333" si="210">(3260+3329+3344.29+3359.29+3411)/5</f>
        <v>3340.7160000000003</v>
      </c>
      <c r="G1329" s="3">
        <v>1</v>
      </c>
      <c r="H1329">
        <v>2376</v>
      </c>
      <c r="I1329">
        <v>2744.7</v>
      </c>
      <c r="J1329">
        <v>15435</v>
      </c>
      <c r="K1329">
        <v>13410</v>
      </c>
      <c r="L1329" s="2">
        <v>25.993749999999999</v>
      </c>
      <c r="M1329" s="5">
        <v>169.767</v>
      </c>
      <c r="N1329" s="1">
        <v>360.99829999999997</v>
      </c>
      <c r="O1329" s="2">
        <v>64.3</v>
      </c>
      <c r="P1329">
        <v>430</v>
      </c>
    </row>
    <row r="1330" spans="1:16" x14ac:dyDescent="0.35">
      <c r="A1330" s="4">
        <v>44774</v>
      </c>
      <c r="B1330" t="s">
        <v>20</v>
      </c>
      <c r="C1330" t="s">
        <v>12</v>
      </c>
      <c r="D1330">
        <v>1</v>
      </c>
      <c r="E1330" s="2">
        <v>3166</v>
      </c>
      <c r="F1330" s="2">
        <f t="shared" si="210"/>
        <v>3340.7160000000003</v>
      </c>
      <c r="G1330" s="3">
        <v>1</v>
      </c>
      <c r="H1330">
        <v>2376</v>
      </c>
      <c r="I1330">
        <v>2744.7</v>
      </c>
      <c r="J1330">
        <v>15435</v>
      </c>
      <c r="K1330">
        <v>13410</v>
      </c>
      <c r="L1330" s="2">
        <v>25.993749999999999</v>
      </c>
      <c r="M1330" s="5">
        <v>169.767</v>
      </c>
      <c r="N1330" s="1">
        <v>360.99829999999997</v>
      </c>
      <c r="O1330" s="2">
        <v>64.3</v>
      </c>
      <c r="P1330">
        <v>430</v>
      </c>
    </row>
    <row r="1331" spans="1:16" x14ac:dyDescent="0.35">
      <c r="A1331" s="4">
        <v>44774</v>
      </c>
      <c r="B1331" t="s">
        <v>20</v>
      </c>
      <c r="C1331" t="s">
        <v>13</v>
      </c>
      <c r="D1331">
        <v>1</v>
      </c>
      <c r="E1331" s="2">
        <f>(3625+3600+3525+3510+3450)/5</f>
        <v>3542</v>
      </c>
      <c r="F1331" s="2">
        <f t="shared" si="210"/>
        <v>3340.7160000000003</v>
      </c>
      <c r="G1331" s="3">
        <v>1</v>
      </c>
      <c r="H1331">
        <v>2376</v>
      </c>
      <c r="I1331">
        <v>2744.7</v>
      </c>
      <c r="J1331">
        <v>15435</v>
      </c>
      <c r="K1331">
        <v>13410</v>
      </c>
      <c r="L1331" s="2">
        <v>25.993749999999999</v>
      </c>
      <c r="M1331" s="5">
        <v>169.767</v>
      </c>
      <c r="N1331" s="1">
        <v>360.99829999999997</v>
      </c>
      <c r="O1331" s="2">
        <v>64.3</v>
      </c>
      <c r="P1331">
        <v>430</v>
      </c>
    </row>
    <row r="1332" spans="1:16" x14ac:dyDescent="0.35">
      <c r="A1332" s="4">
        <v>44774</v>
      </c>
      <c r="B1332" t="s">
        <v>20</v>
      </c>
      <c r="C1332" t="s">
        <v>14</v>
      </c>
      <c r="D1332">
        <v>1</v>
      </c>
      <c r="E1332" s="2">
        <f>(3425+3562+3537+3525+3663)/5</f>
        <v>3542.4</v>
      </c>
      <c r="F1332" s="2">
        <f t="shared" si="210"/>
        <v>3340.7160000000003</v>
      </c>
      <c r="G1332" s="3">
        <v>1</v>
      </c>
      <c r="H1332">
        <v>2376</v>
      </c>
      <c r="I1332">
        <v>2744.7</v>
      </c>
      <c r="J1332">
        <v>15435</v>
      </c>
      <c r="K1332">
        <v>13410</v>
      </c>
      <c r="L1332" s="2">
        <v>25.993749999999999</v>
      </c>
      <c r="M1332" s="5">
        <v>169.767</v>
      </c>
      <c r="N1332" s="1">
        <v>360.99829999999997</v>
      </c>
      <c r="O1332" s="2">
        <v>64.3</v>
      </c>
      <c r="P1332">
        <v>430</v>
      </c>
    </row>
    <row r="1333" spans="1:16" x14ac:dyDescent="0.35">
      <c r="A1333" s="4">
        <v>44774</v>
      </c>
      <c r="B1333" t="s">
        <v>20</v>
      </c>
      <c r="C1333" t="s">
        <v>15</v>
      </c>
      <c r="D1333">
        <v>1</v>
      </c>
      <c r="E1333" s="2">
        <f>(3675+3575+3500*2+3475)/5</f>
        <v>3545</v>
      </c>
      <c r="F1333" s="2">
        <f t="shared" si="210"/>
        <v>3340.7160000000003</v>
      </c>
      <c r="G1333" s="3">
        <v>1</v>
      </c>
      <c r="H1333">
        <v>2376</v>
      </c>
      <c r="I1333">
        <v>2744.7</v>
      </c>
      <c r="J1333">
        <v>15435</v>
      </c>
      <c r="K1333">
        <v>13410</v>
      </c>
      <c r="L1333" s="2">
        <v>25.993749999999999</v>
      </c>
      <c r="M1333" s="5">
        <v>169.767</v>
      </c>
      <c r="N1333" s="1">
        <v>360.99829999999997</v>
      </c>
      <c r="O1333" s="2">
        <v>64.3</v>
      </c>
      <c r="P1333">
        <v>430</v>
      </c>
    </row>
    <row r="1334" spans="1:16" x14ac:dyDescent="0.35">
      <c r="A1334" s="4">
        <v>44774</v>
      </c>
      <c r="B1334" t="s">
        <v>21</v>
      </c>
      <c r="C1334" t="s">
        <v>10</v>
      </c>
      <c r="D1334">
        <v>1</v>
      </c>
      <c r="E1334" s="2">
        <f>(2888+2583+3033+2900+2933)/5</f>
        <v>2867.4</v>
      </c>
      <c r="F1334" s="2">
        <f>(3090.43+3160.71+3155.43+3146.57+3255.86)/5</f>
        <v>3161.8</v>
      </c>
      <c r="G1334" s="3">
        <v>1</v>
      </c>
      <c r="H1334">
        <v>2376</v>
      </c>
      <c r="I1334">
        <v>2744.7</v>
      </c>
      <c r="J1334">
        <v>15435</v>
      </c>
      <c r="K1334">
        <v>13410</v>
      </c>
      <c r="L1334" s="2">
        <v>25.993749999999999</v>
      </c>
      <c r="M1334" s="5">
        <v>169.767</v>
      </c>
      <c r="N1334" s="1">
        <v>360.99829999999997</v>
      </c>
      <c r="O1334" s="2">
        <v>64.3</v>
      </c>
      <c r="P1334">
        <v>430</v>
      </c>
    </row>
    <row r="1335" spans="1:16" x14ac:dyDescent="0.35">
      <c r="A1335" s="4">
        <v>44774</v>
      </c>
      <c r="B1335" t="s">
        <v>21</v>
      </c>
      <c r="C1335" t="s">
        <v>11</v>
      </c>
      <c r="D1335">
        <v>1</v>
      </c>
      <c r="E1335" s="2">
        <v>3400</v>
      </c>
      <c r="F1335" s="2">
        <f t="shared" ref="F1335:F1339" si="211">(3090.43+3160.71+3155.43+3146.57+3255.86)/5</f>
        <v>3161.8</v>
      </c>
      <c r="G1335" s="3">
        <v>1</v>
      </c>
      <c r="H1335">
        <v>2376</v>
      </c>
      <c r="I1335">
        <v>2744.7</v>
      </c>
      <c r="J1335">
        <v>15435</v>
      </c>
      <c r="K1335">
        <v>13410</v>
      </c>
      <c r="L1335" s="2">
        <v>25.993749999999999</v>
      </c>
      <c r="M1335" s="5">
        <v>169.767</v>
      </c>
      <c r="N1335" s="1">
        <v>360.99829999999997</v>
      </c>
      <c r="O1335" s="2">
        <v>64.3</v>
      </c>
      <c r="P1335">
        <v>430</v>
      </c>
    </row>
    <row r="1336" spans="1:16" x14ac:dyDescent="0.35">
      <c r="A1336" s="4">
        <v>44774</v>
      </c>
      <c r="B1336" t="s">
        <v>21</v>
      </c>
      <c r="C1336" t="s">
        <v>12</v>
      </c>
      <c r="D1336">
        <v>1</v>
      </c>
      <c r="E1336" s="2">
        <v>3000</v>
      </c>
      <c r="F1336" s="2">
        <f t="shared" si="211"/>
        <v>3161.8</v>
      </c>
      <c r="G1336" s="3">
        <v>1</v>
      </c>
      <c r="H1336">
        <v>2376</v>
      </c>
      <c r="I1336">
        <v>2744.7</v>
      </c>
      <c r="J1336">
        <v>15435</v>
      </c>
      <c r="K1336">
        <v>13410</v>
      </c>
      <c r="L1336" s="2">
        <v>25.993749999999999</v>
      </c>
      <c r="M1336" s="5">
        <v>169.767</v>
      </c>
      <c r="N1336" s="1">
        <v>360.99829999999997</v>
      </c>
      <c r="O1336" s="2">
        <v>64.3</v>
      </c>
      <c r="P1336">
        <v>430</v>
      </c>
    </row>
    <row r="1337" spans="1:16" x14ac:dyDescent="0.35">
      <c r="A1337" s="4">
        <v>44774</v>
      </c>
      <c r="B1337" t="s">
        <v>21</v>
      </c>
      <c r="C1337" t="s">
        <v>13</v>
      </c>
      <c r="D1337">
        <v>1</v>
      </c>
      <c r="E1337" s="2">
        <f>(3525+3500+3425+3475+3275)/5</f>
        <v>3440</v>
      </c>
      <c r="F1337" s="2">
        <f t="shared" si="211"/>
        <v>3161.8</v>
      </c>
      <c r="G1337" s="3">
        <v>1</v>
      </c>
      <c r="H1337">
        <v>2376</v>
      </c>
      <c r="I1337">
        <v>2744.7</v>
      </c>
      <c r="J1337">
        <v>15435</v>
      </c>
      <c r="K1337">
        <v>13410</v>
      </c>
      <c r="L1337" s="2">
        <v>25.993749999999999</v>
      </c>
      <c r="M1337" s="5">
        <v>169.767</v>
      </c>
      <c r="N1337" s="1">
        <v>360.99829999999997</v>
      </c>
      <c r="O1337" s="2">
        <v>64.3</v>
      </c>
      <c r="P1337">
        <v>430</v>
      </c>
    </row>
    <row r="1338" spans="1:16" x14ac:dyDescent="0.35">
      <c r="A1338" s="4">
        <v>44774</v>
      </c>
      <c r="B1338" t="s">
        <v>21</v>
      </c>
      <c r="C1338" t="s">
        <v>14</v>
      </c>
      <c r="D1338">
        <v>1</v>
      </c>
      <c r="E1338" s="2">
        <f>(3375+3450+3414+3493+3578)/5</f>
        <v>3462</v>
      </c>
      <c r="F1338" s="2">
        <f t="shared" si="211"/>
        <v>3161.8</v>
      </c>
      <c r="G1338" s="3">
        <v>1</v>
      </c>
      <c r="H1338">
        <v>2376</v>
      </c>
      <c r="I1338">
        <v>2744.7</v>
      </c>
      <c r="J1338">
        <v>15435</v>
      </c>
      <c r="K1338">
        <v>13410</v>
      </c>
      <c r="L1338" s="2">
        <v>25.993749999999999</v>
      </c>
      <c r="M1338" s="5">
        <v>169.767</v>
      </c>
      <c r="N1338" s="1">
        <v>360.99829999999997</v>
      </c>
      <c r="O1338" s="2">
        <v>64.3</v>
      </c>
      <c r="P1338">
        <v>430</v>
      </c>
    </row>
    <row r="1339" spans="1:16" x14ac:dyDescent="0.35">
      <c r="A1339" s="4">
        <v>44774</v>
      </c>
      <c r="B1339" t="s">
        <v>21</v>
      </c>
      <c r="C1339" t="s">
        <v>15</v>
      </c>
      <c r="D1339">
        <v>1</v>
      </c>
      <c r="E1339" s="2">
        <f>(3600+3500+3350+3400+3350)/5</f>
        <v>3440</v>
      </c>
      <c r="F1339" s="2">
        <f t="shared" si="211"/>
        <v>3161.8</v>
      </c>
      <c r="G1339" s="3">
        <v>1</v>
      </c>
      <c r="H1339">
        <v>2376</v>
      </c>
      <c r="I1339">
        <v>2744.7</v>
      </c>
      <c r="J1339">
        <v>15435</v>
      </c>
      <c r="K1339">
        <v>13410</v>
      </c>
      <c r="L1339" s="2">
        <v>25.993749999999999</v>
      </c>
      <c r="M1339" s="5">
        <v>169.767</v>
      </c>
      <c r="N1339" s="1">
        <v>360.99829999999997</v>
      </c>
      <c r="O1339" s="2">
        <v>64.3</v>
      </c>
      <c r="P1339">
        <v>430</v>
      </c>
    </row>
    <row r="1340" spans="1:16" x14ac:dyDescent="0.35">
      <c r="A1340" s="4">
        <v>44774</v>
      </c>
      <c r="B1340" t="s">
        <v>22</v>
      </c>
      <c r="C1340" t="s">
        <v>10</v>
      </c>
      <c r="D1340">
        <v>0</v>
      </c>
      <c r="E1340" s="2" t="s">
        <v>27</v>
      </c>
      <c r="F1340" s="2">
        <f t="shared" ref="F1340:F1343" si="212">(3075+3000+2925+2800+2750)/5</f>
        <v>2910</v>
      </c>
      <c r="G1340" s="3">
        <v>1</v>
      </c>
      <c r="H1340">
        <v>2376</v>
      </c>
      <c r="I1340">
        <v>2744.7</v>
      </c>
      <c r="J1340">
        <v>15435</v>
      </c>
      <c r="K1340">
        <v>13410</v>
      </c>
      <c r="L1340" s="2">
        <v>25.993749999999999</v>
      </c>
      <c r="M1340" s="5">
        <v>169.767</v>
      </c>
      <c r="N1340" s="1">
        <v>360.99829999999997</v>
      </c>
      <c r="O1340" s="2">
        <v>64.3</v>
      </c>
      <c r="P1340">
        <v>430</v>
      </c>
    </row>
    <row r="1341" spans="1:16" x14ac:dyDescent="0.35">
      <c r="A1341" s="4">
        <v>44774</v>
      </c>
      <c r="B1341" t="s">
        <v>22</v>
      </c>
      <c r="C1341" t="s">
        <v>11</v>
      </c>
      <c r="D1341">
        <v>0</v>
      </c>
      <c r="E1341" s="2" t="s">
        <v>27</v>
      </c>
      <c r="F1341" s="2">
        <f t="shared" si="212"/>
        <v>2910</v>
      </c>
      <c r="G1341" s="3">
        <v>1</v>
      </c>
      <c r="H1341">
        <v>2376</v>
      </c>
      <c r="I1341">
        <v>2744.7</v>
      </c>
      <c r="J1341">
        <v>15435</v>
      </c>
      <c r="K1341">
        <v>13410</v>
      </c>
      <c r="L1341" s="2">
        <v>25.993749999999999</v>
      </c>
      <c r="M1341" s="5">
        <v>169.767</v>
      </c>
      <c r="N1341" s="1">
        <v>360.99829999999997</v>
      </c>
      <c r="O1341" s="2">
        <v>64.3</v>
      </c>
      <c r="P1341">
        <v>430</v>
      </c>
    </row>
    <row r="1342" spans="1:16" x14ac:dyDescent="0.35">
      <c r="A1342" s="4">
        <v>44774</v>
      </c>
      <c r="B1342" t="s">
        <v>22</v>
      </c>
      <c r="C1342" t="s">
        <v>12</v>
      </c>
      <c r="D1342">
        <v>0</v>
      </c>
      <c r="E1342" s="2" t="s">
        <v>27</v>
      </c>
      <c r="F1342" s="2">
        <f t="shared" si="212"/>
        <v>2910</v>
      </c>
      <c r="G1342" s="3">
        <v>1</v>
      </c>
      <c r="H1342">
        <v>2376</v>
      </c>
      <c r="I1342">
        <v>2744.7</v>
      </c>
      <c r="J1342">
        <v>15435</v>
      </c>
      <c r="K1342">
        <v>13410</v>
      </c>
      <c r="L1342" s="2">
        <v>25.993749999999999</v>
      </c>
      <c r="M1342" s="5">
        <v>169.767</v>
      </c>
      <c r="N1342" s="1">
        <v>360.99829999999997</v>
      </c>
      <c r="O1342" s="2">
        <v>64.3</v>
      </c>
      <c r="P1342">
        <v>430</v>
      </c>
    </row>
    <row r="1343" spans="1:16" x14ac:dyDescent="0.35">
      <c r="A1343" s="4">
        <v>44774</v>
      </c>
      <c r="B1343" t="s">
        <v>22</v>
      </c>
      <c r="C1343" t="s">
        <v>13</v>
      </c>
      <c r="D1343">
        <v>0</v>
      </c>
      <c r="E1343" s="2" t="s">
        <v>27</v>
      </c>
      <c r="F1343" s="2">
        <f t="shared" si="212"/>
        <v>2910</v>
      </c>
      <c r="G1343" s="3">
        <v>1</v>
      </c>
      <c r="H1343">
        <v>2376</v>
      </c>
      <c r="I1343">
        <v>2744.7</v>
      </c>
      <c r="J1343">
        <v>15435</v>
      </c>
      <c r="K1343">
        <v>13410</v>
      </c>
      <c r="L1343" s="2">
        <v>25.993749999999999</v>
      </c>
      <c r="M1343" s="5">
        <v>169.767</v>
      </c>
      <c r="N1343" s="1">
        <v>360.99829999999997</v>
      </c>
      <c r="O1343" s="2">
        <v>64.3</v>
      </c>
      <c r="P1343">
        <v>430</v>
      </c>
    </row>
    <row r="1344" spans="1:16" x14ac:dyDescent="0.35">
      <c r="A1344" s="4">
        <v>44774</v>
      </c>
      <c r="B1344" t="s">
        <v>22</v>
      </c>
      <c r="C1344" t="s">
        <v>14</v>
      </c>
      <c r="D1344">
        <v>1</v>
      </c>
      <c r="E1344" s="2">
        <f>(3075+3000+2925+2800+2750)/5</f>
        <v>2910</v>
      </c>
      <c r="F1344" s="2">
        <f>(3075+3000+2925+2800+2750)/5</f>
        <v>2910</v>
      </c>
      <c r="G1344" s="3">
        <v>1</v>
      </c>
      <c r="H1344">
        <v>2376</v>
      </c>
      <c r="I1344">
        <v>2744.7</v>
      </c>
      <c r="J1344">
        <v>15435</v>
      </c>
      <c r="K1344">
        <v>13410</v>
      </c>
      <c r="L1344" s="2">
        <v>25.993749999999999</v>
      </c>
      <c r="M1344" s="5">
        <v>169.767</v>
      </c>
      <c r="N1344" s="1">
        <v>360.99829999999997</v>
      </c>
      <c r="O1344" s="2">
        <v>64.3</v>
      </c>
      <c r="P1344">
        <v>430</v>
      </c>
    </row>
    <row r="1345" spans="1:16" x14ac:dyDescent="0.35">
      <c r="A1345" s="4">
        <v>44774</v>
      </c>
      <c r="B1345" t="s">
        <v>22</v>
      </c>
      <c r="C1345" t="s">
        <v>15</v>
      </c>
      <c r="D1345">
        <v>0</v>
      </c>
      <c r="E1345" s="2" t="s">
        <v>27</v>
      </c>
      <c r="F1345" s="2">
        <f>(3075+3000+2925+2800+2750)/5</f>
        <v>2910</v>
      </c>
      <c r="G1345" s="3">
        <v>1</v>
      </c>
      <c r="H1345">
        <v>2376</v>
      </c>
      <c r="I1345">
        <v>2744.7</v>
      </c>
      <c r="J1345">
        <v>15435</v>
      </c>
      <c r="K1345">
        <v>13410</v>
      </c>
      <c r="L1345" s="2">
        <v>25.993749999999999</v>
      </c>
      <c r="M1345" s="5">
        <v>169.767</v>
      </c>
      <c r="N1345" s="1">
        <v>362.38260000000002</v>
      </c>
      <c r="O1345" s="2">
        <v>64.3</v>
      </c>
      <c r="P1345">
        <v>430</v>
      </c>
    </row>
    <row r="1346" spans="1:16" x14ac:dyDescent="0.35">
      <c r="A1346" s="4">
        <v>44805</v>
      </c>
      <c r="B1346" t="s">
        <v>16</v>
      </c>
      <c r="C1346" t="s">
        <v>10</v>
      </c>
      <c r="D1346">
        <v>1</v>
      </c>
      <c r="E1346" s="2">
        <f>(5216*2+5633+5150)/4</f>
        <v>5303.75</v>
      </c>
      <c r="F1346" s="2">
        <f>(5291.25+5236+5377+5257.75)/4</f>
        <v>5290.5</v>
      </c>
      <c r="G1346" s="3">
        <v>1</v>
      </c>
      <c r="H1346">
        <v>1188</v>
      </c>
      <c r="I1346">
        <v>2744.7</v>
      </c>
      <c r="J1346">
        <v>19485</v>
      </c>
      <c r="K1346">
        <v>17880</v>
      </c>
      <c r="L1346" s="2">
        <v>26.269999999999996</v>
      </c>
      <c r="M1346" s="5">
        <v>74.463999999999984</v>
      </c>
      <c r="N1346" s="1">
        <v>362.38260000000002</v>
      </c>
      <c r="O1346" s="2">
        <v>69.8</v>
      </c>
      <c r="P1346">
        <v>415</v>
      </c>
    </row>
    <row r="1347" spans="1:16" x14ac:dyDescent="0.35">
      <c r="A1347" s="4">
        <v>44805</v>
      </c>
      <c r="B1347" t="s">
        <v>16</v>
      </c>
      <c r="C1347" t="s">
        <v>11</v>
      </c>
      <c r="D1347">
        <v>0</v>
      </c>
      <c r="E1347" s="2" t="s">
        <v>27</v>
      </c>
      <c r="F1347" s="2">
        <f t="shared" ref="F1347:F1351" si="213">(5291.25+5236+5377+5257.75)/4</f>
        <v>5290.5</v>
      </c>
      <c r="G1347" s="3">
        <v>1</v>
      </c>
      <c r="H1347">
        <v>1188</v>
      </c>
      <c r="I1347">
        <v>2744.7</v>
      </c>
      <c r="J1347">
        <v>19485</v>
      </c>
      <c r="K1347">
        <v>17880</v>
      </c>
      <c r="L1347" s="2">
        <v>26.269999999999996</v>
      </c>
      <c r="M1347" s="5">
        <v>74.463999999999984</v>
      </c>
      <c r="N1347" s="1">
        <v>362.38260000000002</v>
      </c>
      <c r="O1347" s="2">
        <v>69.8</v>
      </c>
      <c r="P1347">
        <v>415</v>
      </c>
    </row>
    <row r="1348" spans="1:16" x14ac:dyDescent="0.35">
      <c r="A1348" s="4">
        <v>44805</v>
      </c>
      <c r="B1348" t="s">
        <v>16</v>
      </c>
      <c r="C1348" t="s">
        <v>12</v>
      </c>
      <c r="D1348">
        <v>1</v>
      </c>
      <c r="E1348" s="2">
        <v>4790</v>
      </c>
      <c r="F1348" s="2">
        <f t="shared" si="213"/>
        <v>5290.5</v>
      </c>
      <c r="G1348" s="3">
        <v>1</v>
      </c>
      <c r="H1348">
        <v>1188</v>
      </c>
      <c r="I1348">
        <v>2744.7</v>
      </c>
      <c r="J1348">
        <v>19485</v>
      </c>
      <c r="K1348">
        <v>17880</v>
      </c>
      <c r="L1348" s="2">
        <v>26.269999999999996</v>
      </c>
      <c r="M1348" s="5">
        <v>74.463999999999984</v>
      </c>
      <c r="N1348" s="1">
        <v>362.38260000000002</v>
      </c>
      <c r="O1348" s="2">
        <v>69.8</v>
      </c>
      <c r="P1348">
        <v>415</v>
      </c>
    </row>
    <row r="1349" spans="1:16" x14ac:dyDescent="0.35">
      <c r="A1349" s="4">
        <v>44805</v>
      </c>
      <c r="B1349" t="s">
        <v>16</v>
      </c>
      <c r="C1349" t="s">
        <v>13</v>
      </c>
      <c r="D1349">
        <v>1</v>
      </c>
      <c r="E1349" s="2">
        <v>5425</v>
      </c>
      <c r="F1349" s="2">
        <f t="shared" si="213"/>
        <v>5290.5</v>
      </c>
      <c r="G1349" s="3">
        <v>1</v>
      </c>
      <c r="H1349">
        <v>1188</v>
      </c>
      <c r="I1349">
        <v>2744.7</v>
      </c>
      <c r="J1349">
        <v>19485</v>
      </c>
      <c r="K1349">
        <v>17880</v>
      </c>
      <c r="L1349" s="2">
        <v>26.269999999999996</v>
      </c>
      <c r="M1349" s="5">
        <v>74.463999999999984</v>
      </c>
      <c r="N1349" s="1">
        <v>362.38260000000002</v>
      </c>
      <c r="O1349" s="2">
        <v>69.8</v>
      </c>
      <c r="P1349">
        <v>415</v>
      </c>
    </row>
    <row r="1350" spans="1:16" x14ac:dyDescent="0.35">
      <c r="A1350" s="4">
        <v>44805</v>
      </c>
      <c r="B1350" t="s">
        <v>16</v>
      </c>
      <c r="C1350" t="s">
        <v>14</v>
      </c>
      <c r="D1350">
        <v>1</v>
      </c>
      <c r="E1350" s="2">
        <f>(5575+5675+5775+5538)/4</f>
        <v>5640.75</v>
      </c>
      <c r="F1350" s="2">
        <f t="shared" si="213"/>
        <v>5290.5</v>
      </c>
      <c r="G1350" s="3">
        <v>1</v>
      </c>
      <c r="H1350">
        <v>1188</v>
      </c>
      <c r="I1350">
        <v>2744.7</v>
      </c>
      <c r="J1350">
        <v>19485</v>
      </c>
      <c r="K1350">
        <v>17880</v>
      </c>
      <c r="L1350" s="2">
        <v>26.269999999999996</v>
      </c>
      <c r="M1350" s="5">
        <v>74.463999999999984</v>
      </c>
      <c r="N1350" s="1">
        <v>362.38260000000002</v>
      </c>
      <c r="O1350" s="2">
        <v>69.8</v>
      </c>
      <c r="P1350">
        <v>415</v>
      </c>
    </row>
    <row r="1351" spans="1:16" x14ac:dyDescent="0.35">
      <c r="A1351" s="4">
        <v>44805</v>
      </c>
      <c r="B1351" t="s">
        <v>16</v>
      </c>
      <c r="C1351" t="s">
        <v>15</v>
      </c>
      <c r="D1351">
        <v>0</v>
      </c>
      <c r="E1351" s="2" t="s">
        <v>27</v>
      </c>
      <c r="F1351" s="2">
        <f t="shared" si="213"/>
        <v>5290.5</v>
      </c>
      <c r="G1351" s="3">
        <v>1</v>
      </c>
      <c r="H1351">
        <v>1188</v>
      </c>
      <c r="I1351">
        <v>2744.7</v>
      </c>
      <c r="J1351">
        <v>19485</v>
      </c>
      <c r="K1351">
        <v>17880</v>
      </c>
      <c r="L1351" s="2">
        <v>26.269999999999996</v>
      </c>
      <c r="M1351" s="5">
        <v>74.463999999999984</v>
      </c>
      <c r="N1351" s="1">
        <v>362.38260000000002</v>
      </c>
      <c r="O1351" s="2">
        <v>69.8</v>
      </c>
      <c r="P1351">
        <v>415</v>
      </c>
    </row>
    <row r="1352" spans="1:16" x14ac:dyDescent="0.35">
      <c r="A1352" s="4">
        <v>44805</v>
      </c>
      <c r="B1352" t="s">
        <v>17</v>
      </c>
      <c r="C1352" t="s">
        <v>10</v>
      </c>
      <c r="D1352">
        <v>1</v>
      </c>
      <c r="E1352" s="2">
        <f>(4083+4566+4300+4430)/4</f>
        <v>4344.75</v>
      </c>
      <c r="F1352" s="2">
        <f>(4312.4+4512.4+4290.6+4317)/4</f>
        <v>4358.1000000000004</v>
      </c>
      <c r="G1352" s="3">
        <v>1</v>
      </c>
      <c r="H1352">
        <v>1188</v>
      </c>
      <c r="I1352">
        <v>2744.7</v>
      </c>
      <c r="J1352">
        <v>19485</v>
      </c>
      <c r="K1352">
        <v>17880</v>
      </c>
      <c r="L1352" s="2">
        <v>26.269999999999996</v>
      </c>
      <c r="M1352" s="5">
        <v>74.463999999999984</v>
      </c>
      <c r="N1352" s="1">
        <v>362.38260000000002</v>
      </c>
      <c r="O1352" s="2">
        <v>69.8</v>
      </c>
      <c r="P1352">
        <v>415</v>
      </c>
    </row>
    <row r="1353" spans="1:16" x14ac:dyDescent="0.35">
      <c r="A1353" s="4">
        <v>44805</v>
      </c>
      <c r="B1353" t="s">
        <v>17</v>
      </c>
      <c r="C1353" t="s">
        <v>11</v>
      </c>
      <c r="D1353">
        <v>1</v>
      </c>
      <c r="E1353" s="2">
        <v>4150</v>
      </c>
      <c r="F1353" s="2">
        <f t="shared" ref="F1353:F1357" si="214">(4312.4+4512.4+4290.6+4317)/4</f>
        <v>4358.1000000000004</v>
      </c>
      <c r="G1353" s="3">
        <v>1</v>
      </c>
      <c r="H1353">
        <v>1188</v>
      </c>
      <c r="I1353">
        <v>2744.7</v>
      </c>
      <c r="J1353">
        <v>19485</v>
      </c>
      <c r="K1353">
        <v>17880</v>
      </c>
      <c r="L1353" s="2">
        <v>26.269999999999996</v>
      </c>
      <c r="M1353" s="5">
        <v>74.463999999999984</v>
      </c>
      <c r="N1353" s="1">
        <v>362.38260000000002</v>
      </c>
      <c r="O1353" s="2">
        <v>69.8</v>
      </c>
      <c r="P1353">
        <v>415</v>
      </c>
    </row>
    <row r="1354" spans="1:16" x14ac:dyDescent="0.35">
      <c r="A1354" s="4">
        <v>44805</v>
      </c>
      <c r="B1354" t="s">
        <v>17</v>
      </c>
      <c r="C1354" t="s">
        <v>12</v>
      </c>
      <c r="D1354">
        <v>1</v>
      </c>
      <c r="E1354" s="2">
        <v>4190</v>
      </c>
      <c r="F1354" s="2">
        <f t="shared" si="214"/>
        <v>4358.1000000000004</v>
      </c>
      <c r="G1354" s="3">
        <v>1</v>
      </c>
      <c r="H1354">
        <v>1188</v>
      </c>
      <c r="I1354">
        <v>2744.7</v>
      </c>
      <c r="J1354">
        <v>19485</v>
      </c>
      <c r="K1354">
        <v>17880</v>
      </c>
      <c r="L1354" s="2">
        <v>26.269999999999996</v>
      </c>
      <c r="M1354" s="5">
        <v>74.463999999999984</v>
      </c>
      <c r="N1354" s="1">
        <v>362.38260000000002</v>
      </c>
      <c r="O1354" s="2">
        <v>69.8</v>
      </c>
      <c r="P1354">
        <v>415</v>
      </c>
    </row>
    <row r="1355" spans="1:16" x14ac:dyDescent="0.35">
      <c r="A1355" s="4">
        <v>44805</v>
      </c>
      <c r="B1355" t="s">
        <v>17</v>
      </c>
      <c r="C1355" t="s">
        <v>13</v>
      </c>
      <c r="D1355">
        <v>1</v>
      </c>
      <c r="E1355" s="2">
        <f>(4800+4425+4450+4425)/4</f>
        <v>4525</v>
      </c>
      <c r="F1355" s="2">
        <f t="shared" si="214"/>
        <v>4358.1000000000004</v>
      </c>
      <c r="G1355" s="3">
        <v>1</v>
      </c>
      <c r="H1355">
        <v>1188</v>
      </c>
      <c r="I1355">
        <v>2744.7</v>
      </c>
      <c r="J1355">
        <v>19485</v>
      </c>
      <c r="K1355">
        <v>17880</v>
      </c>
      <c r="L1355" s="2">
        <v>26.269999999999996</v>
      </c>
      <c r="M1355" s="5">
        <v>74.463999999999984</v>
      </c>
      <c r="N1355" s="1">
        <v>362.38260000000002</v>
      </c>
      <c r="O1355" s="2">
        <v>69.8</v>
      </c>
      <c r="P1355">
        <v>415</v>
      </c>
    </row>
    <row r="1356" spans="1:16" x14ac:dyDescent="0.35">
      <c r="A1356" s="4">
        <v>44805</v>
      </c>
      <c r="B1356" t="s">
        <v>17</v>
      </c>
      <c r="C1356" t="s">
        <v>14</v>
      </c>
      <c r="D1356">
        <v>1</v>
      </c>
      <c r="E1356" s="2">
        <f>(4567+4267+4667+5067)/4</f>
        <v>4642</v>
      </c>
      <c r="F1356" s="2">
        <f t="shared" si="214"/>
        <v>4358.1000000000004</v>
      </c>
      <c r="G1356" s="3">
        <v>1</v>
      </c>
      <c r="H1356">
        <v>1188</v>
      </c>
      <c r="I1356">
        <v>2744.7</v>
      </c>
      <c r="J1356">
        <v>19485</v>
      </c>
      <c r="K1356">
        <v>17880</v>
      </c>
      <c r="L1356" s="2">
        <v>26.269999999999996</v>
      </c>
      <c r="M1356" s="5">
        <v>74.463999999999984</v>
      </c>
      <c r="N1356" s="1">
        <v>362.38260000000002</v>
      </c>
      <c r="O1356" s="2">
        <v>69.8</v>
      </c>
      <c r="P1356">
        <v>415</v>
      </c>
    </row>
    <row r="1357" spans="1:16" x14ac:dyDescent="0.35">
      <c r="A1357" s="4">
        <v>44805</v>
      </c>
      <c r="B1357" t="s">
        <v>17</v>
      </c>
      <c r="C1357" t="s">
        <v>15</v>
      </c>
      <c r="D1357">
        <v>0</v>
      </c>
      <c r="E1357" s="2" t="s">
        <v>27</v>
      </c>
      <c r="F1357" s="2">
        <f t="shared" si="214"/>
        <v>4358.1000000000004</v>
      </c>
      <c r="G1357" s="3">
        <v>1</v>
      </c>
      <c r="H1357">
        <v>1188</v>
      </c>
      <c r="I1357">
        <v>2744.7</v>
      </c>
      <c r="J1357">
        <v>19485</v>
      </c>
      <c r="K1357">
        <v>17880</v>
      </c>
      <c r="L1357" s="2">
        <v>26.269999999999996</v>
      </c>
      <c r="M1357" s="5">
        <v>74.463999999999984</v>
      </c>
      <c r="N1357" s="1">
        <v>362.38260000000002</v>
      </c>
      <c r="O1357" s="2">
        <v>69.8</v>
      </c>
      <c r="P1357">
        <v>415</v>
      </c>
    </row>
    <row r="1358" spans="1:16" x14ac:dyDescent="0.35">
      <c r="A1358" s="4">
        <v>44805</v>
      </c>
      <c r="B1358" t="s">
        <v>18</v>
      </c>
      <c r="C1358" t="s">
        <v>10</v>
      </c>
      <c r="D1358">
        <v>1</v>
      </c>
      <c r="E1358" s="2">
        <f>(3816+4083+3900*2)/4</f>
        <v>3924.75</v>
      </c>
      <c r="F1358" s="2">
        <f>(3594.29+3593.75+3622.57+3825.86)/4</f>
        <v>3659.1175000000003</v>
      </c>
      <c r="G1358" s="3">
        <v>1</v>
      </c>
      <c r="H1358">
        <v>1188</v>
      </c>
      <c r="I1358">
        <v>2744.7</v>
      </c>
      <c r="J1358">
        <v>19485</v>
      </c>
      <c r="K1358">
        <v>17880</v>
      </c>
      <c r="L1358" s="2">
        <v>26.269999999999996</v>
      </c>
      <c r="M1358" s="5">
        <v>74.463999999999984</v>
      </c>
      <c r="N1358" s="1">
        <v>362.38260000000002</v>
      </c>
      <c r="O1358" s="2">
        <v>69.8</v>
      </c>
      <c r="P1358">
        <v>415</v>
      </c>
    </row>
    <row r="1359" spans="1:16" x14ac:dyDescent="0.35">
      <c r="A1359" s="4">
        <v>44805</v>
      </c>
      <c r="B1359" t="s">
        <v>18</v>
      </c>
      <c r="C1359" t="s">
        <v>11</v>
      </c>
      <c r="D1359">
        <v>1</v>
      </c>
      <c r="E1359" s="2">
        <v>3875</v>
      </c>
      <c r="F1359" s="2">
        <f t="shared" ref="F1359:F1363" si="215">(3594.29+3593.75+3622.57+3825.86)/4</f>
        <v>3659.1175000000003</v>
      </c>
      <c r="G1359" s="3">
        <v>1</v>
      </c>
      <c r="H1359">
        <v>1188</v>
      </c>
      <c r="I1359">
        <v>2744.7</v>
      </c>
      <c r="J1359">
        <v>19485</v>
      </c>
      <c r="K1359">
        <v>17880</v>
      </c>
      <c r="L1359" s="2">
        <v>26.269999999999996</v>
      </c>
      <c r="M1359" s="5">
        <v>74.463999999999984</v>
      </c>
      <c r="N1359" s="1">
        <v>362.38260000000002</v>
      </c>
      <c r="O1359" s="2">
        <v>69.8</v>
      </c>
      <c r="P1359">
        <v>415</v>
      </c>
    </row>
    <row r="1360" spans="1:16" x14ac:dyDescent="0.35">
      <c r="A1360" s="4">
        <v>44805</v>
      </c>
      <c r="B1360" t="s">
        <v>18</v>
      </c>
      <c r="C1360" t="s">
        <v>12</v>
      </c>
      <c r="D1360">
        <v>1</v>
      </c>
      <c r="E1360" s="2">
        <f>(3250+3485+3490+4290)/4</f>
        <v>3628.75</v>
      </c>
      <c r="F1360" s="2">
        <f t="shared" si="215"/>
        <v>3659.1175000000003</v>
      </c>
      <c r="G1360" s="3">
        <v>1</v>
      </c>
      <c r="H1360">
        <v>1188</v>
      </c>
      <c r="I1360">
        <v>2744.7</v>
      </c>
      <c r="J1360">
        <v>19485</v>
      </c>
      <c r="K1360">
        <v>17880</v>
      </c>
      <c r="L1360" s="2">
        <v>26.269999999999996</v>
      </c>
      <c r="M1360" s="5">
        <v>74.463999999999984</v>
      </c>
      <c r="N1360" s="1">
        <v>362.38260000000002</v>
      </c>
      <c r="O1360" s="2">
        <v>69.8</v>
      </c>
      <c r="P1360">
        <v>415</v>
      </c>
    </row>
    <row r="1361" spans="1:16" x14ac:dyDescent="0.35">
      <c r="A1361" s="4">
        <v>44805</v>
      </c>
      <c r="B1361" t="s">
        <v>18</v>
      </c>
      <c r="C1361" t="s">
        <v>13</v>
      </c>
      <c r="D1361">
        <v>1</v>
      </c>
      <c r="E1361" s="2">
        <f>(3800+3650+3625+3525)/4</f>
        <v>3650</v>
      </c>
      <c r="F1361" s="2">
        <f t="shared" si="215"/>
        <v>3659.1175000000003</v>
      </c>
      <c r="G1361" s="3">
        <v>1</v>
      </c>
      <c r="H1361">
        <v>1188</v>
      </c>
      <c r="I1361">
        <v>2744.7</v>
      </c>
      <c r="J1361">
        <v>19485</v>
      </c>
      <c r="K1361">
        <v>17880</v>
      </c>
      <c r="L1361" s="2">
        <v>26.269999999999996</v>
      </c>
      <c r="M1361" s="5">
        <v>74.463999999999984</v>
      </c>
      <c r="N1361" s="1">
        <v>362.38260000000002</v>
      </c>
      <c r="O1361" s="2">
        <v>69.8</v>
      </c>
      <c r="P1361">
        <v>415</v>
      </c>
    </row>
    <row r="1362" spans="1:16" x14ac:dyDescent="0.35">
      <c r="A1362" s="4">
        <v>44805</v>
      </c>
      <c r="B1362" t="s">
        <v>18</v>
      </c>
      <c r="C1362" t="s">
        <v>14</v>
      </c>
      <c r="D1362">
        <v>1</v>
      </c>
      <c r="E1362" s="2">
        <f>(3900+3825+3800+4100)/4</f>
        <v>3906.25</v>
      </c>
      <c r="F1362" s="2">
        <f t="shared" si="215"/>
        <v>3659.1175000000003</v>
      </c>
      <c r="G1362" s="3">
        <v>1</v>
      </c>
      <c r="H1362">
        <v>1188</v>
      </c>
      <c r="I1362">
        <v>2744.7</v>
      </c>
      <c r="J1362">
        <v>19485</v>
      </c>
      <c r="K1362">
        <v>17880</v>
      </c>
      <c r="L1362" s="2">
        <v>26.269999999999996</v>
      </c>
      <c r="M1362" s="5">
        <v>74.463999999999984</v>
      </c>
      <c r="N1362" s="1">
        <v>362.38260000000002</v>
      </c>
      <c r="O1362" s="2">
        <v>69.8</v>
      </c>
      <c r="P1362">
        <v>415</v>
      </c>
    </row>
    <row r="1363" spans="1:16" x14ac:dyDescent="0.35">
      <c r="A1363" s="4">
        <v>44805</v>
      </c>
      <c r="B1363" t="s">
        <v>18</v>
      </c>
      <c r="C1363" t="s">
        <v>15</v>
      </c>
      <c r="D1363">
        <v>1</v>
      </c>
      <c r="E1363" s="2">
        <f>(3775*2+3590+3800)/4</f>
        <v>3735</v>
      </c>
      <c r="F1363" s="2">
        <f t="shared" si="215"/>
        <v>3659.1175000000003</v>
      </c>
      <c r="G1363" s="3">
        <v>1</v>
      </c>
      <c r="H1363">
        <v>1188</v>
      </c>
      <c r="I1363">
        <v>2744.7</v>
      </c>
      <c r="J1363">
        <v>19485</v>
      </c>
      <c r="K1363">
        <v>17880</v>
      </c>
      <c r="L1363" s="2">
        <v>26.269999999999996</v>
      </c>
      <c r="M1363" s="5">
        <v>74.463999999999984</v>
      </c>
      <c r="N1363" s="1">
        <v>362.38260000000002</v>
      </c>
      <c r="O1363" s="2">
        <v>69.8</v>
      </c>
      <c r="P1363">
        <v>415</v>
      </c>
    </row>
    <row r="1364" spans="1:16" x14ac:dyDescent="0.35">
      <c r="A1364" s="4">
        <v>44805</v>
      </c>
      <c r="B1364" t="s">
        <v>19</v>
      </c>
      <c r="C1364" t="s">
        <v>10</v>
      </c>
      <c r="D1364">
        <v>1</v>
      </c>
      <c r="E1364" s="2">
        <f>(3650+3733+3433+3566)/4</f>
        <v>3595.5</v>
      </c>
      <c r="F1364" s="2">
        <f>(3411.14+3569.57+3335.43+3355.57)/4</f>
        <v>3417.9274999999998</v>
      </c>
      <c r="G1364" s="3">
        <v>1</v>
      </c>
      <c r="H1364">
        <v>1188</v>
      </c>
      <c r="I1364">
        <v>2744.7</v>
      </c>
      <c r="J1364">
        <v>19485</v>
      </c>
      <c r="K1364">
        <v>17880</v>
      </c>
      <c r="L1364" s="2">
        <v>26.269999999999996</v>
      </c>
      <c r="M1364" s="5">
        <v>74.463999999999984</v>
      </c>
      <c r="N1364" s="1">
        <v>362.38260000000002</v>
      </c>
      <c r="O1364" s="2">
        <v>69.8</v>
      </c>
      <c r="P1364">
        <v>415</v>
      </c>
    </row>
    <row r="1365" spans="1:16" x14ac:dyDescent="0.35">
      <c r="A1365" s="4">
        <v>44805</v>
      </c>
      <c r="B1365" t="s">
        <v>19</v>
      </c>
      <c r="C1365" t="s">
        <v>11</v>
      </c>
      <c r="D1365">
        <v>1</v>
      </c>
      <c r="E1365" s="2">
        <f>(3650+3500+3400+3600)/4</f>
        <v>3537.5</v>
      </c>
      <c r="F1365" s="2">
        <f t="shared" ref="F1365:F1369" si="216">(3411.14+3569.57+3335.43+3355.57)/4</f>
        <v>3417.9274999999998</v>
      </c>
      <c r="G1365" s="3">
        <v>1</v>
      </c>
      <c r="H1365">
        <v>1188</v>
      </c>
      <c r="I1365">
        <v>2744.7</v>
      </c>
      <c r="J1365">
        <v>19485</v>
      </c>
      <c r="K1365">
        <v>17880</v>
      </c>
      <c r="L1365" s="2">
        <v>26.269999999999996</v>
      </c>
      <c r="M1365" s="5">
        <v>74.463999999999984</v>
      </c>
      <c r="N1365" s="1">
        <v>362.38260000000002</v>
      </c>
      <c r="O1365" s="2">
        <v>69.8</v>
      </c>
      <c r="P1365">
        <v>415</v>
      </c>
    </row>
    <row r="1366" spans="1:16" x14ac:dyDescent="0.35">
      <c r="A1366" s="4">
        <v>44805</v>
      </c>
      <c r="B1366" t="s">
        <v>19</v>
      </c>
      <c r="C1366" t="s">
        <v>12</v>
      </c>
      <c r="D1366">
        <v>1</v>
      </c>
      <c r="E1366" s="2">
        <f>(3190+3390*2+3970)/4</f>
        <v>3485</v>
      </c>
      <c r="F1366" s="2">
        <f t="shared" si="216"/>
        <v>3417.9274999999998</v>
      </c>
      <c r="G1366" s="3">
        <v>1</v>
      </c>
      <c r="H1366">
        <v>1188</v>
      </c>
      <c r="I1366">
        <v>2744.7</v>
      </c>
      <c r="J1366">
        <v>19485</v>
      </c>
      <c r="K1366">
        <v>17880</v>
      </c>
      <c r="L1366" s="2">
        <v>26.269999999999996</v>
      </c>
      <c r="M1366" s="5">
        <v>74.463999999999984</v>
      </c>
      <c r="N1366" s="1">
        <v>362.38260000000002</v>
      </c>
      <c r="O1366" s="2">
        <v>69.8</v>
      </c>
      <c r="P1366">
        <v>415</v>
      </c>
    </row>
    <row r="1367" spans="1:16" x14ac:dyDescent="0.35">
      <c r="A1367" s="4">
        <v>44805</v>
      </c>
      <c r="B1367" t="s">
        <v>19</v>
      </c>
      <c r="C1367" t="s">
        <v>13</v>
      </c>
      <c r="D1367">
        <v>1</v>
      </c>
      <c r="E1367" s="2">
        <f>(3725+3550+3500+3450)/4</f>
        <v>3556.25</v>
      </c>
      <c r="F1367" s="2">
        <f t="shared" si="216"/>
        <v>3417.9274999999998</v>
      </c>
      <c r="G1367" s="3">
        <v>1</v>
      </c>
      <c r="H1367">
        <v>1188</v>
      </c>
      <c r="I1367">
        <v>2744.7</v>
      </c>
      <c r="J1367">
        <v>19485</v>
      </c>
      <c r="K1367">
        <v>17880</v>
      </c>
      <c r="L1367" s="2">
        <v>26.269999999999996</v>
      </c>
      <c r="M1367" s="5">
        <v>74.463999999999984</v>
      </c>
      <c r="N1367" s="1">
        <v>362.38260000000002</v>
      </c>
      <c r="O1367" s="2">
        <v>69.8</v>
      </c>
      <c r="P1367">
        <v>415</v>
      </c>
    </row>
    <row r="1368" spans="1:16" x14ac:dyDescent="0.35">
      <c r="A1368" s="4">
        <v>44805</v>
      </c>
      <c r="B1368" t="s">
        <v>19</v>
      </c>
      <c r="C1368" t="s">
        <v>14</v>
      </c>
      <c r="D1368">
        <v>1</v>
      </c>
      <c r="E1368" s="2">
        <f>(3608+3475+3730+3717)/4</f>
        <v>3632.5</v>
      </c>
      <c r="F1368" s="2">
        <f t="shared" si="216"/>
        <v>3417.9274999999998</v>
      </c>
      <c r="G1368" s="3">
        <v>1</v>
      </c>
      <c r="H1368">
        <v>1188</v>
      </c>
      <c r="I1368">
        <v>2744.7</v>
      </c>
      <c r="J1368">
        <v>19485</v>
      </c>
      <c r="K1368">
        <v>17880</v>
      </c>
      <c r="L1368" s="2">
        <v>26.269999999999996</v>
      </c>
      <c r="M1368" s="5">
        <v>74.463999999999984</v>
      </c>
      <c r="N1368" s="1">
        <v>362.38260000000002</v>
      </c>
      <c r="O1368" s="2">
        <v>69.8</v>
      </c>
      <c r="P1368">
        <v>415</v>
      </c>
    </row>
    <row r="1369" spans="1:16" x14ac:dyDescent="0.35">
      <c r="A1369" s="4">
        <v>44805</v>
      </c>
      <c r="B1369" t="s">
        <v>19</v>
      </c>
      <c r="C1369" t="s">
        <v>15</v>
      </c>
      <c r="D1369">
        <v>1</v>
      </c>
      <c r="E1369" s="2">
        <f>(3650*2+3625+3500)/4</f>
        <v>3606.25</v>
      </c>
      <c r="F1369" s="2">
        <f t="shared" si="216"/>
        <v>3417.9274999999998</v>
      </c>
      <c r="G1369" s="3">
        <v>1</v>
      </c>
      <c r="H1369">
        <v>1188</v>
      </c>
      <c r="I1369">
        <v>2744.7</v>
      </c>
      <c r="J1369">
        <v>19485</v>
      </c>
      <c r="K1369">
        <v>17880</v>
      </c>
      <c r="L1369" s="2">
        <v>26.269999999999996</v>
      </c>
      <c r="M1369" s="5">
        <v>74.463999999999984</v>
      </c>
      <c r="N1369" s="1">
        <v>362.38260000000002</v>
      </c>
      <c r="O1369" s="2">
        <v>69.8</v>
      </c>
      <c r="P1369">
        <v>415</v>
      </c>
    </row>
    <row r="1370" spans="1:16" x14ac:dyDescent="0.35">
      <c r="A1370" s="4">
        <v>44805</v>
      </c>
      <c r="B1370" t="s">
        <v>20</v>
      </c>
      <c r="C1370" t="s">
        <v>10</v>
      </c>
      <c r="D1370">
        <v>1</v>
      </c>
      <c r="E1370" s="2">
        <f>(3133+3016+3066+3016)/4</f>
        <v>3057.75</v>
      </c>
      <c r="F1370" s="2">
        <f>(3204.43+3098.71+2982.29+3080.43)/4</f>
        <v>3091.4650000000001</v>
      </c>
      <c r="G1370" s="3">
        <v>1</v>
      </c>
      <c r="H1370">
        <v>1188</v>
      </c>
      <c r="I1370">
        <v>2744.7</v>
      </c>
      <c r="J1370">
        <v>19485</v>
      </c>
      <c r="K1370">
        <v>17880</v>
      </c>
      <c r="L1370" s="2">
        <v>26.269999999999996</v>
      </c>
      <c r="M1370" s="5">
        <v>74.463999999999984</v>
      </c>
      <c r="N1370" s="1">
        <v>362.38260000000002</v>
      </c>
      <c r="O1370" s="2">
        <v>69.8</v>
      </c>
      <c r="P1370">
        <v>415</v>
      </c>
    </row>
    <row r="1371" spans="1:16" x14ac:dyDescent="0.35">
      <c r="A1371" s="4">
        <v>44805</v>
      </c>
      <c r="B1371" t="s">
        <v>20</v>
      </c>
      <c r="C1371" t="s">
        <v>11</v>
      </c>
      <c r="D1371">
        <v>1</v>
      </c>
      <c r="E1371" s="2">
        <v>3225</v>
      </c>
      <c r="F1371" s="2">
        <f t="shared" ref="F1371:F1375" si="217">(3204.43+3098.71+2982.29+3080.43)/4</f>
        <v>3091.4650000000001</v>
      </c>
      <c r="G1371" s="3">
        <v>1</v>
      </c>
      <c r="H1371">
        <v>1188</v>
      </c>
      <c r="I1371">
        <v>2744.7</v>
      </c>
      <c r="J1371">
        <v>19485</v>
      </c>
      <c r="K1371">
        <v>17880</v>
      </c>
      <c r="L1371" s="2">
        <v>26.269999999999996</v>
      </c>
      <c r="M1371" s="5">
        <v>74.463999999999984</v>
      </c>
      <c r="N1371" s="1">
        <v>362.38260000000002</v>
      </c>
      <c r="O1371" s="2">
        <v>69.8</v>
      </c>
      <c r="P1371">
        <v>415</v>
      </c>
    </row>
    <row r="1372" spans="1:16" x14ac:dyDescent="0.35">
      <c r="A1372" s="4">
        <v>44805</v>
      </c>
      <c r="B1372" t="s">
        <v>20</v>
      </c>
      <c r="C1372" t="s">
        <v>12</v>
      </c>
      <c r="D1372">
        <v>1</v>
      </c>
      <c r="E1372" s="2">
        <f>(2900*3+3165)/4</f>
        <v>2966.25</v>
      </c>
      <c r="F1372" s="2">
        <f t="shared" si="217"/>
        <v>3091.4650000000001</v>
      </c>
      <c r="G1372" s="3">
        <v>1</v>
      </c>
      <c r="H1372">
        <v>1188</v>
      </c>
      <c r="I1372">
        <v>2744.7</v>
      </c>
      <c r="J1372">
        <v>19485</v>
      </c>
      <c r="K1372">
        <v>17880</v>
      </c>
      <c r="L1372" s="2">
        <v>26.269999999999996</v>
      </c>
      <c r="M1372" s="5">
        <v>74.463999999999984</v>
      </c>
      <c r="N1372" s="1">
        <v>362.38260000000002</v>
      </c>
      <c r="O1372" s="2">
        <v>69.8</v>
      </c>
      <c r="P1372">
        <v>415</v>
      </c>
    </row>
    <row r="1373" spans="1:16" x14ac:dyDescent="0.35">
      <c r="A1373" s="4">
        <v>44805</v>
      </c>
      <c r="B1373" t="s">
        <v>20</v>
      </c>
      <c r="C1373" t="s">
        <v>13</v>
      </c>
      <c r="D1373">
        <v>1</v>
      </c>
      <c r="E1373" s="2">
        <f>(3450+3225+3200+3050)/4</f>
        <v>3231.25</v>
      </c>
      <c r="F1373" s="2">
        <f t="shared" si="217"/>
        <v>3091.4650000000001</v>
      </c>
      <c r="G1373" s="3">
        <v>1</v>
      </c>
      <c r="H1373">
        <v>1188</v>
      </c>
      <c r="I1373">
        <v>2744.7</v>
      </c>
      <c r="J1373">
        <v>19485</v>
      </c>
      <c r="K1373">
        <v>17880</v>
      </c>
      <c r="L1373" s="2">
        <v>26.269999999999996</v>
      </c>
      <c r="M1373" s="5">
        <v>74.463999999999984</v>
      </c>
      <c r="N1373" s="1">
        <v>362.38260000000002</v>
      </c>
      <c r="O1373" s="2">
        <v>69.8</v>
      </c>
      <c r="P1373">
        <v>415</v>
      </c>
    </row>
    <row r="1374" spans="1:16" x14ac:dyDescent="0.35">
      <c r="A1374" s="4">
        <v>44805</v>
      </c>
      <c r="B1374" t="s">
        <v>20</v>
      </c>
      <c r="C1374" t="s">
        <v>14</v>
      </c>
      <c r="D1374">
        <v>1</v>
      </c>
      <c r="E1374" s="2">
        <f>(3180+3060+3400+3500)/4</f>
        <v>3285</v>
      </c>
      <c r="F1374" s="2">
        <f t="shared" si="217"/>
        <v>3091.4650000000001</v>
      </c>
      <c r="G1374" s="3">
        <v>1</v>
      </c>
      <c r="H1374">
        <v>1188</v>
      </c>
      <c r="I1374">
        <v>2744.7</v>
      </c>
      <c r="J1374">
        <v>19485</v>
      </c>
      <c r="K1374">
        <v>17880</v>
      </c>
      <c r="L1374" s="2">
        <v>26.269999999999996</v>
      </c>
      <c r="M1374" s="5">
        <v>74.463999999999984</v>
      </c>
      <c r="N1374" s="1">
        <v>362.38260000000002</v>
      </c>
      <c r="O1374" s="2">
        <v>69.8</v>
      </c>
      <c r="P1374">
        <v>415</v>
      </c>
    </row>
    <row r="1375" spans="1:16" x14ac:dyDescent="0.35">
      <c r="A1375" s="4">
        <v>44805</v>
      </c>
      <c r="B1375" t="s">
        <v>20</v>
      </c>
      <c r="C1375" t="s">
        <v>15</v>
      </c>
      <c r="D1375">
        <v>1</v>
      </c>
      <c r="E1375" s="2">
        <v>3200</v>
      </c>
      <c r="F1375" s="2">
        <f t="shared" si="217"/>
        <v>3091.4650000000001</v>
      </c>
      <c r="G1375" s="3">
        <v>1</v>
      </c>
      <c r="H1375">
        <v>1188</v>
      </c>
      <c r="I1375">
        <v>2744.7</v>
      </c>
      <c r="J1375">
        <v>19485</v>
      </c>
      <c r="K1375">
        <v>17880</v>
      </c>
      <c r="L1375" s="2">
        <v>26.269999999999996</v>
      </c>
      <c r="M1375" s="5">
        <v>74.463999999999984</v>
      </c>
      <c r="N1375" s="1">
        <v>362.38260000000002</v>
      </c>
      <c r="O1375" s="2">
        <v>69.8</v>
      </c>
      <c r="P1375">
        <v>415</v>
      </c>
    </row>
    <row r="1376" spans="1:16" x14ac:dyDescent="0.35">
      <c r="A1376" s="4">
        <v>44805</v>
      </c>
      <c r="B1376" t="s">
        <v>21</v>
      </c>
      <c r="C1376" t="s">
        <v>10</v>
      </c>
      <c r="D1376">
        <v>1</v>
      </c>
      <c r="E1376" s="2">
        <f>(2600+2683+2900+2816)/4</f>
        <v>2749.75</v>
      </c>
      <c r="F1376" s="2">
        <f>(2873.29+2764.71+2942.86+3052.86)/4</f>
        <v>2908.4300000000003</v>
      </c>
      <c r="G1376" s="3">
        <v>1</v>
      </c>
      <c r="H1376">
        <v>1188</v>
      </c>
      <c r="I1376">
        <v>2744.7</v>
      </c>
      <c r="J1376">
        <v>19485</v>
      </c>
      <c r="K1376">
        <v>17880</v>
      </c>
      <c r="L1376" s="2">
        <v>26.269999999999996</v>
      </c>
      <c r="M1376" s="5">
        <v>74.463999999999984</v>
      </c>
      <c r="N1376" s="1">
        <v>362.38260000000002</v>
      </c>
      <c r="O1376" s="2">
        <v>69.8</v>
      </c>
      <c r="P1376">
        <v>415</v>
      </c>
    </row>
    <row r="1377" spans="1:16" x14ac:dyDescent="0.35">
      <c r="A1377" s="4">
        <v>44805</v>
      </c>
      <c r="B1377" t="s">
        <v>21</v>
      </c>
      <c r="C1377" t="s">
        <v>11</v>
      </c>
      <c r="D1377">
        <v>1</v>
      </c>
      <c r="E1377" s="2">
        <v>3050</v>
      </c>
      <c r="F1377" s="2">
        <f t="shared" ref="F1377:F1381" si="218">(2873.29+2764.71+2942.86+3052.86)/4</f>
        <v>2908.4300000000003</v>
      </c>
      <c r="G1377" s="3">
        <v>1</v>
      </c>
      <c r="H1377">
        <v>1188</v>
      </c>
      <c r="I1377">
        <v>2744.7</v>
      </c>
      <c r="J1377">
        <v>19485</v>
      </c>
      <c r="K1377">
        <v>17880</v>
      </c>
      <c r="L1377" s="2">
        <v>26.269999999999996</v>
      </c>
      <c r="M1377" s="5">
        <v>74.463999999999984</v>
      </c>
      <c r="N1377" s="1">
        <v>362.38260000000002</v>
      </c>
      <c r="O1377" s="2">
        <v>69.8</v>
      </c>
      <c r="P1377">
        <v>415</v>
      </c>
    </row>
    <row r="1378" spans="1:16" x14ac:dyDescent="0.35">
      <c r="A1378" s="4">
        <v>44805</v>
      </c>
      <c r="B1378" t="s">
        <v>21</v>
      </c>
      <c r="C1378" t="s">
        <v>12</v>
      </c>
      <c r="D1378">
        <v>1</v>
      </c>
      <c r="E1378" s="2">
        <f>(2700+2780+3000+2800)/4</f>
        <v>2820</v>
      </c>
      <c r="F1378" s="2">
        <f t="shared" si="218"/>
        <v>2908.4300000000003</v>
      </c>
      <c r="G1378" s="3">
        <v>1</v>
      </c>
      <c r="H1378">
        <v>1188</v>
      </c>
      <c r="I1378">
        <v>2744.7</v>
      </c>
      <c r="J1378">
        <v>19485</v>
      </c>
      <c r="K1378">
        <v>17880</v>
      </c>
      <c r="L1378" s="2">
        <v>26.269999999999996</v>
      </c>
      <c r="M1378" s="5">
        <v>74.463999999999984</v>
      </c>
      <c r="N1378" s="1">
        <v>362.38260000000002</v>
      </c>
      <c r="O1378" s="2">
        <v>69.8</v>
      </c>
      <c r="P1378">
        <v>415</v>
      </c>
    </row>
    <row r="1379" spans="1:16" x14ac:dyDescent="0.35">
      <c r="A1379" s="4">
        <v>44805</v>
      </c>
      <c r="B1379" t="s">
        <v>21</v>
      </c>
      <c r="C1379" t="s">
        <v>13</v>
      </c>
      <c r="D1379">
        <v>1</v>
      </c>
      <c r="E1379" s="2">
        <f>(3000+3050+3125+3375)/4</f>
        <v>3137.5</v>
      </c>
      <c r="F1379" s="2">
        <f t="shared" si="218"/>
        <v>2908.4300000000003</v>
      </c>
      <c r="G1379" s="3">
        <v>1</v>
      </c>
      <c r="H1379">
        <v>1188</v>
      </c>
      <c r="I1379">
        <v>2744.7</v>
      </c>
      <c r="J1379">
        <v>19485</v>
      </c>
      <c r="K1379">
        <v>17880</v>
      </c>
      <c r="L1379" s="2">
        <v>26.269999999999996</v>
      </c>
      <c r="M1379" s="5">
        <v>74.463999999999984</v>
      </c>
      <c r="N1379" s="1">
        <v>362.38260000000002</v>
      </c>
      <c r="O1379" s="2">
        <v>69.8</v>
      </c>
      <c r="P1379">
        <v>415</v>
      </c>
    </row>
    <row r="1380" spans="1:16" x14ac:dyDescent="0.35">
      <c r="A1380" s="4">
        <v>44805</v>
      </c>
      <c r="B1380" t="s">
        <v>21</v>
      </c>
      <c r="C1380" t="s">
        <v>14</v>
      </c>
      <c r="D1380">
        <v>1</v>
      </c>
      <c r="E1380" s="2">
        <f>(3013+2800+3175+3329)/4</f>
        <v>3079.25</v>
      </c>
      <c r="F1380" s="2">
        <f t="shared" si="218"/>
        <v>2908.4300000000003</v>
      </c>
      <c r="G1380" s="3">
        <v>1</v>
      </c>
      <c r="H1380">
        <v>1188</v>
      </c>
      <c r="I1380">
        <v>2744.7</v>
      </c>
      <c r="J1380">
        <v>19485</v>
      </c>
      <c r="K1380">
        <v>17880</v>
      </c>
      <c r="L1380" s="2">
        <v>26.269999999999996</v>
      </c>
      <c r="M1380" s="5">
        <v>74.463999999999984</v>
      </c>
      <c r="N1380" s="1">
        <v>362.38260000000002</v>
      </c>
      <c r="O1380" s="2">
        <v>69.8</v>
      </c>
      <c r="P1380">
        <v>415</v>
      </c>
    </row>
    <row r="1381" spans="1:16" x14ac:dyDescent="0.35">
      <c r="A1381" s="4">
        <v>44805</v>
      </c>
      <c r="B1381" t="s">
        <v>21</v>
      </c>
      <c r="C1381" t="s">
        <v>15</v>
      </c>
      <c r="D1381">
        <v>1</v>
      </c>
      <c r="E1381" s="2">
        <f>(3300+3150+2790+2950)/4</f>
        <v>3047.5</v>
      </c>
      <c r="F1381" s="2">
        <f t="shared" si="218"/>
        <v>2908.4300000000003</v>
      </c>
      <c r="G1381" s="3">
        <v>1</v>
      </c>
      <c r="H1381">
        <v>1188</v>
      </c>
      <c r="I1381">
        <v>2744.7</v>
      </c>
      <c r="J1381">
        <v>19485</v>
      </c>
      <c r="K1381">
        <v>17880</v>
      </c>
      <c r="L1381" s="2">
        <v>26.269999999999996</v>
      </c>
      <c r="M1381" s="5">
        <v>74.463999999999984</v>
      </c>
      <c r="N1381" s="1">
        <v>362.38260000000002</v>
      </c>
      <c r="O1381" s="2">
        <v>69.8</v>
      </c>
      <c r="P1381">
        <v>415</v>
      </c>
    </row>
    <row r="1382" spans="1:16" x14ac:dyDescent="0.35">
      <c r="A1382" s="4">
        <v>44805</v>
      </c>
      <c r="B1382" t="s">
        <v>22</v>
      </c>
      <c r="C1382" t="s">
        <v>10</v>
      </c>
      <c r="D1382">
        <v>0</v>
      </c>
      <c r="E1382" s="2" t="s">
        <v>27</v>
      </c>
      <c r="F1382" s="2">
        <f t="shared" ref="F1382:F1385" si="219">(2625+2900+2325+2560)/4</f>
        <v>2602.5</v>
      </c>
      <c r="G1382" s="3">
        <v>1</v>
      </c>
      <c r="H1382">
        <v>1188</v>
      </c>
      <c r="I1382">
        <v>2744.7</v>
      </c>
      <c r="J1382">
        <v>19485</v>
      </c>
      <c r="K1382">
        <v>17880</v>
      </c>
      <c r="L1382" s="2">
        <v>26.269999999999996</v>
      </c>
      <c r="M1382" s="5">
        <v>74.463999999999984</v>
      </c>
      <c r="N1382" s="1">
        <v>362.38260000000002</v>
      </c>
      <c r="O1382" s="2">
        <v>69.8</v>
      </c>
      <c r="P1382">
        <v>415</v>
      </c>
    </row>
    <row r="1383" spans="1:16" x14ac:dyDescent="0.35">
      <c r="A1383" s="4">
        <v>44805</v>
      </c>
      <c r="B1383" t="s">
        <v>22</v>
      </c>
      <c r="C1383" t="s">
        <v>11</v>
      </c>
      <c r="D1383">
        <v>0</v>
      </c>
      <c r="E1383" s="2" t="s">
        <v>27</v>
      </c>
      <c r="F1383" s="2">
        <f t="shared" si="219"/>
        <v>2602.5</v>
      </c>
      <c r="G1383" s="3">
        <v>1</v>
      </c>
      <c r="H1383">
        <v>1188</v>
      </c>
      <c r="I1383">
        <v>2744.7</v>
      </c>
      <c r="J1383">
        <v>19485</v>
      </c>
      <c r="K1383">
        <v>17880</v>
      </c>
      <c r="L1383" s="2">
        <v>26.269999999999996</v>
      </c>
      <c r="M1383" s="5">
        <v>74.463999999999984</v>
      </c>
      <c r="N1383" s="1">
        <v>362.38260000000002</v>
      </c>
      <c r="O1383" s="2">
        <v>69.8</v>
      </c>
      <c r="P1383">
        <v>415</v>
      </c>
    </row>
    <row r="1384" spans="1:16" x14ac:dyDescent="0.35">
      <c r="A1384" s="4">
        <v>44805</v>
      </c>
      <c r="B1384" t="s">
        <v>22</v>
      </c>
      <c r="C1384" t="s">
        <v>12</v>
      </c>
      <c r="D1384">
        <v>0</v>
      </c>
      <c r="E1384" s="2" t="s">
        <v>27</v>
      </c>
      <c r="F1384" s="2">
        <f t="shared" si="219"/>
        <v>2602.5</v>
      </c>
      <c r="G1384" s="3">
        <v>1</v>
      </c>
      <c r="H1384">
        <v>1188</v>
      </c>
      <c r="I1384">
        <v>2744.7</v>
      </c>
      <c r="J1384">
        <v>19485</v>
      </c>
      <c r="K1384">
        <v>17880</v>
      </c>
      <c r="L1384" s="2">
        <v>26.269999999999996</v>
      </c>
      <c r="M1384" s="5">
        <v>74.463999999999984</v>
      </c>
      <c r="N1384" s="1">
        <v>362.38260000000002</v>
      </c>
      <c r="O1384" s="2">
        <v>69.8</v>
      </c>
      <c r="P1384">
        <v>415</v>
      </c>
    </row>
    <row r="1385" spans="1:16" x14ac:dyDescent="0.35">
      <c r="A1385" s="4">
        <v>44805</v>
      </c>
      <c r="B1385" t="s">
        <v>22</v>
      </c>
      <c r="C1385" t="s">
        <v>13</v>
      </c>
      <c r="D1385">
        <v>0</v>
      </c>
      <c r="E1385" s="2" t="s">
        <v>27</v>
      </c>
      <c r="F1385" s="2">
        <f t="shared" si="219"/>
        <v>2602.5</v>
      </c>
      <c r="G1385" s="3">
        <v>1</v>
      </c>
      <c r="H1385">
        <v>1188</v>
      </c>
      <c r="I1385">
        <v>2744.7</v>
      </c>
      <c r="J1385">
        <v>19485</v>
      </c>
      <c r="K1385">
        <v>17880</v>
      </c>
      <c r="L1385" s="2">
        <v>26.269999999999996</v>
      </c>
      <c r="M1385" s="5">
        <v>74.463999999999984</v>
      </c>
      <c r="N1385" s="1">
        <v>362.38260000000002</v>
      </c>
      <c r="O1385" s="2">
        <v>69.8</v>
      </c>
      <c r="P1385">
        <v>415</v>
      </c>
    </row>
    <row r="1386" spans="1:16" x14ac:dyDescent="0.35">
      <c r="A1386" s="4">
        <v>44805</v>
      </c>
      <c r="B1386" t="s">
        <v>22</v>
      </c>
      <c r="C1386" t="s">
        <v>14</v>
      </c>
      <c r="D1386">
        <v>1</v>
      </c>
      <c r="E1386" s="2">
        <f>(2625+2900+2325+2560)/4</f>
        <v>2602.5</v>
      </c>
      <c r="F1386" s="2">
        <f>(2625+2900+2325+2560)/4</f>
        <v>2602.5</v>
      </c>
      <c r="G1386" s="3">
        <v>1</v>
      </c>
      <c r="H1386">
        <v>1188</v>
      </c>
      <c r="I1386">
        <v>2744.7</v>
      </c>
      <c r="J1386">
        <v>19485</v>
      </c>
      <c r="K1386">
        <v>17880</v>
      </c>
      <c r="L1386" s="2">
        <v>26.269999999999996</v>
      </c>
      <c r="M1386" s="5">
        <v>74.463999999999984</v>
      </c>
      <c r="N1386" s="1">
        <v>362.38260000000002</v>
      </c>
      <c r="O1386" s="2">
        <v>69.8</v>
      </c>
      <c r="P1386">
        <v>415</v>
      </c>
    </row>
    <row r="1387" spans="1:16" x14ac:dyDescent="0.35">
      <c r="A1387" s="4">
        <v>44805</v>
      </c>
      <c r="B1387" t="s">
        <v>22</v>
      </c>
      <c r="C1387" t="s">
        <v>15</v>
      </c>
      <c r="D1387">
        <v>0</v>
      </c>
      <c r="E1387" s="2" t="s">
        <v>27</v>
      </c>
      <c r="F1387" s="2">
        <f>(2625+2900+2325+2560)/4</f>
        <v>2602.5</v>
      </c>
      <c r="G1387" s="3">
        <v>1</v>
      </c>
      <c r="H1387">
        <v>1188</v>
      </c>
      <c r="I1387">
        <v>2744.7</v>
      </c>
      <c r="J1387">
        <v>19485</v>
      </c>
      <c r="K1387">
        <v>17880</v>
      </c>
      <c r="L1387" s="2">
        <v>26.269999999999996</v>
      </c>
      <c r="M1387" s="5">
        <v>74.463999999999984</v>
      </c>
      <c r="N1387" s="1">
        <v>362.38260000000002</v>
      </c>
      <c r="O1387" s="2">
        <v>69.8</v>
      </c>
      <c r="P1387">
        <v>415</v>
      </c>
    </row>
    <row r="1388" spans="1:16" x14ac:dyDescent="0.35">
      <c r="A1388" s="4">
        <v>44835</v>
      </c>
      <c r="B1388" t="s">
        <v>16</v>
      </c>
      <c r="C1388" t="s">
        <v>10</v>
      </c>
      <c r="D1388">
        <v>1</v>
      </c>
      <c r="E1388" s="2">
        <f>(5500+5766*2+5416)/4</f>
        <v>5612</v>
      </c>
      <c r="F1388" s="2">
        <f>(5382.75+5507.75+5489+5355)/4</f>
        <v>5433.625</v>
      </c>
      <c r="G1388" s="3">
        <v>1</v>
      </c>
      <c r="H1388">
        <v>2376</v>
      </c>
      <c r="I1388">
        <v>2744.7</v>
      </c>
      <c r="J1388">
        <v>24375</v>
      </c>
      <c r="K1388">
        <v>22350</v>
      </c>
      <c r="L1388" s="2">
        <v>26.196249999999999</v>
      </c>
      <c r="M1388" s="5">
        <v>295.94600000000003</v>
      </c>
      <c r="N1388" s="1">
        <v>363.14839999999998</v>
      </c>
      <c r="O1388" s="2">
        <v>66</v>
      </c>
      <c r="P1388">
        <v>430</v>
      </c>
    </row>
    <row r="1389" spans="1:16" x14ac:dyDescent="0.35">
      <c r="A1389" s="4">
        <v>44835</v>
      </c>
      <c r="B1389" t="s">
        <v>16</v>
      </c>
      <c r="C1389" t="s">
        <v>11</v>
      </c>
      <c r="D1389">
        <v>0</v>
      </c>
      <c r="E1389" s="2" t="s">
        <v>27</v>
      </c>
      <c r="F1389" s="2">
        <f t="shared" ref="F1389:F1393" si="220">(5382.75+5507.75+5489+5355)/4</f>
        <v>5433.625</v>
      </c>
      <c r="G1389" s="3">
        <v>1</v>
      </c>
      <c r="H1389">
        <v>2376</v>
      </c>
      <c r="I1389">
        <v>2744.7</v>
      </c>
      <c r="J1389">
        <v>24375</v>
      </c>
      <c r="K1389">
        <v>22350</v>
      </c>
      <c r="L1389" s="2">
        <v>26.196249999999999</v>
      </c>
      <c r="M1389" s="5">
        <v>295.94600000000003</v>
      </c>
      <c r="N1389" s="1">
        <v>363.14839999999998</v>
      </c>
      <c r="O1389" s="2">
        <v>66</v>
      </c>
      <c r="P1389">
        <v>430</v>
      </c>
    </row>
    <row r="1390" spans="1:16" x14ac:dyDescent="0.35">
      <c r="A1390" s="4">
        <v>44835</v>
      </c>
      <c r="B1390" t="s">
        <v>16</v>
      </c>
      <c r="C1390" t="s">
        <v>12</v>
      </c>
      <c r="D1390">
        <v>1</v>
      </c>
      <c r="E1390" s="2">
        <v>4790</v>
      </c>
      <c r="F1390" s="2">
        <f t="shared" si="220"/>
        <v>5433.625</v>
      </c>
      <c r="G1390" s="3">
        <v>1</v>
      </c>
      <c r="H1390">
        <v>2376</v>
      </c>
      <c r="I1390">
        <v>2744.7</v>
      </c>
      <c r="J1390">
        <v>24375</v>
      </c>
      <c r="K1390">
        <v>22350</v>
      </c>
      <c r="L1390" s="2">
        <v>26.196249999999999</v>
      </c>
      <c r="M1390" s="5">
        <v>295.94600000000003</v>
      </c>
      <c r="N1390" s="1">
        <v>363.14839999999998</v>
      </c>
      <c r="O1390" s="2">
        <v>66</v>
      </c>
      <c r="P1390">
        <v>430</v>
      </c>
    </row>
    <row r="1391" spans="1:16" x14ac:dyDescent="0.35">
      <c r="A1391" s="4">
        <v>44835</v>
      </c>
      <c r="B1391" t="s">
        <v>16</v>
      </c>
      <c r="C1391" t="s">
        <v>13</v>
      </c>
      <c r="D1391">
        <v>1</v>
      </c>
      <c r="E1391" s="2">
        <f>(5450+5600+5400+5100)/4</f>
        <v>5387.5</v>
      </c>
      <c r="F1391" s="2">
        <f t="shared" si="220"/>
        <v>5433.625</v>
      </c>
      <c r="G1391" s="3">
        <v>1</v>
      </c>
      <c r="H1391">
        <v>2376</v>
      </c>
      <c r="I1391">
        <v>2744.7</v>
      </c>
      <c r="J1391">
        <v>24375</v>
      </c>
      <c r="K1391">
        <v>22350</v>
      </c>
      <c r="L1391" s="2">
        <v>26.196249999999999</v>
      </c>
      <c r="M1391" s="5">
        <v>295.94600000000003</v>
      </c>
      <c r="N1391" s="1">
        <v>363.14839999999998</v>
      </c>
      <c r="O1391" s="2">
        <v>66</v>
      </c>
      <c r="P1391">
        <v>430</v>
      </c>
    </row>
    <row r="1392" spans="1:16" x14ac:dyDescent="0.35">
      <c r="A1392" s="4">
        <v>44835</v>
      </c>
      <c r="B1392" t="s">
        <v>16</v>
      </c>
      <c r="C1392" t="s">
        <v>14</v>
      </c>
      <c r="D1392">
        <v>1</v>
      </c>
      <c r="E1392" s="2">
        <f>(6025+6000+5875*2)/4</f>
        <v>5943.75</v>
      </c>
      <c r="F1392" s="2">
        <f t="shared" si="220"/>
        <v>5433.625</v>
      </c>
      <c r="G1392" s="3">
        <v>1</v>
      </c>
      <c r="H1392">
        <v>2376</v>
      </c>
      <c r="I1392">
        <v>2744.7</v>
      </c>
      <c r="J1392">
        <v>24375</v>
      </c>
      <c r="K1392">
        <v>22350</v>
      </c>
      <c r="L1392" s="2">
        <v>26.196249999999999</v>
      </c>
      <c r="M1392" s="5">
        <v>295.94600000000003</v>
      </c>
      <c r="N1392" s="1">
        <v>363.14839999999998</v>
      </c>
      <c r="O1392" s="2">
        <v>66</v>
      </c>
      <c r="P1392">
        <v>430</v>
      </c>
    </row>
    <row r="1393" spans="1:16" x14ac:dyDescent="0.35">
      <c r="A1393" s="4">
        <v>44835</v>
      </c>
      <c r="B1393" t="s">
        <v>16</v>
      </c>
      <c r="C1393" t="s">
        <v>15</v>
      </c>
      <c r="D1393">
        <v>0</v>
      </c>
      <c r="E1393" s="2" t="s">
        <v>27</v>
      </c>
      <c r="F1393" s="2">
        <f t="shared" si="220"/>
        <v>5433.625</v>
      </c>
      <c r="G1393" s="3">
        <v>1</v>
      </c>
      <c r="H1393">
        <v>2376</v>
      </c>
      <c r="I1393">
        <v>2744.7</v>
      </c>
      <c r="J1393">
        <v>24375</v>
      </c>
      <c r="K1393">
        <v>22350</v>
      </c>
      <c r="L1393" s="2">
        <v>26.196249999999999</v>
      </c>
      <c r="M1393" s="5">
        <v>295.94600000000003</v>
      </c>
      <c r="N1393" s="1">
        <v>363.14839999999998</v>
      </c>
      <c r="O1393" s="2">
        <v>66</v>
      </c>
      <c r="P1393">
        <v>430</v>
      </c>
    </row>
    <row r="1394" spans="1:16" x14ac:dyDescent="0.35">
      <c r="A1394" s="4">
        <v>44835</v>
      </c>
      <c r="B1394" t="s">
        <v>17</v>
      </c>
      <c r="C1394" t="s">
        <v>10</v>
      </c>
      <c r="D1394">
        <v>1</v>
      </c>
      <c r="E1394" s="2">
        <f>(4725+4666+4600+4900)/4</f>
        <v>4722.75</v>
      </c>
      <c r="F1394" s="2">
        <f>(4456.4+4423+4502.8+4524.4)/4</f>
        <v>4476.6499999999996</v>
      </c>
      <c r="G1394" s="3">
        <v>1</v>
      </c>
      <c r="H1394">
        <v>2376</v>
      </c>
      <c r="I1394">
        <v>2744.7</v>
      </c>
      <c r="J1394">
        <v>24375</v>
      </c>
      <c r="K1394">
        <v>22350</v>
      </c>
      <c r="L1394" s="2">
        <v>26.196249999999999</v>
      </c>
      <c r="M1394" s="5">
        <v>295.94600000000003</v>
      </c>
      <c r="N1394" s="1">
        <v>363.14839999999998</v>
      </c>
      <c r="O1394" s="2">
        <v>66</v>
      </c>
      <c r="P1394">
        <v>430</v>
      </c>
    </row>
    <row r="1395" spans="1:16" x14ac:dyDescent="0.35">
      <c r="A1395" s="4">
        <v>44835</v>
      </c>
      <c r="B1395" t="s">
        <v>17</v>
      </c>
      <c r="C1395" t="s">
        <v>11</v>
      </c>
      <c r="D1395">
        <v>1</v>
      </c>
      <c r="E1395" s="2">
        <v>4225</v>
      </c>
      <c r="F1395" s="2">
        <f t="shared" ref="F1395:F1399" si="221">(4456.4+4423+4502.8+4524.4)/4</f>
        <v>4476.6499999999996</v>
      </c>
      <c r="G1395" s="3">
        <v>1</v>
      </c>
      <c r="H1395">
        <v>2376</v>
      </c>
      <c r="I1395">
        <v>2744.7</v>
      </c>
      <c r="J1395">
        <v>24375</v>
      </c>
      <c r="K1395">
        <v>22350</v>
      </c>
      <c r="L1395" s="2">
        <v>26.196249999999999</v>
      </c>
      <c r="M1395" s="5">
        <v>295.94600000000003</v>
      </c>
      <c r="N1395" s="1">
        <v>363.14839999999998</v>
      </c>
      <c r="O1395" s="2">
        <v>66</v>
      </c>
      <c r="P1395">
        <v>430</v>
      </c>
    </row>
    <row r="1396" spans="1:16" x14ac:dyDescent="0.35">
      <c r="A1396" s="4">
        <v>44835</v>
      </c>
      <c r="B1396" t="s">
        <v>17</v>
      </c>
      <c r="C1396" t="s">
        <v>12</v>
      </c>
      <c r="D1396">
        <v>1</v>
      </c>
      <c r="E1396" s="2">
        <v>4065</v>
      </c>
      <c r="F1396" s="2">
        <f t="shared" si="221"/>
        <v>4476.6499999999996</v>
      </c>
      <c r="G1396" s="3">
        <v>1</v>
      </c>
      <c r="H1396">
        <v>2376</v>
      </c>
      <c r="I1396">
        <v>2744.7</v>
      </c>
      <c r="J1396">
        <v>24375</v>
      </c>
      <c r="K1396">
        <v>22350</v>
      </c>
      <c r="L1396" s="2">
        <v>26.196249999999999</v>
      </c>
      <c r="M1396" s="5">
        <v>295.94600000000003</v>
      </c>
      <c r="N1396" s="1">
        <v>363.14839999999998</v>
      </c>
      <c r="O1396" s="2">
        <v>66</v>
      </c>
      <c r="P1396">
        <v>430</v>
      </c>
    </row>
    <row r="1397" spans="1:16" x14ac:dyDescent="0.35">
      <c r="A1397" s="4">
        <v>44835</v>
      </c>
      <c r="B1397" t="s">
        <v>17</v>
      </c>
      <c r="C1397" t="s">
        <v>13</v>
      </c>
      <c r="D1397">
        <v>1</v>
      </c>
      <c r="E1397" s="2">
        <v>4400</v>
      </c>
      <c r="F1397" s="2">
        <f t="shared" si="221"/>
        <v>4476.6499999999996</v>
      </c>
      <c r="G1397" s="3">
        <v>1</v>
      </c>
      <c r="H1397">
        <v>2376</v>
      </c>
      <c r="I1397">
        <v>2744.7</v>
      </c>
      <c r="J1397">
        <v>24375</v>
      </c>
      <c r="K1397">
        <v>22350</v>
      </c>
      <c r="L1397" s="2">
        <v>26.196249999999999</v>
      </c>
      <c r="M1397" s="5">
        <v>295.94600000000003</v>
      </c>
      <c r="N1397" s="1">
        <v>363.14839999999998</v>
      </c>
      <c r="O1397" s="2">
        <v>66</v>
      </c>
      <c r="P1397">
        <v>430</v>
      </c>
    </row>
    <row r="1398" spans="1:16" x14ac:dyDescent="0.35">
      <c r="A1398" s="4">
        <v>44835</v>
      </c>
      <c r="B1398" t="s">
        <v>17</v>
      </c>
      <c r="C1398" t="s">
        <v>14</v>
      </c>
      <c r="D1398">
        <v>1</v>
      </c>
      <c r="E1398" s="2">
        <f>(4967+5233+4900+4767)/4</f>
        <v>4966.75</v>
      </c>
      <c r="F1398" s="2">
        <f t="shared" si="221"/>
        <v>4476.6499999999996</v>
      </c>
      <c r="G1398" s="3">
        <v>1</v>
      </c>
      <c r="H1398">
        <v>2376</v>
      </c>
      <c r="I1398">
        <v>2744.7</v>
      </c>
      <c r="J1398">
        <v>24375</v>
      </c>
      <c r="K1398">
        <v>22350</v>
      </c>
      <c r="L1398" s="2">
        <v>26.196249999999999</v>
      </c>
      <c r="M1398" s="5">
        <v>295.94600000000003</v>
      </c>
      <c r="N1398" s="1">
        <v>363.14839999999998</v>
      </c>
      <c r="O1398" s="2">
        <v>66</v>
      </c>
      <c r="P1398">
        <v>430</v>
      </c>
    </row>
    <row r="1399" spans="1:16" x14ac:dyDescent="0.35">
      <c r="A1399" s="4">
        <v>44835</v>
      </c>
      <c r="B1399" t="s">
        <v>17</v>
      </c>
      <c r="C1399" t="s">
        <v>15</v>
      </c>
      <c r="D1399">
        <v>0</v>
      </c>
      <c r="E1399" s="2" t="s">
        <v>27</v>
      </c>
      <c r="F1399" s="2">
        <f t="shared" si="221"/>
        <v>4476.6499999999996</v>
      </c>
      <c r="G1399" s="3">
        <v>1</v>
      </c>
      <c r="H1399">
        <v>2376</v>
      </c>
      <c r="I1399">
        <v>2744.7</v>
      </c>
      <c r="J1399">
        <v>24375</v>
      </c>
      <c r="K1399">
        <v>22350</v>
      </c>
      <c r="L1399" s="2">
        <v>26.196249999999999</v>
      </c>
      <c r="M1399" s="5">
        <v>295.94600000000003</v>
      </c>
      <c r="N1399" s="1">
        <v>363.14839999999998</v>
      </c>
      <c r="O1399" s="2">
        <v>66</v>
      </c>
      <c r="P1399">
        <v>430</v>
      </c>
    </row>
    <row r="1400" spans="1:16" x14ac:dyDescent="0.35">
      <c r="A1400" s="4">
        <v>44835</v>
      </c>
      <c r="B1400" t="s">
        <v>18</v>
      </c>
      <c r="C1400" t="s">
        <v>10</v>
      </c>
      <c r="D1400">
        <v>1</v>
      </c>
      <c r="E1400" s="2">
        <f>(4375+3963+4200+4400)/4</f>
        <v>4234.5</v>
      </c>
      <c r="F1400" s="2">
        <f>(3787.14+3687.57+3704.13+3694.75)/4</f>
        <v>3718.3975</v>
      </c>
      <c r="G1400" s="3">
        <v>1</v>
      </c>
      <c r="H1400">
        <v>2376</v>
      </c>
      <c r="I1400">
        <v>2744.7</v>
      </c>
      <c r="J1400">
        <v>24375</v>
      </c>
      <c r="K1400">
        <v>22350</v>
      </c>
      <c r="L1400" s="2">
        <v>26.196249999999999</v>
      </c>
      <c r="M1400" s="5">
        <v>295.94600000000003</v>
      </c>
      <c r="N1400" s="1">
        <v>363.14839999999998</v>
      </c>
      <c r="O1400" s="2">
        <v>66</v>
      </c>
      <c r="P1400">
        <v>430</v>
      </c>
    </row>
    <row r="1401" spans="1:16" x14ac:dyDescent="0.35">
      <c r="A1401" s="4">
        <v>44835</v>
      </c>
      <c r="B1401" t="s">
        <v>18</v>
      </c>
      <c r="C1401" t="s">
        <v>11</v>
      </c>
      <c r="D1401">
        <v>1</v>
      </c>
      <c r="E1401" s="2">
        <v>4000</v>
      </c>
      <c r="F1401" s="2">
        <f t="shared" ref="F1401:F1405" si="222">(3787.14+3687.57+3704.13+3694.75)/4</f>
        <v>3718.3975</v>
      </c>
      <c r="G1401" s="3">
        <v>1</v>
      </c>
      <c r="H1401">
        <v>2376</v>
      </c>
      <c r="I1401">
        <v>2744.7</v>
      </c>
      <c r="J1401">
        <v>24375</v>
      </c>
      <c r="K1401">
        <v>22350</v>
      </c>
      <c r="L1401" s="2">
        <v>26.196249999999999</v>
      </c>
      <c r="M1401" s="5">
        <v>295.94600000000003</v>
      </c>
      <c r="N1401" s="1">
        <v>363.14839999999998</v>
      </c>
      <c r="O1401" s="2">
        <v>66</v>
      </c>
      <c r="P1401">
        <v>430</v>
      </c>
    </row>
    <row r="1402" spans="1:16" x14ac:dyDescent="0.35">
      <c r="A1402" s="4">
        <v>44835</v>
      </c>
      <c r="B1402" t="s">
        <v>18</v>
      </c>
      <c r="C1402" t="s">
        <v>12</v>
      </c>
      <c r="D1402">
        <v>1</v>
      </c>
      <c r="E1402" s="2">
        <v>3250</v>
      </c>
      <c r="F1402" s="2">
        <f t="shared" si="222"/>
        <v>3718.3975</v>
      </c>
      <c r="G1402" s="3">
        <v>1</v>
      </c>
      <c r="H1402">
        <v>2376</v>
      </c>
      <c r="I1402">
        <v>2744.7</v>
      </c>
      <c r="J1402">
        <v>24375</v>
      </c>
      <c r="K1402">
        <v>22350</v>
      </c>
      <c r="L1402" s="2">
        <v>26.196249999999999</v>
      </c>
      <c r="M1402" s="5">
        <v>295.94600000000003</v>
      </c>
      <c r="N1402" s="1">
        <v>363.14839999999998</v>
      </c>
      <c r="O1402" s="2">
        <v>66</v>
      </c>
      <c r="P1402">
        <v>430</v>
      </c>
    </row>
    <row r="1403" spans="1:16" x14ac:dyDescent="0.35">
      <c r="A1403" s="4">
        <v>44835</v>
      </c>
      <c r="B1403" t="s">
        <v>18</v>
      </c>
      <c r="C1403" t="s">
        <v>13</v>
      </c>
      <c r="D1403">
        <v>1</v>
      </c>
      <c r="E1403" s="2">
        <v>3675</v>
      </c>
      <c r="F1403" s="2">
        <f t="shared" si="222"/>
        <v>3718.3975</v>
      </c>
      <c r="G1403" s="3">
        <v>1</v>
      </c>
      <c r="H1403">
        <v>2376</v>
      </c>
      <c r="I1403">
        <v>2744.7</v>
      </c>
      <c r="J1403">
        <v>24375</v>
      </c>
      <c r="K1403">
        <v>22350</v>
      </c>
      <c r="L1403" s="2">
        <v>26.196249999999999</v>
      </c>
      <c r="M1403" s="5">
        <v>295.94600000000003</v>
      </c>
      <c r="N1403" s="1">
        <v>363.14839999999998</v>
      </c>
      <c r="O1403" s="2">
        <v>66</v>
      </c>
      <c r="P1403">
        <v>430</v>
      </c>
    </row>
    <row r="1404" spans="1:16" x14ac:dyDescent="0.35">
      <c r="A1404" s="4">
        <v>44835</v>
      </c>
      <c r="B1404" t="s">
        <v>18</v>
      </c>
      <c r="C1404" t="s">
        <v>14</v>
      </c>
      <c r="D1404">
        <v>1</v>
      </c>
      <c r="E1404" s="2">
        <f>(4300+4350+4133+3933)/4</f>
        <v>4179</v>
      </c>
      <c r="F1404" s="2">
        <f t="shared" si="222"/>
        <v>3718.3975</v>
      </c>
      <c r="G1404" s="3">
        <v>1</v>
      </c>
      <c r="H1404">
        <v>2376</v>
      </c>
      <c r="I1404">
        <v>2744.7</v>
      </c>
      <c r="J1404">
        <v>24375</v>
      </c>
      <c r="K1404">
        <v>22350</v>
      </c>
      <c r="L1404" s="2">
        <v>26.196249999999999</v>
      </c>
      <c r="M1404" s="5">
        <v>295.94600000000003</v>
      </c>
      <c r="N1404" s="1">
        <v>363.14839999999998</v>
      </c>
      <c r="O1404" s="2">
        <v>66</v>
      </c>
      <c r="P1404">
        <v>430</v>
      </c>
    </row>
    <row r="1405" spans="1:16" x14ac:dyDescent="0.35">
      <c r="A1405" s="4">
        <v>44835</v>
      </c>
      <c r="B1405" t="s">
        <v>18</v>
      </c>
      <c r="C1405" t="s">
        <v>15</v>
      </c>
      <c r="D1405">
        <v>1</v>
      </c>
      <c r="E1405" s="2">
        <v>3700</v>
      </c>
      <c r="F1405" s="2">
        <f t="shared" si="222"/>
        <v>3718.3975</v>
      </c>
      <c r="G1405" s="3">
        <v>1</v>
      </c>
      <c r="H1405">
        <v>2376</v>
      </c>
      <c r="I1405">
        <v>2744.7</v>
      </c>
      <c r="J1405">
        <v>24375</v>
      </c>
      <c r="K1405">
        <v>22350</v>
      </c>
      <c r="L1405" s="2">
        <v>26.196249999999999</v>
      </c>
      <c r="M1405" s="5">
        <v>295.94600000000003</v>
      </c>
      <c r="N1405" s="1">
        <v>363.14839999999998</v>
      </c>
      <c r="O1405" s="2">
        <v>66</v>
      </c>
      <c r="P1405">
        <v>430</v>
      </c>
    </row>
    <row r="1406" spans="1:16" x14ac:dyDescent="0.35">
      <c r="A1406" s="4">
        <v>44835</v>
      </c>
      <c r="B1406" t="s">
        <v>19</v>
      </c>
      <c r="C1406" t="s">
        <v>10</v>
      </c>
      <c r="D1406">
        <v>1</v>
      </c>
      <c r="E1406" s="2">
        <f>(3600+3650+3566+3400)/4</f>
        <v>3554</v>
      </c>
      <c r="F1406" s="2">
        <f>(3398.57+3437.86+3393.43+3408.86)/4</f>
        <v>3409.6800000000003</v>
      </c>
      <c r="G1406" s="3">
        <v>1</v>
      </c>
      <c r="H1406">
        <v>2376</v>
      </c>
      <c r="I1406">
        <v>2744.7</v>
      </c>
      <c r="J1406">
        <v>24375</v>
      </c>
      <c r="K1406">
        <v>22350</v>
      </c>
      <c r="L1406" s="2">
        <v>26.196249999999999</v>
      </c>
      <c r="M1406" s="5">
        <v>295.94600000000003</v>
      </c>
      <c r="N1406" s="1">
        <v>363.14839999999998</v>
      </c>
      <c r="O1406" s="2">
        <v>66</v>
      </c>
      <c r="P1406">
        <v>430</v>
      </c>
    </row>
    <row r="1407" spans="1:16" x14ac:dyDescent="0.35">
      <c r="A1407" s="4">
        <v>44835</v>
      </c>
      <c r="B1407" t="s">
        <v>19</v>
      </c>
      <c r="C1407" t="s">
        <v>11</v>
      </c>
      <c r="D1407">
        <v>1</v>
      </c>
      <c r="E1407" s="2">
        <v>3675</v>
      </c>
      <c r="F1407" s="2">
        <f t="shared" ref="F1407:F1411" si="223">(3398.57+3437.86+3393.43+3408.86)/4</f>
        <v>3409.6800000000003</v>
      </c>
      <c r="G1407" s="3">
        <v>1</v>
      </c>
      <c r="H1407">
        <v>2376</v>
      </c>
      <c r="I1407">
        <v>2744.7</v>
      </c>
      <c r="J1407">
        <v>24375</v>
      </c>
      <c r="K1407">
        <v>22350</v>
      </c>
      <c r="L1407" s="2">
        <v>26.196249999999999</v>
      </c>
      <c r="M1407" s="5">
        <v>295.94600000000003</v>
      </c>
      <c r="N1407" s="1">
        <v>363.14839999999998</v>
      </c>
      <c r="O1407" s="2">
        <v>66</v>
      </c>
      <c r="P1407">
        <v>430</v>
      </c>
    </row>
    <row r="1408" spans="1:16" x14ac:dyDescent="0.35">
      <c r="A1408" s="4">
        <v>44835</v>
      </c>
      <c r="B1408" t="s">
        <v>19</v>
      </c>
      <c r="C1408" t="s">
        <v>12</v>
      </c>
      <c r="D1408">
        <v>1</v>
      </c>
      <c r="E1408" s="2">
        <v>3190</v>
      </c>
      <c r="F1408" s="2">
        <f t="shared" si="223"/>
        <v>3409.6800000000003</v>
      </c>
      <c r="G1408" s="3">
        <v>1</v>
      </c>
      <c r="H1408">
        <v>2376</v>
      </c>
      <c r="I1408">
        <v>2744.7</v>
      </c>
      <c r="J1408">
        <v>24375</v>
      </c>
      <c r="K1408">
        <v>22350</v>
      </c>
      <c r="L1408" s="2">
        <v>26.196249999999999</v>
      </c>
      <c r="M1408" s="5">
        <v>295.94600000000003</v>
      </c>
      <c r="N1408" s="1">
        <v>363.14839999999998</v>
      </c>
      <c r="O1408" s="2">
        <v>66</v>
      </c>
      <c r="P1408">
        <v>430</v>
      </c>
    </row>
    <row r="1409" spans="1:16" x14ac:dyDescent="0.35">
      <c r="A1409" s="4">
        <v>44835</v>
      </c>
      <c r="B1409" t="s">
        <v>19</v>
      </c>
      <c r="C1409" t="s">
        <v>13</v>
      </c>
      <c r="D1409">
        <v>1</v>
      </c>
      <c r="E1409" s="2">
        <v>3450</v>
      </c>
      <c r="F1409" s="2">
        <f t="shared" si="223"/>
        <v>3409.6800000000003</v>
      </c>
      <c r="G1409" s="3">
        <v>1</v>
      </c>
      <c r="H1409">
        <v>2376</v>
      </c>
      <c r="I1409">
        <v>2744.7</v>
      </c>
      <c r="J1409">
        <v>24375</v>
      </c>
      <c r="K1409">
        <v>22350</v>
      </c>
      <c r="L1409" s="2">
        <v>26.196249999999999</v>
      </c>
      <c r="M1409" s="5">
        <v>295.94600000000003</v>
      </c>
      <c r="N1409" s="1">
        <v>363.14839999999998</v>
      </c>
      <c r="O1409" s="2">
        <v>66</v>
      </c>
      <c r="P1409">
        <v>430</v>
      </c>
    </row>
    <row r="1410" spans="1:16" x14ac:dyDescent="0.35">
      <c r="A1410" s="4">
        <v>44835</v>
      </c>
      <c r="B1410" t="s">
        <v>19</v>
      </c>
      <c r="C1410" t="s">
        <v>14</v>
      </c>
      <c r="D1410">
        <v>1</v>
      </c>
      <c r="E1410" s="2">
        <f>(3692+3658+3650+3625)/4</f>
        <v>3656.25</v>
      </c>
      <c r="F1410" s="2">
        <f t="shared" si="223"/>
        <v>3409.6800000000003</v>
      </c>
      <c r="G1410" s="3">
        <v>1</v>
      </c>
      <c r="H1410">
        <v>2376</v>
      </c>
      <c r="I1410">
        <v>2744.7</v>
      </c>
      <c r="J1410">
        <v>24375</v>
      </c>
      <c r="K1410">
        <v>22350</v>
      </c>
      <c r="L1410" s="2">
        <v>26.196249999999999</v>
      </c>
      <c r="M1410" s="5">
        <v>295.94600000000003</v>
      </c>
      <c r="N1410" s="1">
        <v>363.14839999999998</v>
      </c>
      <c r="O1410" s="2">
        <v>66</v>
      </c>
      <c r="P1410">
        <v>430</v>
      </c>
    </row>
    <row r="1411" spans="1:16" x14ac:dyDescent="0.35">
      <c r="A1411" s="4">
        <v>44835</v>
      </c>
      <c r="B1411" t="s">
        <v>19</v>
      </c>
      <c r="C1411" t="s">
        <v>15</v>
      </c>
      <c r="D1411">
        <v>1</v>
      </c>
      <c r="E1411" s="2">
        <v>3625</v>
      </c>
      <c r="F1411" s="2">
        <f t="shared" si="223"/>
        <v>3409.6800000000003</v>
      </c>
      <c r="G1411" s="3">
        <v>1</v>
      </c>
      <c r="H1411">
        <v>2376</v>
      </c>
      <c r="I1411">
        <v>2744.7</v>
      </c>
      <c r="J1411">
        <v>24375</v>
      </c>
      <c r="K1411">
        <v>22350</v>
      </c>
      <c r="L1411" s="2">
        <v>26.196249999999999</v>
      </c>
      <c r="M1411" s="5">
        <v>295.94600000000003</v>
      </c>
      <c r="N1411" s="1">
        <v>363.14839999999998</v>
      </c>
      <c r="O1411" s="2">
        <v>66</v>
      </c>
      <c r="P1411">
        <v>430</v>
      </c>
    </row>
    <row r="1412" spans="1:16" x14ac:dyDescent="0.35">
      <c r="A1412" s="4">
        <v>44835</v>
      </c>
      <c r="B1412" t="s">
        <v>20</v>
      </c>
      <c r="C1412" t="s">
        <v>10</v>
      </c>
      <c r="D1412">
        <v>1</v>
      </c>
      <c r="E1412" s="2">
        <f>(2600+3050*2+2983)/4</f>
        <v>2920.75</v>
      </c>
      <c r="F1412" s="2">
        <f>(3069.43+3057.14+2989.29+2987.57)/4</f>
        <v>3025.8575000000001</v>
      </c>
      <c r="G1412" s="3">
        <v>1</v>
      </c>
      <c r="H1412">
        <v>2376</v>
      </c>
      <c r="I1412">
        <v>2744.7</v>
      </c>
      <c r="J1412">
        <v>24375</v>
      </c>
      <c r="K1412">
        <v>22350</v>
      </c>
      <c r="L1412" s="2">
        <v>26.196249999999999</v>
      </c>
      <c r="M1412" s="5">
        <v>295.94600000000003</v>
      </c>
      <c r="N1412" s="1">
        <v>363.14839999999998</v>
      </c>
      <c r="O1412" s="2">
        <v>66</v>
      </c>
      <c r="P1412">
        <v>430</v>
      </c>
    </row>
    <row r="1413" spans="1:16" x14ac:dyDescent="0.35">
      <c r="A1413" s="4">
        <v>44835</v>
      </c>
      <c r="B1413" t="s">
        <v>20</v>
      </c>
      <c r="C1413" t="s">
        <v>11</v>
      </c>
      <c r="D1413">
        <v>1</v>
      </c>
      <c r="E1413" s="2">
        <v>3175</v>
      </c>
      <c r="F1413" s="2">
        <f t="shared" ref="F1413:F1417" si="224">(3069.43+3057.14+2989.29+2987.57)/4</f>
        <v>3025.8575000000001</v>
      </c>
      <c r="G1413" s="3">
        <v>1</v>
      </c>
      <c r="H1413">
        <v>2376</v>
      </c>
      <c r="I1413">
        <v>2744.7</v>
      </c>
      <c r="J1413">
        <v>24375</v>
      </c>
      <c r="K1413">
        <v>22350</v>
      </c>
      <c r="L1413" s="2">
        <v>26.196249999999999</v>
      </c>
      <c r="M1413" s="5">
        <v>295.94600000000003</v>
      </c>
      <c r="N1413" s="1">
        <v>363.14839999999998</v>
      </c>
      <c r="O1413" s="2">
        <v>66</v>
      </c>
      <c r="P1413">
        <v>430</v>
      </c>
    </row>
    <row r="1414" spans="1:16" x14ac:dyDescent="0.35">
      <c r="A1414" s="4">
        <v>44835</v>
      </c>
      <c r="B1414" t="s">
        <v>20</v>
      </c>
      <c r="C1414" t="s">
        <v>12</v>
      </c>
      <c r="D1414">
        <v>1</v>
      </c>
      <c r="E1414" s="2">
        <v>2900</v>
      </c>
      <c r="F1414" s="2">
        <f t="shared" si="224"/>
        <v>3025.8575000000001</v>
      </c>
      <c r="G1414" s="3">
        <v>1</v>
      </c>
      <c r="H1414">
        <v>2376</v>
      </c>
      <c r="I1414">
        <v>2744.7</v>
      </c>
      <c r="J1414">
        <v>24375</v>
      </c>
      <c r="K1414">
        <v>22350</v>
      </c>
      <c r="L1414" s="2">
        <v>26.196249999999999</v>
      </c>
      <c r="M1414" s="5">
        <v>295.94600000000003</v>
      </c>
      <c r="N1414" s="1">
        <v>363.14839999999998</v>
      </c>
      <c r="O1414" s="2">
        <v>66</v>
      </c>
      <c r="P1414">
        <v>430</v>
      </c>
    </row>
    <row r="1415" spans="1:16" x14ac:dyDescent="0.35">
      <c r="A1415" s="4">
        <v>44835</v>
      </c>
      <c r="B1415" t="s">
        <v>20</v>
      </c>
      <c r="C1415" t="s">
        <v>13</v>
      </c>
      <c r="D1415">
        <v>1</v>
      </c>
      <c r="E1415" s="2">
        <f>(3200+3350+3150+3175)/4</f>
        <v>3218.75</v>
      </c>
      <c r="F1415" s="2">
        <f t="shared" si="224"/>
        <v>3025.8575000000001</v>
      </c>
      <c r="G1415" s="3">
        <v>1</v>
      </c>
      <c r="H1415">
        <v>2376</v>
      </c>
      <c r="I1415">
        <v>2744.7</v>
      </c>
      <c r="J1415">
        <v>24375</v>
      </c>
      <c r="K1415">
        <v>22350</v>
      </c>
      <c r="L1415" s="2">
        <v>26.196249999999999</v>
      </c>
      <c r="M1415" s="5">
        <v>295.94600000000003</v>
      </c>
      <c r="N1415" s="1">
        <v>363.14839999999998</v>
      </c>
      <c r="O1415" s="2">
        <v>66</v>
      </c>
      <c r="P1415">
        <v>430</v>
      </c>
    </row>
    <row r="1416" spans="1:16" x14ac:dyDescent="0.35">
      <c r="A1416" s="4">
        <v>44835</v>
      </c>
      <c r="B1416" t="s">
        <v>20</v>
      </c>
      <c r="C1416" t="s">
        <v>14</v>
      </c>
      <c r="D1416">
        <v>1</v>
      </c>
      <c r="E1416" s="2">
        <f>(3213+3175+3250+3178)/4</f>
        <v>3204</v>
      </c>
      <c r="F1416" s="2">
        <f t="shared" si="224"/>
        <v>3025.8575000000001</v>
      </c>
      <c r="G1416" s="3">
        <v>1</v>
      </c>
      <c r="H1416">
        <v>2376</v>
      </c>
      <c r="I1416">
        <v>2744.7</v>
      </c>
      <c r="J1416">
        <v>24375</v>
      </c>
      <c r="K1416">
        <v>22350</v>
      </c>
      <c r="L1416" s="2">
        <v>26.196249999999999</v>
      </c>
      <c r="M1416" s="5">
        <v>295.94600000000003</v>
      </c>
      <c r="N1416" s="1">
        <v>363.14839999999998</v>
      </c>
      <c r="O1416" s="2">
        <v>66</v>
      </c>
      <c r="P1416">
        <v>430</v>
      </c>
    </row>
    <row r="1417" spans="1:16" x14ac:dyDescent="0.35">
      <c r="A1417" s="4">
        <v>44835</v>
      </c>
      <c r="B1417" t="s">
        <v>20</v>
      </c>
      <c r="C1417" t="s">
        <v>15</v>
      </c>
      <c r="D1417">
        <v>1</v>
      </c>
      <c r="E1417" s="2">
        <f>(3125+3150+3100+3225)/4</f>
        <v>3150</v>
      </c>
      <c r="F1417" s="2">
        <f t="shared" si="224"/>
        <v>3025.8575000000001</v>
      </c>
      <c r="G1417" s="3">
        <v>1</v>
      </c>
      <c r="H1417">
        <v>2376</v>
      </c>
      <c r="I1417">
        <v>2744.7</v>
      </c>
      <c r="J1417">
        <v>24375</v>
      </c>
      <c r="K1417">
        <v>22350</v>
      </c>
      <c r="L1417" s="2">
        <v>26.196249999999999</v>
      </c>
      <c r="M1417" s="5">
        <v>295.94600000000003</v>
      </c>
      <c r="N1417" s="1">
        <v>363.14839999999998</v>
      </c>
      <c r="O1417" s="2">
        <v>66</v>
      </c>
      <c r="P1417">
        <v>430</v>
      </c>
    </row>
    <row r="1418" spans="1:16" x14ac:dyDescent="0.35">
      <c r="A1418" s="4">
        <v>44835</v>
      </c>
      <c r="B1418" t="s">
        <v>21</v>
      </c>
      <c r="C1418" t="s">
        <v>10</v>
      </c>
      <c r="D1418">
        <v>1</v>
      </c>
      <c r="E1418" s="2">
        <f>(2500+2766+2900+2730)/4</f>
        <v>2724</v>
      </c>
      <c r="F1418" s="2">
        <f>(2815+2846.43+2853+2899.71)/4</f>
        <v>2853.5349999999999</v>
      </c>
      <c r="G1418" s="3">
        <v>1</v>
      </c>
      <c r="H1418">
        <v>2376</v>
      </c>
      <c r="I1418">
        <v>2744.7</v>
      </c>
      <c r="J1418">
        <v>24375</v>
      </c>
      <c r="K1418">
        <v>22350</v>
      </c>
      <c r="L1418" s="2">
        <v>26.196249999999999</v>
      </c>
      <c r="M1418" s="5">
        <v>295.94600000000003</v>
      </c>
      <c r="N1418" s="1">
        <v>363.14839999999998</v>
      </c>
      <c r="O1418" s="2">
        <v>66</v>
      </c>
      <c r="P1418">
        <v>430</v>
      </c>
    </row>
    <row r="1419" spans="1:16" x14ac:dyDescent="0.35">
      <c r="A1419" s="4">
        <v>44835</v>
      </c>
      <c r="B1419" t="s">
        <v>21</v>
      </c>
      <c r="C1419" t="s">
        <v>11</v>
      </c>
      <c r="D1419">
        <v>1</v>
      </c>
      <c r="E1419" s="2">
        <v>3050</v>
      </c>
      <c r="F1419" s="2">
        <f t="shared" ref="F1419:F1423" si="225">(2815+2846.43+2853+2899.71)/4</f>
        <v>2853.5349999999999</v>
      </c>
      <c r="G1419" s="3">
        <v>1</v>
      </c>
      <c r="H1419">
        <v>2376</v>
      </c>
      <c r="I1419">
        <v>2744.7</v>
      </c>
      <c r="J1419">
        <v>24375</v>
      </c>
      <c r="K1419">
        <v>22350</v>
      </c>
      <c r="L1419" s="2">
        <v>26.196249999999999</v>
      </c>
      <c r="M1419" s="5">
        <v>295.94600000000003</v>
      </c>
      <c r="N1419" s="1">
        <v>363.14839999999998</v>
      </c>
      <c r="O1419" s="2">
        <v>66</v>
      </c>
      <c r="P1419">
        <v>430</v>
      </c>
    </row>
    <row r="1420" spans="1:16" x14ac:dyDescent="0.35">
      <c r="A1420" s="4">
        <v>44835</v>
      </c>
      <c r="B1420" t="s">
        <v>21</v>
      </c>
      <c r="C1420" t="s">
        <v>12</v>
      </c>
      <c r="D1420">
        <v>1</v>
      </c>
      <c r="E1420" s="2">
        <v>2700</v>
      </c>
      <c r="F1420" s="2">
        <f t="shared" si="225"/>
        <v>2853.5349999999999</v>
      </c>
      <c r="G1420" s="3">
        <v>1</v>
      </c>
      <c r="H1420">
        <v>2376</v>
      </c>
      <c r="I1420">
        <v>2744.7</v>
      </c>
      <c r="J1420">
        <v>24375</v>
      </c>
      <c r="K1420">
        <v>22350</v>
      </c>
      <c r="L1420" s="2">
        <v>26.196249999999999</v>
      </c>
      <c r="M1420" s="5">
        <v>295.94600000000003</v>
      </c>
      <c r="N1420" s="1">
        <v>363.14839999999998</v>
      </c>
      <c r="O1420" s="2">
        <v>66</v>
      </c>
      <c r="P1420">
        <v>430</v>
      </c>
    </row>
    <row r="1421" spans="1:16" x14ac:dyDescent="0.35">
      <c r="A1421" s="4">
        <v>44835</v>
      </c>
      <c r="B1421" t="s">
        <v>21</v>
      </c>
      <c r="C1421" t="s">
        <v>13</v>
      </c>
      <c r="D1421">
        <v>1</v>
      </c>
      <c r="E1421" s="2">
        <v>3037.5</v>
      </c>
      <c r="F1421" s="2">
        <f t="shared" si="225"/>
        <v>2853.5349999999999</v>
      </c>
      <c r="G1421" s="3">
        <v>1</v>
      </c>
      <c r="H1421">
        <v>2376</v>
      </c>
      <c r="I1421">
        <v>2744.7</v>
      </c>
      <c r="J1421">
        <v>24375</v>
      </c>
      <c r="K1421">
        <v>22350</v>
      </c>
      <c r="L1421" s="2">
        <v>26.196249999999999</v>
      </c>
      <c r="M1421" s="5">
        <v>295.94600000000003</v>
      </c>
      <c r="N1421" s="1">
        <v>363.14839999999998</v>
      </c>
      <c r="O1421" s="2">
        <v>66</v>
      </c>
      <c r="P1421">
        <v>430</v>
      </c>
    </row>
    <row r="1422" spans="1:16" x14ac:dyDescent="0.35">
      <c r="A1422" s="4">
        <v>44835</v>
      </c>
      <c r="B1422" t="s">
        <v>21</v>
      </c>
      <c r="C1422" t="s">
        <v>14</v>
      </c>
      <c r="D1422">
        <v>1</v>
      </c>
      <c r="E1422" s="2">
        <f>(3043+3121+3064+3100)/4</f>
        <v>3082</v>
      </c>
      <c r="F1422" s="2">
        <f t="shared" si="225"/>
        <v>2853.5349999999999</v>
      </c>
      <c r="G1422" s="3">
        <v>1</v>
      </c>
      <c r="H1422">
        <v>2376</v>
      </c>
      <c r="I1422">
        <v>2744.7</v>
      </c>
      <c r="J1422">
        <v>24375</v>
      </c>
      <c r="K1422">
        <v>22350</v>
      </c>
      <c r="L1422" s="2">
        <v>26.196249999999999</v>
      </c>
      <c r="M1422" s="5">
        <v>295.94600000000003</v>
      </c>
      <c r="N1422" s="1">
        <v>363.14839999999998</v>
      </c>
      <c r="O1422" s="2">
        <v>66</v>
      </c>
      <c r="P1422">
        <v>430</v>
      </c>
    </row>
    <row r="1423" spans="1:16" x14ac:dyDescent="0.35">
      <c r="A1423" s="4">
        <v>44835</v>
      </c>
      <c r="B1423" t="s">
        <v>21</v>
      </c>
      <c r="C1423" t="s">
        <v>15</v>
      </c>
      <c r="D1423">
        <v>1</v>
      </c>
      <c r="E1423" s="2">
        <f>(3000*2+3125+3050)/4</f>
        <v>3043.75</v>
      </c>
      <c r="F1423" s="2">
        <f t="shared" si="225"/>
        <v>2853.5349999999999</v>
      </c>
      <c r="G1423" s="3">
        <v>1</v>
      </c>
      <c r="H1423">
        <v>2376</v>
      </c>
      <c r="I1423">
        <v>2744.7</v>
      </c>
      <c r="J1423">
        <v>24375</v>
      </c>
      <c r="K1423">
        <v>22350</v>
      </c>
      <c r="L1423" s="2">
        <v>26.196249999999999</v>
      </c>
      <c r="M1423" s="5">
        <v>295.94600000000003</v>
      </c>
      <c r="N1423" s="1">
        <v>363.14839999999998</v>
      </c>
      <c r="O1423" s="2">
        <v>66</v>
      </c>
      <c r="P1423">
        <v>430</v>
      </c>
    </row>
    <row r="1424" spans="1:16" x14ac:dyDescent="0.35">
      <c r="A1424" s="4">
        <v>44835</v>
      </c>
      <c r="B1424" t="s">
        <v>22</v>
      </c>
      <c r="C1424" t="s">
        <v>10</v>
      </c>
      <c r="D1424">
        <v>0</v>
      </c>
      <c r="E1424" s="2" t="s">
        <v>27</v>
      </c>
      <c r="F1424" s="2">
        <v>2625</v>
      </c>
      <c r="G1424" s="3">
        <v>1</v>
      </c>
      <c r="H1424">
        <v>2376</v>
      </c>
      <c r="I1424">
        <v>2744.7</v>
      </c>
      <c r="J1424">
        <v>24375</v>
      </c>
      <c r="K1424">
        <v>22350</v>
      </c>
      <c r="L1424" s="2">
        <v>26.196249999999999</v>
      </c>
      <c r="M1424" s="5">
        <v>295.94600000000003</v>
      </c>
      <c r="N1424" s="1">
        <v>363.14839999999998</v>
      </c>
      <c r="O1424" s="2">
        <v>66</v>
      </c>
      <c r="P1424">
        <v>430</v>
      </c>
    </row>
    <row r="1425" spans="1:16" x14ac:dyDescent="0.35">
      <c r="A1425" s="4">
        <v>44835</v>
      </c>
      <c r="B1425" t="s">
        <v>22</v>
      </c>
      <c r="C1425" t="s">
        <v>11</v>
      </c>
      <c r="D1425">
        <v>0</v>
      </c>
      <c r="E1425" s="2" t="s">
        <v>27</v>
      </c>
      <c r="F1425" s="2">
        <v>2625</v>
      </c>
      <c r="G1425" s="3">
        <v>1</v>
      </c>
      <c r="H1425">
        <v>2376</v>
      </c>
      <c r="I1425">
        <v>2744.7</v>
      </c>
      <c r="J1425">
        <v>24375</v>
      </c>
      <c r="K1425">
        <v>22350</v>
      </c>
      <c r="L1425" s="2">
        <v>26.196249999999999</v>
      </c>
      <c r="M1425" s="5">
        <v>295.94600000000003</v>
      </c>
      <c r="N1425" s="1">
        <v>363.14839999999998</v>
      </c>
      <c r="O1425" s="2">
        <v>66</v>
      </c>
      <c r="P1425">
        <v>430</v>
      </c>
    </row>
    <row r="1426" spans="1:16" x14ac:dyDescent="0.35">
      <c r="A1426" s="4">
        <v>44835</v>
      </c>
      <c r="B1426" t="s">
        <v>22</v>
      </c>
      <c r="C1426" t="s">
        <v>12</v>
      </c>
      <c r="D1426">
        <v>0</v>
      </c>
      <c r="E1426" s="2" t="s">
        <v>27</v>
      </c>
      <c r="F1426" s="2">
        <v>2625</v>
      </c>
      <c r="G1426" s="3">
        <v>1</v>
      </c>
      <c r="H1426">
        <v>2376</v>
      </c>
      <c r="I1426">
        <v>2744.7</v>
      </c>
      <c r="J1426">
        <v>24375</v>
      </c>
      <c r="K1426">
        <v>22350</v>
      </c>
      <c r="L1426" s="2">
        <v>26.196249999999999</v>
      </c>
      <c r="M1426" s="5">
        <v>295.94600000000003</v>
      </c>
      <c r="N1426" s="1">
        <v>363.14839999999998</v>
      </c>
      <c r="O1426" s="2">
        <v>66</v>
      </c>
      <c r="P1426">
        <v>430</v>
      </c>
    </row>
    <row r="1427" spans="1:16" x14ac:dyDescent="0.35">
      <c r="A1427" s="4">
        <v>44835</v>
      </c>
      <c r="B1427" t="s">
        <v>22</v>
      </c>
      <c r="C1427" t="s">
        <v>13</v>
      </c>
      <c r="D1427">
        <v>0</v>
      </c>
      <c r="E1427" s="2" t="s">
        <v>27</v>
      </c>
      <c r="F1427" s="2">
        <v>2625</v>
      </c>
      <c r="G1427" s="3">
        <v>1</v>
      </c>
      <c r="H1427">
        <v>2376</v>
      </c>
      <c r="I1427">
        <v>2744.7</v>
      </c>
      <c r="J1427">
        <v>24375</v>
      </c>
      <c r="K1427">
        <v>22350</v>
      </c>
      <c r="L1427" s="2">
        <v>26.196249999999999</v>
      </c>
      <c r="M1427" s="5">
        <v>295.94600000000003</v>
      </c>
      <c r="N1427" s="1">
        <v>363.14839999999998</v>
      </c>
      <c r="O1427" s="2">
        <v>66</v>
      </c>
      <c r="P1427">
        <v>430</v>
      </c>
    </row>
    <row r="1428" spans="1:16" x14ac:dyDescent="0.35">
      <c r="A1428" s="4">
        <v>44835</v>
      </c>
      <c r="B1428" t="s">
        <v>22</v>
      </c>
      <c r="C1428" t="s">
        <v>14</v>
      </c>
      <c r="D1428">
        <v>1</v>
      </c>
      <c r="E1428" s="2">
        <v>2625</v>
      </c>
      <c r="F1428" s="2">
        <v>2625</v>
      </c>
      <c r="G1428" s="3">
        <v>1</v>
      </c>
      <c r="H1428">
        <v>2376</v>
      </c>
      <c r="I1428">
        <v>2744.7</v>
      </c>
      <c r="J1428">
        <v>24375</v>
      </c>
      <c r="K1428">
        <v>22350</v>
      </c>
      <c r="L1428" s="2">
        <v>26.196249999999999</v>
      </c>
      <c r="M1428" s="5">
        <v>295.94600000000003</v>
      </c>
      <c r="N1428" s="1">
        <v>363.14839999999998</v>
      </c>
      <c r="O1428" s="2">
        <v>66</v>
      </c>
      <c r="P1428">
        <v>430</v>
      </c>
    </row>
    <row r="1429" spans="1:16" x14ac:dyDescent="0.35">
      <c r="A1429" s="4">
        <v>44835</v>
      </c>
      <c r="B1429" t="s">
        <v>22</v>
      </c>
      <c r="C1429" t="s">
        <v>15</v>
      </c>
      <c r="D1429">
        <v>0</v>
      </c>
      <c r="E1429" s="2" t="s">
        <v>27</v>
      </c>
      <c r="F1429" s="2">
        <v>2625</v>
      </c>
      <c r="G1429" s="3">
        <v>1</v>
      </c>
      <c r="H1429">
        <v>2376</v>
      </c>
      <c r="I1429">
        <v>2744.7</v>
      </c>
      <c r="J1429">
        <v>24375</v>
      </c>
      <c r="K1429">
        <v>22350</v>
      </c>
      <c r="L1429" s="2">
        <v>26.196249999999999</v>
      </c>
      <c r="M1429" s="5">
        <v>295.94600000000003</v>
      </c>
      <c r="N1429" s="1">
        <v>363.14839999999998</v>
      </c>
      <c r="O1429" s="2">
        <v>66</v>
      </c>
      <c r="P1429">
        <v>430</v>
      </c>
    </row>
    <row r="1430" spans="1:16" x14ac:dyDescent="0.35">
      <c r="A1430" s="4">
        <v>44866</v>
      </c>
      <c r="B1430" t="s">
        <v>16</v>
      </c>
      <c r="C1430" t="s">
        <v>10</v>
      </c>
      <c r="D1430">
        <v>1</v>
      </c>
      <c r="E1430" s="2">
        <f>(6000+6166+5333+5800+5333)/5</f>
        <v>5726.4</v>
      </c>
      <c r="F1430" s="2">
        <f>(5542.5+5669.5+5538.25+5611.25+5488.25)/5</f>
        <v>5569.95</v>
      </c>
      <c r="G1430" s="3">
        <v>1</v>
      </c>
      <c r="H1430">
        <v>3564</v>
      </c>
      <c r="I1430">
        <v>1646.8</v>
      </c>
      <c r="J1430">
        <v>22350</v>
      </c>
      <c r="K1430">
        <v>26820</v>
      </c>
      <c r="L1430" s="2">
        <v>25.591250000000006</v>
      </c>
      <c r="M1430" s="5">
        <v>289.16149999999999</v>
      </c>
      <c r="N1430" s="1">
        <v>363.39400000000001</v>
      </c>
      <c r="O1430" s="2">
        <v>61</v>
      </c>
      <c r="P1430">
        <v>420</v>
      </c>
    </row>
    <row r="1431" spans="1:16" x14ac:dyDescent="0.35">
      <c r="A1431" s="4">
        <v>44866</v>
      </c>
      <c r="B1431" t="s">
        <v>16</v>
      </c>
      <c r="C1431" t="s">
        <v>11</v>
      </c>
      <c r="D1431">
        <v>0</v>
      </c>
      <c r="E1431" s="2" t="s">
        <v>27</v>
      </c>
      <c r="F1431" s="2">
        <f t="shared" ref="F1431:F1435" si="226">(5542.5+5669.5+5538.25+5611.25+5488.25)/5</f>
        <v>5569.95</v>
      </c>
      <c r="G1431" s="3">
        <v>1</v>
      </c>
      <c r="H1431">
        <v>3564</v>
      </c>
      <c r="I1431">
        <v>1646.8</v>
      </c>
      <c r="J1431">
        <v>22350</v>
      </c>
      <c r="K1431">
        <v>26820</v>
      </c>
      <c r="L1431" s="2">
        <v>25.591250000000006</v>
      </c>
      <c r="M1431" s="5">
        <v>289.16149999999999</v>
      </c>
      <c r="N1431" s="1">
        <v>363.39400000000001</v>
      </c>
      <c r="O1431" s="2">
        <v>61</v>
      </c>
      <c r="P1431">
        <v>420</v>
      </c>
    </row>
    <row r="1432" spans="1:16" x14ac:dyDescent="0.35">
      <c r="A1432" s="4">
        <v>44866</v>
      </c>
      <c r="B1432" t="s">
        <v>16</v>
      </c>
      <c r="C1432" t="s">
        <v>12</v>
      </c>
      <c r="D1432">
        <v>1</v>
      </c>
      <c r="E1432" s="2">
        <v>4795</v>
      </c>
      <c r="F1432" s="2">
        <f t="shared" si="226"/>
        <v>5569.95</v>
      </c>
      <c r="G1432" s="3">
        <v>1</v>
      </c>
      <c r="H1432">
        <v>3564</v>
      </c>
      <c r="I1432">
        <v>1646.8</v>
      </c>
      <c r="J1432">
        <v>22350</v>
      </c>
      <c r="K1432">
        <v>26820</v>
      </c>
      <c r="L1432" s="2">
        <v>25.591250000000006</v>
      </c>
      <c r="M1432" s="5">
        <v>289.16149999999999</v>
      </c>
      <c r="N1432" s="1">
        <v>363.39400000000001</v>
      </c>
      <c r="O1432" s="2">
        <v>61</v>
      </c>
      <c r="P1432">
        <v>420</v>
      </c>
    </row>
    <row r="1433" spans="1:16" x14ac:dyDescent="0.35">
      <c r="A1433" s="4">
        <v>44866</v>
      </c>
      <c r="B1433" t="s">
        <v>16</v>
      </c>
      <c r="C1433" t="s">
        <v>13</v>
      </c>
      <c r="D1433">
        <v>1</v>
      </c>
      <c r="E1433" s="2">
        <f>(5000+5350+5750*3)/5</f>
        <v>5520</v>
      </c>
      <c r="F1433" s="2">
        <f t="shared" si="226"/>
        <v>5569.95</v>
      </c>
      <c r="G1433" s="3">
        <v>1</v>
      </c>
      <c r="H1433">
        <v>3564</v>
      </c>
      <c r="I1433">
        <v>1646.8</v>
      </c>
      <c r="J1433">
        <v>22350</v>
      </c>
      <c r="K1433">
        <v>26820</v>
      </c>
      <c r="L1433" s="2">
        <v>25.591250000000006</v>
      </c>
      <c r="M1433" s="5">
        <v>289.16149999999999</v>
      </c>
      <c r="N1433" s="1">
        <v>363.39400000000001</v>
      </c>
      <c r="O1433" s="2">
        <v>61</v>
      </c>
      <c r="P1433">
        <v>420</v>
      </c>
    </row>
    <row r="1434" spans="1:16" x14ac:dyDescent="0.35">
      <c r="A1434" s="4">
        <v>44866</v>
      </c>
      <c r="B1434" t="s">
        <v>16</v>
      </c>
      <c r="C1434" t="s">
        <v>14</v>
      </c>
      <c r="D1434">
        <v>1</v>
      </c>
      <c r="E1434" s="2">
        <f>(6075+6100+6275+6367+6375)/5</f>
        <v>6238.4</v>
      </c>
      <c r="F1434" s="2">
        <f t="shared" si="226"/>
        <v>5569.95</v>
      </c>
      <c r="G1434" s="3">
        <v>1</v>
      </c>
      <c r="H1434">
        <v>3564</v>
      </c>
      <c r="I1434">
        <v>1646.8</v>
      </c>
      <c r="J1434">
        <v>22350</v>
      </c>
      <c r="K1434">
        <v>26820</v>
      </c>
      <c r="L1434" s="2">
        <v>25.591250000000006</v>
      </c>
      <c r="M1434" s="5">
        <v>289.16149999999999</v>
      </c>
      <c r="N1434" s="1">
        <v>363.39400000000001</v>
      </c>
      <c r="O1434" s="2">
        <v>61</v>
      </c>
      <c r="P1434">
        <v>420</v>
      </c>
    </row>
    <row r="1435" spans="1:16" x14ac:dyDescent="0.35">
      <c r="A1435" s="4">
        <v>44866</v>
      </c>
      <c r="B1435" t="s">
        <v>16</v>
      </c>
      <c r="C1435" t="s">
        <v>15</v>
      </c>
      <c r="D1435">
        <v>0</v>
      </c>
      <c r="E1435" s="2" t="s">
        <v>27</v>
      </c>
      <c r="F1435" s="2">
        <f t="shared" si="226"/>
        <v>5569.95</v>
      </c>
      <c r="G1435" s="3">
        <v>1</v>
      </c>
      <c r="H1435">
        <v>3564</v>
      </c>
      <c r="I1435">
        <v>1646.8</v>
      </c>
      <c r="J1435">
        <v>22350</v>
      </c>
      <c r="K1435">
        <v>26820</v>
      </c>
      <c r="L1435" s="2">
        <v>25.591250000000006</v>
      </c>
      <c r="M1435" s="5">
        <v>289.16149999999999</v>
      </c>
      <c r="N1435" s="1">
        <v>363.39400000000001</v>
      </c>
      <c r="O1435" s="2">
        <v>61</v>
      </c>
      <c r="P1435">
        <v>420</v>
      </c>
    </row>
    <row r="1436" spans="1:16" x14ac:dyDescent="0.35">
      <c r="A1436" s="4">
        <v>44866</v>
      </c>
      <c r="B1436" t="s">
        <v>17</v>
      </c>
      <c r="C1436" t="s">
        <v>10</v>
      </c>
      <c r="D1436">
        <v>1</v>
      </c>
      <c r="E1436" s="2">
        <f>(4683+4675+4666+5030+4850)/5</f>
        <v>4780.8</v>
      </c>
      <c r="F1436" s="2">
        <f>(4519.4+4532+4385.8+4524.4+4536)/5</f>
        <v>4499.5199999999995</v>
      </c>
      <c r="G1436" s="3">
        <v>1</v>
      </c>
      <c r="H1436">
        <v>3564</v>
      </c>
      <c r="I1436">
        <v>1646.8</v>
      </c>
      <c r="J1436">
        <v>22350</v>
      </c>
      <c r="K1436">
        <v>26820</v>
      </c>
      <c r="L1436" s="2">
        <v>25.591250000000006</v>
      </c>
      <c r="M1436" s="5">
        <v>289.16149999999999</v>
      </c>
      <c r="N1436" s="1">
        <v>363.39400000000001</v>
      </c>
      <c r="O1436" s="2">
        <v>61</v>
      </c>
      <c r="P1436">
        <v>420</v>
      </c>
    </row>
    <row r="1437" spans="1:16" x14ac:dyDescent="0.35">
      <c r="A1437" s="4">
        <v>44866</v>
      </c>
      <c r="B1437" t="s">
        <v>17</v>
      </c>
      <c r="C1437" t="s">
        <v>11</v>
      </c>
      <c r="D1437">
        <v>1</v>
      </c>
      <c r="E1437" s="2">
        <v>4460</v>
      </c>
      <c r="F1437" s="2">
        <f t="shared" ref="F1437:F1441" si="227">(4519.4+4532+4385.8+4524.4+4536)/5</f>
        <v>4499.5199999999995</v>
      </c>
      <c r="G1437" s="3">
        <v>1</v>
      </c>
      <c r="H1437">
        <v>3564</v>
      </c>
      <c r="I1437">
        <v>1646.8</v>
      </c>
      <c r="J1437">
        <v>22350</v>
      </c>
      <c r="K1437">
        <v>26820</v>
      </c>
      <c r="L1437" s="2">
        <v>25.591250000000006</v>
      </c>
      <c r="M1437" s="5">
        <v>289.16149999999999</v>
      </c>
      <c r="N1437" s="1">
        <v>363.39400000000001</v>
      </c>
      <c r="O1437" s="2">
        <v>61</v>
      </c>
      <c r="P1437">
        <v>420</v>
      </c>
    </row>
    <row r="1438" spans="1:16" x14ac:dyDescent="0.35">
      <c r="A1438" s="4">
        <v>44866</v>
      </c>
      <c r="B1438" t="s">
        <v>17</v>
      </c>
      <c r="C1438" t="s">
        <v>12</v>
      </c>
      <c r="D1438">
        <v>1</v>
      </c>
      <c r="E1438" s="2">
        <v>4080</v>
      </c>
      <c r="F1438" s="2">
        <f t="shared" si="227"/>
        <v>4499.5199999999995</v>
      </c>
      <c r="G1438" s="3">
        <v>1</v>
      </c>
      <c r="H1438">
        <v>3564</v>
      </c>
      <c r="I1438">
        <v>1646.8</v>
      </c>
      <c r="J1438">
        <v>22350</v>
      </c>
      <c r="K1438">
        <v>26820</v>
      </c>
      <c r="L1438" s="2">
        <v>25.591250000000006</v>
      </c>
      <c r="M1438" s="5">
        <v>289.16149999999999</v>
      </c>
      <c r="N1438" s="1">
        <v>363.39400000000001</v>
      </c>
      <c r="O1438" s="2">
        <v>61</v>
      </c>
      <c r="P1438">
        <v>420</v>
      </c>
    </row>
    <row r="1439" spans="1:16" x14ac:dyDescent="0.35">
      <c r="A1439" s="4">
        <v>44866</v>
      </c>
      <c r="B1439" t="s">
        <v>17</v>
      </c>
      <c r="C1439" t="s">
        <v>13</v>
      </c>
      <c r="D1439">
        <v>1</v>
      </c>
      <c r="E1439" s="2">
        <f>(4300+4050+4450+4600+4250)/5</f>
        <v>4330</v>
      </c>
      <c r="F1439" s="2">
        <f t="shared" si="227"/>
        <v>4499.5199999999995</v>
      </c>
      <c r="G1439" s="3">
        <v>1</v>
      </c>
      <c r="H1439">
        <v>3564</v>
      </c>
      <c r="I1439">
        <v>1646.8</v>
      </c>
      <c r="J1439">
        <v>22350</v>
      </c>
      <c r="K1439">
        <v>26820</v>
      </c>
      <c r="L1439" s="2">
        <v>25.591250000000006</v>
      </c>
      <c r="M1439" s="5">
        <v>289.16149999999999</v>
      </c>
      <c r="N1439" s="1">
        <v>363.39400000000001</v>
      </c>
      <c r="O1439" s="2">
        <v>61</v>
      </c>
      <c r="P1439">
        <v>420</v>
      </c>
    </row>
    <row r="1440" spans="1:16" x14ac:dyDescent="0.35">
      <c r="A1440" s="4">
        <v>44866</v>
      </c>
      <c r="B1440" t="s">
        <v>17</v>
      </c>
      <c r="C1440" t="s">
        <v>14</v>
      </c>
      <c r="D1440">
        <v>1</v>
      </c>
      <c r="E1440" s="2">
        <f>(5267+4767+4333+5000+4867)/5</f>
        <v>4846.8</v>
      </c>
      <c r="F1440" s="2">
        <f t="shared" si="227"/>
        <v>4499.5199999999995</v>
      </c>
      <c r="G1440" s="3">
        <v>1</v>
      </c>
      <c r="H1440">
        <v>3564</v>
      </c>
      <c r="I1440">
        <v>1646.8</v>
      </c>
      <c r="J1440">
        <v>22350</v>
      </c>
      <c r="K1440">
        <v>26820</v>
      </c>
      <c r="L1440" s="2">
        <v>25.591250000000006</v>
      </c>
      <c r="M1440" s="5">
        <v>289.16149999999999</v>
      </c>
      <c r="N1440" s="1">
        <v>363.39400000000001</v>
      </c>
      <c r="O1440" s="2">
        <v>61</v>
      </c>
      <c r="P1440">
        <v>420</v>
      </c>
    </row>
    <row r="1441" spans="1:16" x14ac:dyDescent="0.35">
      <c r="A1441" s="4">
        <v>44866</v>
      </c>
      <c r="B1441" t="s">
        <v>17</v>
      </c>
      <c r="C1441" t="s">
        <v>15</v>
      </c>
      <c r="D1441">
        <v>0</v>
      </c>
      <c r="E1441" s="2" t="s">
        <v>27</v>
      </c>
      <c r="F1441" s="2">
        <f t="shared" si="227"/>
        <v>4499.5199999999995</v>
      </c>
      <c r="G1441" s="3">
        <v>1</v>
      </c>
      <c r="H1441">
        <v>3564</v>
      </c>
      <c r="I1441">
        <v>1646.8</v>
      </c>
      <c r="J1441">
        <v>22350</v>
      </c>
      <c r="K1441">
        <v>26820</v>
      </c>
      <c r="L1441" s="2">
        <v>25.591250000000006</v>
      </c>
      <c r="M1441" s="5">
        <v>289.16149999999999</v>
      </c>
      <c r="N1441" s="1">
        <v>363.39400000000001</v>
      </c>
      <c r="O1441" s="2">
        <v>61</v>
      </c>
      <c r="P1441">
        <v>420</v>
      </c>
    </row>
    <row r="1442" spans="1:16" x14ac:dyDescent="0.35">
      <c r="A1442" s="4">
        <v>44866</v>
      </c>
      <c r="B1442" t="s">
        <v>18</v>
      </c>
      <c r="C1442" t="s">
        <v>10</v>
      </c>
      <c r="D1442">
        <v>1</v>
      </c>
      <c r="E1442" s="2">
        <f>(4050+4266+4033+3800+4083)/5</f>
        <v>4046.4</v>
      </c>
      <c r="F1442" s="2">
        <f>(3781.14+3737.14+3791.43+3865.14+3680.43)/5</f>
        <v>3771.0559999999996</v>
      </c>
      <c r="G1442" s="3">
        <v>1</v>
      </c>
      <c r="H1442">
        <v>3564</v>
      </c>
      <c r="I1442">
        <v>1646.8</v>
      </c>
      <c r="J1442">
        <v>22350</v>
      </c>
      <c r="K1442">
        <v>26820</v>
      </c>
      <c r="L1442" s="2">
        <v>25.591250000000006</v>
      </c>
      <c r="M1442" s="5">
        <v>289.16149999999999</v>
      </c>
      <c r="N1442" s="1">
        <v>363.39400000000001</v>
      </c>
      <c r="O1442" s="2">
        <v>61</v>
      </c>
      <c r="P1442">
        <v>420</v>
      </c>
    </row>
    <row r="1443" spans="1:16" x14ac:dyDescent="0.35">
      <c r="A1443" s="4">
        <v>44866</v>
      </c>
      <c r="B1443" t="s">
        <v>18</v>
      </c>
      <c r="C1443" t="s">
        <v>11</v>
      </c>
      <c r="D1443">
        <v>1</v>
      </c>
      <c r="E1443" s="2">
        <f>(4200+4300+4250+4300+4250)/5</f>
        <v>4260</v>
      </c>
      <c r="F1443" s="2">
        <f t="shared" ref="F1443:F1447" si="228">(3781.14+3737.14+3791.43+3865.14+3680.43)/5</f>
        <v>3771.0559999999996</v>
      </c>
      <c r="G1443" s="3">
        <v>1</v>
      </c>
      <c r="H1443">
        <v>3564</v>
      </c>
      <c r="I1443">
        <v>1646.8</v>
      </c>
      <c r="J1443">
        <v>22350</v>
      </c>
      <c r="K1443">
        <v>26820</v>
      </c>
      <c r="L1443" s="2">
        <v>25.591250000000006</v>
      </c>
      <c r="M1443" s="5">
        <v>289.16149999999999</v>
      </c>
      <c r="N1443" s="1">
        <v>363.39400000000001</v>
      </c>
      <c r="O1443" s="2">
        <v>61</v>
      </c>
      <c r="P1443">
        <v>420</v>
      </c>
    </row>
    <row r="1444" spans="1:16" x14ac:dyDescent="0.35">
      <c r="A1444" s="4">
        <v>44866</v>
      </c>
      <c r="B1444" t="s">
        <v>18</v>
      </c>
      <c r="C1444" t="s">
        <v>12</v>
      </c>
      <c r="D1444">
        <v>1</v>
      </c>
      <c r="E1444" s="2">
        <f>(3480+3465*2+3285*2)/5</f>
        <v>3396</v>
      </c>
      <c r="F1444" s="2">
        <f t="shared" si="228"/>
        <v>3771.0559999999996</v>
      </c>
      <c r="G1444" s="3">
        <v>1</v>
      </c>
      <c r="H1444">
        <v>3564</v>
      </c>
      <c r="I1444">
        <v>1646.8</v>
      </c>
      <c r="J1444">
        <v>22350</v>
      </c>
      <c r="K1444">
        <v>26820</v>
      </c>
      <c r="L1444" s="2">
        <v>25.591250000000006</v>
      </c>
      <c r="M1444" s="5">
        <v>289.16149999999999</v>
      </c>
      <c r="N1444" s="1">
        <v>363.39400000000001</v>
      </c>
      <c r="O1444" s="2">
        <v>61</v>
      </c>
      <c r="P1444">
        <v>420</v>
      </c>
    </row>
    <row r="1445" spans="1:16" x14ac:dyDescent="0.35">
      <c r="A1445" s="4">
        <v>44866</v>
      </c>
      <c r="B1445" t="s">
        <v>18</v>
      </c>
      <c r="C1445" t="s">
        <v>13</v>
      </c>
      <c r="D1445">
        <v>1</v>
      </c>
      <c r="E1445" s="2">
        <f>(3750*2+3900*2+3650)/5</f>
        <v>3790</v>
      </c>
      <c r="F1445" s="2">
        <f t="shared" si="228"/>
        <v>3771.0559999999996</v>
      </c>
      <c r="G1445" s="3">
        <v>1</v>
      </c>
      <c r="H1445">
        <v>3564</v>
      </c>
      <c r="I1445">
        <v>1646.8</v>
      </c>
      <c r="J1445">
        <v>22350</v>
      </c>
      <c r="K1445">
        <v>26820</v>
      </c>
      <c r="L1445" s="2">
        <v>25.591250000000006</v>
      </c>
      <c r="M1445" s="5">
        <v>289.16149999999999</v>
      </c>
      <c r="N1445" s="1">
        <v>363.39400000000001</v>
      </c>
      <c r="O1445" s="2">
        <v>61</v>
      </c>
      <c r="P1445">
        <v>420</v>
      </c>
    </row>
    <row r="1446" spans="1:16" x14ac:dyDescent="0.35">
      <c r="A1446" s="4">
        <v>44866</v>
      </c>
      <c r="B1446" t="s">
        <v>18</v>
      </c>
      <c r="C1446" t="s">
        <v>14</v>
      </c>
      <c r="D1446">
        <v>1</v>
      </c>
      <c r="E1446" s="2">
        <f>(3733+4250+3817+4000+4300)/5</f>
        <v>4020</v>
      </c>
      <c r="F1446" s="2">
        <f t="shared" si="228"/>
        <v>3771.0559999999996</v>
      </c>
      <c r="G1446" s="3">
        <v>1</v>
      </c>
      <c r="H1446">
        <v>3564</v>
      </c>
      <c r="I1446">
        <v>1646.8</v>
      </c>
      <c r="J1446">
        <v>22350</v>
      </c>
      <c r="K1446">
        <v>26820</v>
      </c>
      <c r="L1446" s="2">
        <v>25.591250000000006</v>
      </c>
      <c r="M1446" s="5">
        <v>289.16149999999999</v>
      </c>
      <c r="N1446" s="1">
        <v>363.39400000000001</v>
      </c>
      <c r="O1446" s="2">
        <v>61</v>
      </c>
      <c r="P1446">
        <v>420</v>
      </c>
    </row>
    <row r="1447" spans="1:16" x14ac:dyDescent="0.35">
      <c r="A1447" s="4">
        <v>44866</v>
      </c>
      <c r="B1447" t="s">
        <v>18</v>
      </c>
      <c r="C1447" t="s">
        <v>15</v>
      </c>
      <c r="D1447">
        <v>1</v>
      </c>
      <c r="E1447" s="2">
        <f>(3700+3725+3775*2+3750)/5</f>
        <v>3745</v>
      </c>
      <c r="F1447" s="2">
        <f t="shared" si="228"/>
        <v>3771.0559999999996</v>
      </c>
      <c r="G1447" s="3">
        <v>1</v>
      </c>
      <c r="H1447">
        <v>3564</v>
      </c>
      <c r="I1447">
        <v>1646.8</v>
      </c>
      <c r="J1447">
        <v>22350</v>
      </c>
      <c r="K1447">
        <v>26820</v>
      </c>
      <c r="L1447" s="2">
        <v>25.591250000000006</v>
      </c>
      <c r="M1447" s="5">
        <v>289.16149999999999</v>
      </c>
      <c r="N1447" s="1">
        <v>363.39400000000001</v>
      </c>
      <c r="O1447" s="2">
        <v>61</v>
      </c>
      <c r="P1447">
        <v>420</v>
      </c>
    </row>
    <row r="1448" spans="1:16" x14ac:dyDescent="0.35">
      <c r="A1448" s="4">
        <v>44866</v>
      </c>
      <c r="B1448" t="s">
        <v>19</v>
      </c>
      <c r="C1448" t="s">
        <v>10</v>
      </c>
      <c r="D1448">
        <v>1</v>
      </c>
      <c r="E1448" s="2">
        <f>(3700+3816+3783+3550+3433)/5</f>
        <v>3656.4</v>
      </c>
      <c r="F1448" s="2">
        <f>(3435.14+3468.29+3554+3523+3456.43)/5</f>
        <v>3487.3720000000003</v>
      </c>
      <c r="G1448" s="3">
        <v>1</v>
      </c>
      <c r="H1448">
        <v>3564</v>
      </c>
      <c r="I1448">
        <v>1646.8</v>
      </c>
      <c r="J1448">
        <v>22350</v>
      </c>
      <c r="K1448">
        <v>26820</v>
      </c>
      <c r="L1448" s="2">
        <v>25.591250000000006</v>
      </c>
      <c r="M1448" s="5">
        <v>289.16149999999999</v>
      </c>
      <c r="N1448" s="1">
        <v>363.39400000000001</v>
      </c>
      <c r="O1448" s="2">
        <v>61</v>
      </c>
      <c r="P1448">
        <v>420</v>
      </c>
    </row>
    <row r="1449" spans="1:16" x14ac:dyDescent="0.35">
      <c r="A1449" s="4">
        <v>44866</v>
      </c>
      <c r="B1449" t="s">
        <v>19</v>
      </c>
      <c r="C1449" t="s">
        <v>11</v>
      </c>
      <c r="D1449">
        <v>1</v>
      </c>
      <c r="E1449" s="2">
        <v>3770</v>
      </c>
      <c r="F1449" s="2">
        <f t="shared" ref="F1449:F1453" si="229">(3435.14+3468.29+3554+3523+3456.43)/5</f>
        <v>3487.3720000000003</v>
      </c>
      <c r="G1449" s="3">
        <v>1</v>
      </c>
      <c r="H1449">
        <v>3564</v>
      </c>
      <c r="I1449">
        <v>1646.8</v>
      </c>
      <c r="J1449">
        <v>22350</v>
      </c>
      <c r="K1449">
        <v>26820</v>
      </c>
      <c r="L1449" s="2">
        <v>25.591250000000006</v>
      </c>
      <c r="M1449" s="5">
        <v>289.16149999999999</v>
      </c>
      <c r="N1449" s="1">
        <v>363.39400000000001</v>
      </c>
      <c r="O1449" s="2">
        <v>61</v>
      </c>
      <c r="P1449">
        <v>420</v>
      </c>
    </row>
    <row r="1450" spans="1:16" x14ac:dyDescent="0.35">
      <c r="A1450" s="4">
        <v>44866</v>
      </c>
      <c r="B1450" t="s">
        <v>19</v>
      </c>
      <c r="C1450" t="s">
        <v>12</v>
      </c>
      <c r="D1450">
        <v>1</v>
      </c>
      <c r="E1450" s="2">
        <f>(3370*3+3195*2)/5</f>
        <v>3300</v>
      </c>
      <c r="F1450" s="2">
        <f t="shared" si="229"/>
        <v>3487.3720000000003</v>
      </c>
      <c r="G1450" s="3">
        <v>1</v>
      </c>
      <c r="H1450">
        <v>3564</v>
      </c>
      <c r="I1450">
        <v>1646.8</v>
      </c>
      <c r="J1450">
        <v>22350</v>
      </c>
      <c r="K1450">
        <v>26820</v>
      </c>
      <c r="L1450" s="2">
        <v>25.591250000000006</v>
      </c>
      <c r="M1450" s="5">
        <v>289.16149999999999</v>
      </c>
      <c r="N1450" s="1">
        <v>363.39400000000001</v>
      </c>
      <c r="O1450" s="2">
        <v>61</v>
      </c>
      <c r="P1450">
        <v>420</v>
      </c>
    </row>
    <row r="1451" spans="1:16" x14ac:dyDescent="0.35">
      <c r="A1451" s="4">
        <v>44866</v>
      </c>
      <c r="B1451" t="s">
        <v>19</v>
      </c>
      <c r="C1451" t="s">
        <v>13</v>
      </c>
      <c r="D1451">
        <v>1</v>
      </c>
      <c r="E1451" s="2">
        <f>(3625*3+3675+3525)/5</f>
        <v>3615</v>
      </c>
      <c r="F1451" s="2">
        <f t="shared" si="229"/>
        <v>3487.3720000000003</v>
      </c>
      <c r="G1451" s="3">
        <v>1</v>
      </c>
      <c r="H1451">
        <v>3564</v>
      </c>
      <c r="I1451">
        <v>1646.8</v>
      </c>
      <c r="J1451">
        <v>22350</v>
      </c>
      <c r="K1451">
        <v>26820</v>
      </c>
      <c r="L1451" s="2">
        <v>25.591250000000006</v>
      </c>
      <c r="M1451" s="5">
        <v>289.16149999999999</v>
      </c>
      <c r="N1451" s="1">
        <v>363.39400000000001</v>
      </c>
      <c r="O1451" s="2">
        <v>61</v>
      </c>
      <c r="P1451">
        <v>420</v>
      </c>
    </row>
    <row r="1452" spans="1:16" x14ac:dyDescent="0.35">
      <c r="A1452" s="4">
        <v>44866</v>
      </c>
      <c r="B1452" t="s">
        <v>19</v>
      </c>
      <c r="C1452" t="s">
        <v>14</v>
      </c>
      <c r="D1452">
        <v>1</v>
      </c>
      <c r="E1452" s="2">
        <f>(3625+3650+3675+3658+3693)/5</f>
        <v>3660.2</v>
      </c>
      <c r="F1452" s="2">
        <f t="shared" si="229"/>
        <v>3487.3720000000003</v>
      </c>
      <c r="G1452" s="3">
        <v>1</v>
      </c>
      <c r="H1452">
        <v>3564</v>
      </c>
      <c r="I1452">
        <v>1646.8</v>
      </c>
      <c r="J1452">
        <v>22350</v>
      </c>
      <c r="K1452">
        <v>26820</v>
      </c>
      <c r="L1452" s="2">
        <v>25.591250000000006</v>
      </c>
      <c r="M1452" s="5">
        <v>289.16149999999999</v>
      </c>
      <c r="N1452" s="1">
        <v>363.39400000000001</v>
      </c>
      <c r="O1452" s="2">
        <v>61</v>
      </c>
      <c r="P1452">
        <v>420</v>
      </c>
    </row>
    <row r="1453" spans="1:16" x14ac:dyDescent="0.35">
      <c r="A1453" s="4">
        <v>44866</v>
      </c>
      <c r="B1453" t="s">
        <v>19</v>
      </c>
      <c r="C1453" t="s">
        <v>15</v>
      </c>
      <c r="D1453">
        <v>1</v>
      </c>
      <c r="E1453" s="2">
        <v>3640</v>
      </c>
      <c r="F1453" s="2">
        <f t="shared" si="229"/>
        <v>3487.3720000000003</v>
      </c>
      <c r="G1453" s="3">
        <v>1</v>
      </c>
      <c r="H1453">
        <v>3564</v>
      </c>
      <c r="I1453">
        <v>1646.8</v>
      </c>
      <c r="J1453">
        <v>22350</v>
      </c>
      <c r="K1453">
        <v>26820</v>
      </c>
      <c r="L1453" s="2">
        <v>25.591250000000006</v>
      </c>
      <c r="M1453" s="5">
        <v>289.16149999999999</v>
      </c>
      <c r="N1453" s="1">
        <v>363.39400000000001</v>
      </c>
      <c r="O1453" s="2">
        <v>61</v>
      </c>
      <c r="P1453">
        <v>420</v>
      </c>
    </row>
    <row r="1454" spans="1:16" x14ac:dyDescent="0.35">
      <c r="A1454" s="4">
        <v>44866</v>
      </c>
      <c r="B1454" t="s">
        <v>20</v>
      </c>
      <c r="C1454" t="s">
        <v>10</v>
      </c>
      <c r="D1454">
        <v>1</v>
      </c>
      <c r="E1454" s="2">
        <f>(2800+3166+2750+3100+2966)/5</f>
        <v>2956.4</v>
      </c>
      <c r="F1454" s="2">
        <f>(2986.29+3082.14+2992.86+3096.29+2969.29)/5</f>
        <v>3025.3740000000007</v>
      </c>
      <c r="G1454" s="3">
        <v>1</v>
      </c>
      <c r="H1454">
        <v>3564</v>
      </c>
      <c r="I1454">
        <v>1646.8</v>
      </c>
      <c r="J1454">
        <v>22350</v>
      </c>
      <c r="K1454">
        <v>26820</v>
      </c>
      <c r="L1454" s="2">
        <v>25.591250000000006</v>
      </c>
      <c r="M1454" s="5">
        <v>289.16149999999999</v>
      </c>
      <c r="N1454" s="1">
        <v>363.39400000000001</v>
      </c>
      <c r="O1454" s="2">
        <v>61</v>
      </c>
      <c r="P1454">
        <v>420</v>
      </c>
    </row>
    <row r="1455" spans="1:16" x14ac:dyDescent="0.35">
      <c r="A1455" s="4">
        <v>44866</v>
      </c>
      <c r="B1455" t="s">
        <v>20</v>
      </c>
      <c r="C1455" t="s">
        <v>11</v>
      </c>
      <c r="D1455">
        <v>1</v>
      </c>
      <c r="E1455" s="2">
        <v>3100</v>
      </c>
      <c r="F1455" s="2">
        <f t="shared" ref="F1455:F1459" si="230">(2986.29+3082.14+2992.86+3096.29+2969.29)/5</f>
        <v>3025.3740000000007</v>
      </c>
      <c r="G1455" s="3">
        <v>1</v>
      </c>
      <c r="H1455">
        <v>3564</v>
      </c>
      <c r="I1455">
        <v>1646.8</v>
      </c>
      <c r="J1455">
        <v>22350</v>
      </c>
      <c r="K1455">
        <v>26820</v>
      </c>
      <c r="L1455" s="2">
        <v>25.591250000000006</v>
      </c>
      <c r="M1455" s="5">
        <v>289.16149999999999</v>
      </c>
      <c r="N1455" s="1">
        <v>363.39400000000001</v>
      </c>
      <c r="O1455" s="2">
        <v>61</v>
      </c>
      <c r="P1455">
        <v>420</v>
      </c>
    </row>
    <row r="1456" spans="1:16" x14ac:dyDescent="0.35">
      <c r="A1456" s="4">
        <v>44866</v>
      </c>
      <c r="B1456" t="s">
        <v>20</v>
      </c>
      <c r="C1456" t="s">
        <v>12</v>
      </c>
      <c r="D1456">
        <v>1</v>
      </c>
      <c r="E1456" s="2">
        <v>2900</v>
      </c>
      <c r="F1456" s="2">
        <f t="shared" si="230"/>
        <v>3025.3740000000007</v>
      </c>
      <c r="G1456" s="3">
        <v>1</v>
      </c>
      <c r="H1456">
        <v>3564</v>
      </c>
      <c r="I1456">
        <v>1646.8</v>
      </c>
      <c r="J1456">
        <v>22350</v>
      </c>
      <c r="K1456">
        <v>26820</v>
      </c>
      <c r="L1456" s="2">
        <v>25.591250000000006</v>
      </c>
      <c r="M1456" s="5">
        <v>289.16149999999999</v>
      </c>
      <c r="N1456" s="1">
        <v>363.39400000000001</v>
      </c>
      <c r="O1456" s="2">
        <v>61</v>
      </c>
      <c r="P1456">
        <v>420</v>
      </c>
    </row>
    <row r="1457" spans="1:16" x14ac:dyDescent="0.35">
      <c r="A1457" s="4">
        <v>44866</v>
      </c>
      <c r="B1457" t="s">
        <v>20</v>
      </c>
      <c r="C1457" t="s">
        <v>13</v>
      </c>
      <c r="D1457">
        <v>1</v>
      </c>
      <c r="E1457" s="2">
        <v>3115</v>
      </c>
      <c r="F1457" s="2">
        <f t="shared" si="230"/>
        <v>3025.3740000000007</v>
      </c>
      <c r="G1457" s="3">
        <v>1</v>
      </c>
      <c r="H1457">
        <v>3564</v>
      </c>
      <c r="I1457">
        <v>1646.8</v>
      </c>
      <c r="J1457">
        <v>22350</v>
      </c>
      <c r="K1457">
        <v>26820</v>
      </c>
      <c r="L1457" s="2">
        <v>25.591250000000006</v>
      </c>
      <c r="M1457" s="5">
        <v>289.16149999999999</v>
      </c>
      <c r="N1457" s="1">
        <v>363.39400000000001</v>
      </c>
      <c r="O1457" s="2">
        <v>61</v>
      </c>
      <c r="P1457">
        <v>420</v>
      </c>
    </row>
    <row r="1458" spans="1:16" x14ac:dyDescent="0.35">
      <c r="A1458" s="4">
        <v>44866</v>
      </c>
      <c r="B1458" t="s">
        <v>20</v>
      </c>
      <c r="C1458" t="s">
        <v>14</v>
      </c>
      <c r="D1458">
        <v>1</v>
      </c>
      <c r="E1458" s="2">
        <f>(3113+3200+3300+3233+3100)/5</f>
        <v>3189.2</v>
      </c>
      <c r="F1458" s="2">
        <f t="shared" si="230"/>
        <v>3025.3740000000007</v>
      </c>
      <c r="G1458" s="3">
        <v>1</v>
      </c>
      <c r="H1458">
        <v>3564</v>
      </c>
      <c r="I1458">
        <v>1646.8</v>
      </c>
      <c r="J1458">
        <v>22350</v>
      </c>
      <c r="K1458">
        <v>26820</v>
      </c>
      <c r="L1458" s="2">
        <v>25.591250000000006</v>
      </c>
      <c r="M1458" s="5">
        <v>289.16149999999999</v>
      </c>
      <c r="N1458" s="1">
        <v>363.39400000000001</v>
      </c>
      <c r="O1458" s="2">
        <v>61</v>
      </c>
      <c r="P1458">
        <v>420</v>
      </c>
    </row>
    <row r="1459" spans="1:16" x14ac:dyDescent="0.35">
      <c r="A1459" s="4">
        <v>44866</v>
      </c>
      <c r="B1459" t="s">
        <v>20</v>
      </c>
      <c r="C1459" t="s">
        <v>15</v>
      </c>
      <c r="D1459">
        <v>1</v>
      </c>
      <c r="E1459" s="2">
        <v>3112.5</v>
      </c>
      <c r="F1459" s="2">
        <f t="shared" si="230"/>
        <v>3025.3740000000007</v>
      </c>
      <c r="G1459" s="3">
        <v>1</v>
      </c>
      <c r="H1459">
        <v>3564</v>
      </c>
      <c r="I1459">
        <v>1646.8</v>
      </c>
      <c r="J1459">
        <v>22350</v>
      </c>
      <c r="K1459">
        <v>26820</v>
      </c>
      <c r="L1459" s="2">
        <v>25.591250000000006</v>
      </c>
      <c r="M1459" s="5">
        <v>289.16149999999999</v>
      </c>
      <c r="N1459" s="1">
        <v>363.39400000000001</v>
      </c>
      <c r="O1459" s="2">
        <v>61</v>
      </c>
      <c r="P1459">
        <v>420</v>
      </c>
    </row>
    <row r="1460" spans="1:16" x14ac:dyDescent="0.35">
      <c r="A1460" s="4">
        <v>44866</v>
      </c>
      <c r="B1460" t="s">
        <v>21</v>
      </c>
      <c r="C1460" t="s">
        <v>10</v>
      </c>
      <c r="D1460">
        <v>1</v>
      </c>
      <c r="E1460" s="2">
        <f>(2400+2800+2450+2550+2533)/5</f>
        <v>2546.6</v>
      </c>
      <c r="F1460" s="2">
        <f>(2819.86+2866.57+2833+2938.29+2788.29)/5</f>
        <v>2849.2020000000002</v>
      </c>
      <c r="G1460" s="3">
        <v>1</v>
      </c>
      <c r="H1460">
        <v>3564</v>
      </c>
      <c r="I1460">
        <v>1646.8</v>
      </c>
      <c r="J1460">
        <v>22350</v>
      </c>
      <c r="K1460">
        <v>26820</v>
      </c>
      <c r="L1460" s="2">
        <v>25.591250000000006</v>
      </c>
      <c r="M1460" s="5">
        <v>289.16149999999999</v>
      </c>
      <c r="N1460" s="1">
        <v>363.39400000000001</v>
      </c>
      <c r="O1460" s="2">
        <v>61</v>
      </c>
      <c r="P1460">
        <v>420</v>
      </c>
    </row>
    <row r="1461" spans="1:16" x14ac:dyDescent="0.35">
      <c r="A1461" s="4">
        <v>44866</v>
      </c>
      <c r="B1461" t="s">
        <v>21</v>
      </c>
      <c r="C1461" t="s">
        <v>11</v>
      </c>
      <c r="D1461">
        <v>1</v>
      </c>
      <c r="E1461" s="2">
        <v>2980</v>
      </c>
      <c r="F1461" s="2">
        <f t="shared" ref="F1461:F1465" si="231">(2819.86+2866.57+2833+2938.29+2788.29)/5</f>
        <v>2849.2020000000002</v>
      </c>
      <c r="G1461" s="3">
        <v>1</v>
      </c>
      <c r="H1461">
        <v>3564</v>
      </c>
      <c r="I1461">
        <v>1646.8</v>
      </c>
      <c r="J1461">
        <v>22350</v>
      </c>
      <c r="K1461">
        <v>26820</v>
      </c>
      <c r="L1461" s="2">
        <v>25.591250000000006</v>
      </c>
      <c r="M1461" s="5">
        <v>289.16149999999999</v>
      </c>
      <c r="N1461" s="1">
        <v>363.39400000000001</v>
      </c>
      <c r="O1461" s="2">
        <v>61</v>
      </c>
      <c r="P1461">
        <v>420</v>
      </c>
    </row>
    <row r="1462" spans="1:16" x14ac:dyDescent="0.35">
      <c r="A1462" s="4">
        <v>44866</v>
      </c>
      <c r="B1462" t="s">
        <v>21</v>
      </c>
      <c r="C1462" t="s">
        <v>12</v>
      </c>
      <c r="D1462">
        <v>1</v>
      </c>
      <c r="E1462" s="2">
        <v>2700</v>
      </c>
      <c r="F1462" s="2">
        <f t="shared" si="231"/>
        <v>2849.2020000000002</v>
      </c>
      <c r="G1462" s="3">
        <v>1</v>
      </c>
      <c r="H1462">
        <v>3564</v>
      </c>
      <c r="I1462">
        <v>1646.8</v>
      </c>
      <c r="J1462">
        <v>22350</v>
      </c>
      <c r="K1462">
        <v>26820</v>
      </c>
      <c r="L1462" s="2">
        <v>25.591250000000006</v>
      </c>
      <c r="M1462" s="5">
        <v>289.16149999999999</v>
      </c>
      <c r="N1462" s="1">
        <v>363.39400000000001</v>
      </c>
      <c r="O1462" s="2">
        <v>61</v>
      </c>
      <c r="P1462">
        <v>420</v>
      </c>
    </row>
    <row r="1463" spans="1:16" x14ac:dyDescent="0.35">
      <c r="A1463" s="4">
        <v>44866</v>
      </c>
      <c r="B1463" t="s">
        <v>21</v>
      </c>
      <c r="C1463" t="s">
        <v>13</v>
      </c>
      <c r="D1463">
        <v>1</v>
      </c>
      <c r="E1463" s="2">
        <v>3035</v>
      </c>
      <c r="F1463" s="2">
        <f t="shared" si="231"/>
        <v>2849.2020000000002</v>
      </c>
      <c r="G1463" s="3">
        <v>1</v>
      </c>
      <c r="H1463">
        <v>3564</v>
      </c>
      <c r="I1463">
        <v>1646.8</v>
      </c>
      <c r="J1463">
        <v>22350</v>
      </c>
      <c r="K1463">
        <v>26820</v>
      </c>
      <c r="L1463" s="2">
        <v>25.591250000000006</v>
      </c>
      <c r="M1463" s="5">
        <v>289.16149999999999</v>
      </c>
      <c r="N1463" s="1">
        <v>363.39400000000001</v>
      </c>
      <c r="O1463" s="2">
        <v>61</v>
      </c>
      <c r="P1463">
        <v>420</v>
      </c>
    </row>
    <row r="1464" spans="1:16" x14ac:dyDescent="0.35">
      <c r="A1464" s="4">
        <v>44866</v>
      </c>
      <c r="B1464" t="s">
        <v>21</v>
      </c>
      <c r="C1464" t="s">
        <v>14</v>
      </c>
      <c r="D1464">
        <v>1</v>
      </c>
      <c r="E1464" s="2">
        <f>(2958+3143+3131+3029+3081)/5</f>
        <v>3068.4</v>
      </c>
      <c r="F1464" s="2">
        <f t="shared" si="231"/>
        <v>2849.2020000000002</v>
      </c>
      <c r="G1464" s="3">
        <v>1</v>
      </c>
      <c r="H1464">
        <v>3564</v>
      </c>
      <c r="I1464">
        <v>1646.8</v>
      </c>
      <c r="J1464">
        <v>22350</v>
      </c>
      <c r="K1464">
        <v>26820</v>
      </c>
      <c r="L1464" s="2">
        <v>25.591250000000006</v>
      </c>
      <c r="M1464" s="5">
        <v>289.16149999999999</v>
      </c>
      <c r="N1464" s="1">
        <v>363.39400000000001</v>
      </c>
      <c r="O1464" s="2">
        <v>61</v>
      </c>
      <c r="P1464">
        <v>420</v>
      </c>
    </row>
    <row r="1465" spans="1:16" x14ac:dyDescent="0.35">
      <c r="A1465" s="4">
        <v>44866</v>
      </c>
      <c r="B1465" t="s">
        <v>21</v>
      </c>
      <c r="C1465" t="s">
        <v>15</v>
      </c>
      <c r="D1465">
        <v>1</v>
      </c>
      <c r="E1465" s="2">
        <f>(3200*2+3037+3025)/4</f>
        <v>3115.5</v>
      </c>
      <c r="F1465" s="2">
        <f t="shared" si="231"/>
        <v>2849.2020000000002</v>
      </c>
      <c r="G1465" s="3">
        <v>1</v>
      </c>
      <c r="H1465">
        <v>3564</v>
      </c>
      <c r="I1465">
        <v>1646.8</v>
      </c>
      <c r="J1465">
        <v>22350</v>
      </c>
      <c r="K1465">
        <v>26820</v>
      </c>
      <c r="L1465" s="2">
        <v>25.591250000000006</v>
      </c>
      <c r="M1465" s="5">
        <v>289.16149999999999</v>
      </c>
      <c r="N1465" s="1">
        <v>363.39400000000001</v>
      </c>
      <c r="O1465" s="2">
        <v>61</v>
      </c>
      <c r="P1465">
        <v>420</v>
      </c>
    </row>
    <row r="1466" spans="1:16" x14ac:dyDescent="0.35">
      <c r="A1466" s="4">
        <v>44866</v>
      </c>
      <c r="B1466" t="s">
        <v>22</v>
      </c>
      <c r="C1466" t="s">
        <v>10</v>
      </c>
      <c r="D1466">
        <v>0</v>
      </c>
      <c r="E1466" s="2" t="s">
        <v>27</v>
      </c>
      <c r="F1466" s="2">
        <f t="shared" ref="F1466:F1469" si="232">(2425+2500+2625+2675+2375)/5</f>
        <v>2520</v>
      </c>
      <c r="G1466" s="3">
        <v>1</v>
      </c>
      <c r="H1466">
        <v>3564</v>
      </c>
      <c r="I1466">
        <v>1646.8</v>
      </c>
      <c r="J1466">
        <v>22350</v>
      </c>
      <c r="K1466">
        <v>26820</v>
      </c>
      <c r="L1466" s="2">
        <v>25.591250000000006</v>
      </c>
      <c r="M1466" s="5">
        <v>289.16149999999999</v>
      </c>
      <c r="N1466" s="1">
        <v>363.39400000000001</v>
      </c>
      <c r="O1466" s="2">
        <v>61</v>
      </c>
      <c r="P1466">
        <v>420</v>
      </c>
    </row>
    <row r="1467" spans="1:16" x14ac:dyDescent="0.35">
      <c r="A1467" s="4">
        <v>44866</v>
      </c>
      <c r="B1467" t="s">
        <v>22</v>
      </c>
      <c r="C1467" t="s">
        <v>11</v>
      </c>
      <c r="D1467">
        <v>0</v>
      </c>
      <c r="E1467" s="2" t="s">
        <v>27</v>
      </c>
      <c r="F1467" s="2">
        <f t="shared" si="232"/>
        <v>2520</v>
      </c>
      <c r="G1467" s="3">
        <v>1</v>
      </c>
      <c r="H1467">
        <v>3564</v>
      </c>
      <c r="I1467">
        <v>1646.8</v>
      </c>
      <c r="J1467">
        <v>22350</v>
      </c>
      <c r="K1467">
        <v>26820</v>
      </c>
      <c r="L1467" s="2">
        <v>25.591250000000006</v>
      </c>
      <c r="M1467" s="5">
        <v>289.16149999999999</v>
      </c>
      <c r="N1467" s="1">
        <v>363.39400000000001</v>
      </c>
      <c r="O1467" s="2">
        <v>61</v>
      </c>
      <c r="P1467">
        <v>420</v>
      </c>
    </row>
    <row r="1468" spans="1:16" x14ac:dyDescent="0.35">
      <c r="A1468" s="4">
        <v>44866</v>
      </c>
      <c r="B1468" t="s">
        <v>22</v>
      </c>
      <c r="C1468" t="s">
        <v>12</v>
      </c>
      <c r="D1468">
        <v>0</v>
      </c>
      <c r="E1468" s="2" t="s">
        <v>27</v>
      </c>
      <c r="F1468" s="2">
        <f t="shared" si="232"/>
        <v>2520</v>
      </c>
      <c r="G1468" s="3">
        <v>1</v>
      </c>
      <c r="H1468">
        <v>3564</v>
      </c>
      <c r="I1468">
        <v>1646.8</v>
      </c>
      <c r="J1468">
        <v>22350</v>
      </c>
      <c r="K1468">
        <v>26820</v>
      </c>
      <c r="L1468" s="2">
        <v>25.591250000000006</v>
      </c>
      <c r="M1468" s="5">
        <v>289.16149999999999</v>
      </c>
      <c r="N1468" s="1">
        <v>363.39400000000001</v>
      </c>
      <c r="O1468" s="2">
        <v>61</v>
      </c>
      <c r="P1468">
        <v>420</v>
      </c>
    </row>
    <row r="1469" spans="1:16" x14ac:dyDescent="0.35">
      <c r="A1469" s="4">
        <v>44866</v>
      </c>
      <c r="B1469" t="s">
        <v>22</v>
      </c>
      <c r="C1469" t="s">
        <v>13</v>
      </c>
      <c r="D1469">
        <v>0</v>
      </c>
      <c r="E1469" s="2" t="s">
        <v>27</v>
      </c>
      <c r="F1469" s="2">
        <f t="shared" si="232"/>
        <v>2520</v>
      </c>
      <c r="G1469" s="3">
        <v>1</v>
      </c>
      <c r="H1469">
        <v>3564</v>
      </c>
      <c r="I1469">
        <v>1646.8</v>
      </c>
      <c r="J1469">
        <v>22350</v>
      </c>
      <c r="K1469">
        <v>26820</v>
      </c>
      <c r="L1469" s="2">
        <v>25.591250000000006</v>
      </c>
      <c r="M1469" s="5">
        <v>289.16149999999999</v>
      </c>
      <c r="N1469" s="1">
        <v>363.39400000000001</v>
      </c>
      <c r="O1469" s="2">
        <v>61</v>
      </c>
      <c r="P1469">
        <v>420</v>
      </c>
    </row>
    <row r="1470" spans="1:16" x14ac:dyDescent="0.35">
      <c r="A1470" s="4">
        <v>44866</v>
      </c>
      <c r="B1470" t="s">
        <v>22</v>
      </c>
      <c r="C1470" t="s">
        <v>14</v>
      </c>
      <c r="D1470">
        <v>1</v>
      </c>
      <c r="E1470" s="2">
        <f>(2425+2500+2625+2675+2375)/5</f>
        <v>2520</v>
      </c>
      <c r="F1470" s="2">
        <f>(2425+2500+2625+2675+2375)/5</f>
        <v>2520</v>
      </c>
      <c r="G1470" s="3">
        <v>1</v>
      </c>
      <c r="H1470">
        <v>3564</v>
      </c>
      <c r="I1470">
        <v>1646.8</v>
      </c>
      <c r="J1470">
        <v>22350</v>
      </c>
      <c r="K1470">
        <v>26820</v>
      </c>
      <c r="L1470" s="2">
        <v>25.591250000000006</v>
      </c>
      <c r="M1470" s="5">
        <v>289.16149999999999</v>
      </c>
      <c r="N1470" s="1">
        <v>363.39400000000001</v>
      </c>
      <c r="O1470" s="2">
        <v>61</v>
      </c>
      <c r="P1470">
        <v>420</v>
      </c>
    </row>
    <row r="1471" spans="1:16" x14ac:dyDescent="0.35">
      <c r="A1471" s="4">
        <v>44866</v>
      </c>
      <c r="B1471" t="s">
        <v>22</v>
      </c>
      <c r="C1471" t="s">
        <v>15</v>
      </c>
      <c r="D1471">
        <v>0</v>
      </c>
      <c r="E1471" s="2" t="s">
        <v>27</v>
      </c>
      <c r="F1471" s="2">
        <f>(2425+2500+2625+2675+2375)/5</f>
        <v>2520</v>
      </c>
      <c r="G1471" s="3">
        <v>1</v>
      </c>
      <c r="H1471">
        <v>3564</v>
      </c>
      <c r="I1471">
        <v>1646.8</v>
      </c>
      <c r="J1471">
        <v>22350</v>
      </c>
      <c r="K1471">
        <v>26820</v>
      </c>
      <c r="L1471" s="2">
        <v>25.591250000000006</v>
      </c>
      <c r="M1471" s="5">
        <v>289.16149999999999</v>
      </c>
      <c r="N1471" s="1">
        <v>363.39400000000001</v>
      </c>
      <c r="O1471" s="2">
        <v>61</v>
      </c>
      <c r="P1471">
        <v>420</v>
      </c>
    </row>
    <row r="1472" spans="1:16" x14ac:dyDescent="0.35">
      <c r="A1472" s="4">
        <v>44896</v>
      </c>
      <c r="B1472" t="s">
        <v>16</v>
      </c>
      <c r="C1472" t="s">
        <v>10</v>
      </c>
      <c r="D1472">
        <v>1</v>
      </c>
      <c r="E1472" s="2">
        <f>(5866+6238+5760+6100)/4</f>
        <v>5991</v>
      </c>
      <c r="F1472" s="2">
        <f>(5811.25+5713.25+5745.75+5670.25)/4</f>
        <v>5735.125</v>
      </c>
      <c r="G1472" s="3">
        <v>1</v>
      </c>
      <c r="H1472">
        <v>3564</v>
      </c>
      <c r="I1472">
        <v>1463.9</v>
      </c>
      <c r="J1472">
        <v>19484</v>
      </c>
      <c r="K1472">
        <v>35760</v>
      </c>
      <c r="L1472" s="2">
        <v>25.180624999999999</v>
      </c>
      <c r="M1472" s="5">
        <v>289.31299999999999</v>
      </c>
      <c r="N1472" s="1">
        <v>363.16520000000003</v>
      </c>
      <c r="O1472" s="2">
        <v>57.2</v>
      </c>
      <c r="P1472">
        <v>420</v>
      </c>
    </row>
    <row r="1473" spans="1:16" x14ac:dyDescent="0.35">
      <c r="A1473" s="4">
        <v>44896</v>
      </c>
      <c r="B1473" t="s">
        <v>16</v>
      </c>
      <c r="C1473" t="s">
        <v>11</v>
      </c>
      <c r="D1473">
        <v>0</v>
      </c>
      <c r="E1473" s="2" t="s">
        <v>27</v>
      </c>
      <c r="F1473" s="2">
        <f t="shared" ref="F1473:F1477" si="233">(5811.25+5713.25+5745.75+5670.25)/4</f>
        <v>5735.125</v>
      </c>
      <c r="G1473" s="3">
        <v>1</v>
      </c>
      <c r="H1473">
        <v>3564</v>
      </c>
      <c r="I1473">
        <v>1463.9</v>
      </c>
      <c r="J1473">
        <v>19484</v>
      </c>
      <c r="K1473">
        <v>35760</v>
      </c>
      <c r="L1473" s="2">
        <v>25.180624999999999</v>
      </c>
      <c r="M1473" s="5">
        <v>289.31299999999999</v>
      </c>
      <c r="N1473" s="1">
        <v>363.16520000000003</v>
      </c>
      <c r="O1473" s="2">
        <v>57.2</v>
      </c>
      <c r="P1473">
        <v>420</v>
      </c>
    </row>
    <row r="1474" spans="1:16" x14ac:dyDescent="0.35">
      <c r="A1474" s="4">
        <v>44896</v>
      </c>
      <c r="B1474" t="s">
        <v>16</v>
      </c>
      <c r="C1474" t="s">
        <v>12</v>
      </c>
      <c r="D1474">
        <v>1</v>
      </c>
      <c r="E1474" s="2">
        <v>4795</v>
      </c>
      <c r="F1474" s="2">
        <f t="shared" si="233"/>
        <v>5735.125</v>
      </c>
      <c r="G1474" s="3">
        <v>1</v>
      </c>
      <c r="H1474">
        <v>3564</v>
      </c>
      <c r="I1474">
        <v>1463.9</v>
      </c>
      <c r="J1474">
        <v>19484</v>
      </c>
      <c r="K1474">
        <v>35760</v>
      </c>
      <c r="L1474" s="2">
        <v>25.180624999999999</v>
      </c>
      <c r="M1474" s="5">
        <v>289.31299999999999</v>
      </c>
      <c r="N1474" s="1">
        <v>363.16520000000003</v>
      </c>
      <c r="O1474" s="2">
        <v>57.2</v>
      </c>
      <c r="P1474">
        <v>420</v>
      </c>
    </row>
    <row r="1475" spans="1:16" x14ac:dyDescent="0.35">
      <c r="A1475" s="4">
        <v>44896</v>
      </c>
      <c r="B1475" t="s">
        <v>16</v>
      </c>
      <c r="C1475" t="s">
        <v>13</v>
      </c>
      <c r="D1475">
        <v>1</v>
      </c>
      <c r="E1475" s="2">
        <f>(6000*2+5650+5700)/4</f>
        <v>5837.5</v>
      </c>
      <c r="F1475" s="2">
        <f t="shared" si="233"/>
        <v>5735.125</v>
      </c>
      <c r="G1475" s="3">
        <v>1</v>
      </c>
      <c r="H1475">
        <v>3564</v>
      </c>
      <c r="I1475">
        <v>1463.9</v>
      </c>
      <c r="J1475">
        <v>19484</v>
      </c>
      <c r="K1475">
        <v>35760</v>
      </c>
      <c r="L1475" s="2">
        <v>25.180624999999999</v>
      </c>
      <c r="M1475" s="5">
        <v>289.31299999999999</v>
      </c>
      <c r="N1475" s="1">
        <v>363.16520000000003</v>
      </c>
      <c r="O1475" s="2">
        <v>57.2</v>
      </c>
      <c r="P1475">
        <v>420</v>
      </c>
    </row>
    <row r="1476" spans="1:16" x14ac:dyDescent="0.35">
      <c r="A1476" s="4">
        <v>44896</v>
      </c>
      <c r="B1476" t="s">
        <v>16</v>
      </c>
      <c r="C1476" t="s">
        <v>14</v>
      </c>
      <c r="D1476">
        <v>1</v>
      </c>
      <c r="E1476" s="2">
        <v>6317.5</v>
      </c>
      <c r="F1476" s="2">
        <f t="shared" si="233"/>
        <v>5735.125</v>
      </c>
      <c r="G1476" s="3">
        <v>1</v>
      </c>
      <c r="H1476">
        <v>3564</v>
      </c>
      <c r="I1476">
        <v>1463.9</v>
      </c>
      <c r="J1476">
        <v>19484</v>
      </c>
      <c r="K1476">
        <v>35760</v>
      </c>
      <c r="L1476" s="2">
        <v>25.180624999999999</v>
      </c>
      <c r="M1476" s="5">
        <v>289.31299999999999</v>
      </c>
      <c r="N1476" s="1">
        <v>363.16520000000003</v>
      </c>
      <c r="O1476" s="2">
        <v>57.2</v>
      </c>
      <c r="P1476">
        <v>420</v>
      </c>
    </row>
    <row r="1477" spans="1:16" x14ac:dyDescent="0.35">
      <c r="A1477" s="4">
        <v>44896</v>
      </c>
      <c r="B1477" t="s">
        <v>16</v>
      </c>
      <c r="C1477" t="s">
        <v>15</v>
      </c>
      <c r="D1477">
        <v>0</v>
      </c>
      <c r="E1477" s="2" t="s">
        <v>27</v>
      </c>
      <c r="F1477" s="2">
        <f t="shared" si="233"/>
        <v>5735.125</v>
      </c>
      <c r="G1477" s="3">
        <v>1</v>
      </c>
      <c r="H1477">
        <v>3564</v>
      </c>
      <c r="I1477">
        <v>1463.9</v>
      </c>
      <c r="J1477">
        <v>19484</v>
      </c>
      <c r="K1477">
        <v>35760</v>
      </c>
      <c r="L1477" s="2">
        <v>25.180624999999999</v>
      </c>
      <c r="M1477" s="5">
        <v>289.31299999999999</v>
      </c>
      <c r="N1477" s="1">
        <v>363.16520000000003</v>
      </c>
      <c r="O1477" s="2">
        <v>57.2</v>
      </c>
      <c r="P1477">
        <v>420</v>
      </c>
    </row>
    <row r="1478" spans="1:16" x14ac:dyDescent="0.35">
      <c r="A1478" s="4">
        <v>44896</v>
      </c>
      <c r="B1478" t="s">
        <v>17</v>
      </c>
      <c r="C1478" t="s">
        <v>10</v>
      </c>
      <c r="D1478">
        <v>1</v>
      </c>
      <c r="E1478" s="2">
        <f>(4800+5000+4766+4480)/4</f>
        <v>4761.5</v>
      </c>
      <c r="F1478" s="2">
        <f>(4535.8+4362+4532.6+4472.6)/4</f>
        <v>4475.75</v>
      </c>
      <c r="G1478" s="3">
        <v>1</v>
      </c>
      <c r="H1478">
        <v>3564</v>
      </c>
      <c r="I1478">
        <v>1463.9</v>
      </c>
      <c r="J1478">
        <v>19484</v>
      </c>
      <c r="K1478">
        <v>35760</v>
      </c>
      <c r="L1478" s="2">
        <v>25.180624999999999</v>
      </c>
      <c r="M1478" s="5">
        <v>289.31299999999999</v>
      </c>
      <c r="N1478" s="1">
        <v>363.16520000000003</v>
      </c>
      <c r="O1478" s="2">
        <v>57.2</v>
      </c>
      <c r="P1478">
        <v>420</v>
      </c>
    </row>
    <row r="1479" spans="1:16" x14ac:dyDescent="0.35">
      <c r="A1479" s="4">
        <v>44896</v>
      </c>
      <c r="B1479" t="s">
        <v>17</v>
      </c>
      <c r="C1479" t="s">
        <v>11</v>
      </c>
      <c r="D1479">
        <v>1</v>
      </c>
      <c r="E1479" s="2">
        <v>4325</v>
      </c>
      <c r="F1479" s="2">
        <f t="shared" ref="F1479:F1483" si="234">(4535.8+4362+4532.6+4472.6)/4</f>
        <v>4475.75</v>
      </c>
      <c r="G1479" s="3">
        <v>1</v>
      </c>
      <c r="H1479">
        <v>3564</v>
      </c>
      <c r="I1479">
        <v>1463.9</v>
      </c>
      <c r="J1479">
        <v>19484</v>
      </c>
      <c r="K1479">
        <v>35760</v>
      </c>
      <c r="L1479" s="2">
        <v>25.180624999999999</v>
      </c>
      <c r="M1479" s="5">
        <v>289.31299999999999</v>
      </c>
      <c r="N1479" s="1">
        <v>363.16520000000003</v>
      </c>
      <c r="O1479" s="2">
        <v>57.2</v>
      </c>
      <c r="P1479">
        <v>420</v>
      </c>
    </row>
    <row r="1480" spans="1:16" x14ac:dyDescent="0.35">
      <c r="A1480" s="4">
        <v>44896</v>
      </c>
      <c r="B1480" t="s">
        <v>17</v>
      </c>
      <c r="C1480" t="s">
        <v>12</v>
      </c>
      <c r="D1480">
        <v>1</v>
      </c>
      <c r="E1480" s="2">
        <v>4080</v>
      </c>
      <c r="F1480" s="2">
        <f t="shared" si="234"/>
        <v>4475.75</v>
      </c>
      <c r="G1480" s="3">
        <v>1</v>
      </c>
      <c r="H1480">
        <v>3564</v>
      </c>
      <c r="I1480">
        <v>1463.9</v>
      </c>
      <c r="J1480">
        <v>19484</v>
      </c>
      <c r="K1480">
        <v>35760</v>
      </c>
      <c r="L1480" s="2">
        <v>25.180624999999999</v>
      </c>
      <c r="M1480" s="5">
        <v>289.31299999999999</v>
      </c>
      <c r="N1480" s="1">
        <v>363.16520000000003</v>
      </c>
      <c r="O1480" s="2">
        <v>57.2</v>
      </c>
      <c r="P1480">
        <v>420</v>
      </c>
    </row>
    <row r="1481" spans="1:16" x14ac:dyDescent="0.35">
      <c r="A1481" s="4">
        <v>44896</v>
      </c>
      <c r="B1481" t="s">
        <v>17</v>
      </c>
      <c r="C1481" t="s">
        <v>13</v>
      </c>
      <c r="D1481">
        <v>1</v>
      </c>
      <c r="E1481" s="2">
        <v>4237.5</v>
      </c>
      <c r="F1481" s="2">
        <f t="shared" si="234"/>
        <v>4475.75</v>
      </c>
      <c r="G1481" s="3">
        <v>1</v>
      </c>
      <c r="H1481">
        <v>3564</v>
      </c>
      <c r="I1481">
        <v>1463.9</v>
      </c>
      <c r="J1481">
        <v>19484</v>
      </c>
      <c r="K1481">
        <v>35760</v>
      </c>
      <c r="L1481" s="2">
        <v>25.180624999999999</v>
      </c>
      <c r="M1481" s="5">
        <v>289.31299999999999</v>
      </c>
      <c r="N1481" s="1">
        <v>363.16520000000003</v>
      </c>
      <c r="O1481" s="2">
        <v>57.2</v>
      </c>
      <c r="P1481">
        <v>420</v>
      </c>
    </row>
    <row r="1482" spans="1:16" x14ac:dyDescent="0.35">
      <c r="A1482" s="4">
        <v>44896</v>
      </c>
      <c r="B1482" t="s">
        <v>17</v>
      </c>
      <c r="C1482" t="s">
        <v>14</v>
      </c>
      <c r="D1482">
        <v>1</v>
      </c>
      <c r="E1482" s="2">
        <f>(4833+4933+4600+4633)/4</f>
        <v>4749.75</v>
      </c>
      <c r="F1482" s="2">
        <f t="shared" si="234"/>
        <v>4475.75</v>
      </c>
      <c r="G1482" s="3">
        <v>1</v>
      </c>
      <c r="H1482">
        <v>3564</v>
      </c>
      <c r="I1482">
        <v>1463.9</v>
      </c>
      <c r="J1482">
        <v>19484</v>
      </c>
      <c r="K1482">
        <v>35760</v>
      </c>
      <c r="L1482" s="2">
        <v>25.180624999999999</v>
      </c>
      <c r="M1482" s="5">
        <v>289.31299999999999</v>
      </c>
      <c r="N1482" s="1">
        <v>363.16520000000003</v>
      </c>
      <c r="O1482" s="2">
        <v>57.2</v>
      </c>
      <c r="P1482">
        <v>420</v>
      </c>
    </row>
    <row r="1483" spans="1:16" x14ac:dyDescent="0.35">
      <c r="A1483" s="4">
        <v>44896</v>
      </c>
      <c r="B1483" t="s">
        <v>17</v>
      </c>
      <c r="C1483" t="s">
        <v>15</v>
      </c>
      <c r="D1483">
        <v>0</v>
      </c>
      <c r="E1483" s="2" t="s">
        <v>27</v>
      </c>
      <c r="F1483" s="2">
        <f t="shared" si="234"/>
        <v>4475.75</v>
      </c>
      <c r="G1483" s="3">
        <v>1</v>
      </c>
      <c r="H1483">
        <v>3564</v>
      </c>
      <c r="I1483">
        <v>1463.9</v>
      </c>
      <c r="J1483">
        <v>19484</v>
      </c>
      <c r="K1483">
        <v>35760</v>
      </c>
      <c r="L1483" s="2">
        <v>25.180624999999999</v>
      </c>
      <c r="M1483" s="5">
        <v>289.31299999999999</v>
      </c>
      <c r="N1483" s="1">
        <v>363.16520000000003</v>
      </c>
      <c r="O1483" s="2">
        <v>57.2</v>
      </c>
      <c r="P1483">
        <v>420</v>
      </c>
    </row>
    <row r="1484" spans="1:16" x14ac:dyDescent="0.35">
      <c r="A1484" s="4">
        <v>44896</v>
      </c>
      <c r="B1484" t="s">
        <v>18</v>
      </c>
      <c r="C1484" t="s">
        <v>10</v>
      </c>
      <c r="D1484">
        <v>1</v>
      </c>
      <c r="E1484" s="2">
        <f>(4366+4062+4240+4200)/4</f>
        <v>4217</v>
      </c>
      <c r="F1484" s="2">
        <f>(3690.14+3650.29+3654.29+3779.57)/4</f>
        <v>3693.5725000000002</v>
      </c>
      <c r="G1484" s="3">
        <v>1</v>
      </c>
      <c r="H1484">
        <v>3564</v>
      </c>
      <c r="I1484">
        <v>1463.9</v>
      </c>
      <c r="J1484">
        <v>19484</v>
      </c>
      <c r="K1484">
        <v>35760</v>
      </c>
      <c r="L1484" s="2">
        <v>25.180624999999999</v>
      </c>
      <c r="M1484" s="5">
        <v>289.31299999999999</v>
      </c>
      <c r="N1484" s="1">
        <v>363.16520000000003</v>
      </c>
      <c r="O1484" s="2">
        <v>57.2</v>
      </c>
      <c r="P1484">
        <v>420</v>
      </c>
    </row>
    <row r="1485" spans="1:16" x14ac:dyDescent="0.35">
      <c r="A1485" s="4">
        <v>44896</v>
      </c>
      <c r="B1485" t="s">
        <v>18</v>
      </c>
      <c r="C1485" t="s">
        <v>11</v>
      </c>
      <c r="D1485">
        <v>1</v>
      </c>
      <c r="E1485" s="2">
        <v>3975</v>
      </c>
      <c r="F1485" s="2">
        <f t="shared" ref="F1485:F1489" si="235">(3690.14+3650.29+3654.29+3779.57)/4</f>
        <v>3693.5725000000002</v>
      </c>
      <c r="G1485" s="3">
        <v>1</v>
      </c>
      <c r="H1485">
        <v>3564</v>
      </c>
      <c r="I1485">
        <v>1463.9</v>
      </c>
      <c r="J1485">
        <v>19484</v>
      </c>
      <c r="K1485">
        <v>35760</v>
      </c>
      <c r="L1485" s="2">
        <v>25.180624999999999</v>
      </c>
      <c r="M1485" s="5">
        <v>289.31299999999999</v>
      </c>
      <c r="N1485" s="1">
        <v>363.16520000000003</v>
      </c>
      <c r="O1485" s="2">
        <v>57.2</v>
      </c>
      <c r="P1485">
        <v>420</v>
      </c>
    </row>
    <row r="1486" spans="1:16" x14ac:dyDescent="0.35">
      <c r="A1486" s="4">
        <v>44896</v>
      </c>
      <c r="B1486" t="s">
        <v>18</v>
      </c>
      <c r="C1486" t="s">
        <v>12</v>
      </c>
      <c r="D1486">
        <v>1</v>
      </c>
      <c r="E1486" s="2">
        <v>3465</v>
      </c>
      <c r="F1486" s="2">
        <f t="shared" si="235"/>
        <v>3693.5725000000002</v>
      </c>
      <c r="G1486" s="3">
        <v>1</v>
      </c>
      <c r="H1486">
        <v>3564</v>
      </c>
      <c r="I1486">
        <v>1463.9</v>
      </c>
      <c r="J1486">
        <v>19484</v>
      </c>
      <c r="K1486">
        <v>35760</v>
      </c>
      <c r="L1486" s="2">
        <v>25.180624999999999</v>
      </c>
      <c r="M1486" s="5">
        <v>289.31299999999999</v>
      </c>
      <c r="N1486" s="1">
        <v>363.16520000000003</v>
      </c>
      <c r="O1486" s="2">
        <v>57.2</v>
      </c>
      <c r="P1486">
        <v>420</v>
      </c>
    </row>
    <row r="1487" spans="1:16" x14ac:dyDescent="0.35">
      <c r="A1487" s="4">
        <v>44896</v>
      </c>
      <c r="B1487" t="s">
        <v>18</v>
      </c>
      <c r="C1487" t="s">
        <v>13</v>
      </c>
      <c r="D1487">
        <v>1</v>
      </c>
      <c r="E1487" s="2">
        <v>3650</v>
      </c>
      <c r="F1487" s="2">
        <f t="shared" si="235"/>
        <v>3693.5725000000002</v>
      </c>
      <c r="G1487" s="3">
        <v>1</v>
      </c>
      <c r="H1487">
        <v>3564</v>
      </c>
      <c r="I1487">
        <v>1463.9</v>
      </c>
      <c r="J1487">
        <v>19484</v>
      </c>
      <c r="K1487">
        <v>35760</v>
      </c>
      <c r="L1487" s="2">
        <v>25.180624999999999</v>
      </c>
      <c r="M1487" s="5">
        <v>289.31299999999999</v>
      </c>
      <c r="N1487" s="1">
        <v>363.16520000000003</v>
      </c>
      <c r="O1487" s="2">
        <v>57.2</v>
      </c>
      <c r="P1487">
        <v>420</v>
      </c>
    </row>
    <row r="1488" spans="1:16" x14ac:dyDescent="0.35">
      <c r="A1488" s="4">
        <v>44896</v>
      </c>
      <c r="B1488" t="s">
        <v>18</v>
      </c>
      <c r="C1488" t="s">
        <v>14</v>
      </c>
      <c r="D1488">
        <v>1</v>
      </c>
      <c r="E1488" s="2">
        <f>(3850+3825+3725+3967)/4</f>
        <v>3841.75</v>
      </c>
      <c r="F1488" s="2">
        <f t="shared" si="235"/>
        <v>3693.5725000000002</v>
      </c>
      <c r="G1488" s="3">
        <v>1</v>
      </c>
      <c r="H1488">
        <v>3564</v>
      </c>
      <c r="I1488">
        <v>1463.9</v>
      </c>
      <c r="J1488">
        <v>19484</v>
      </c>
      <c r="K1488">
        <v>35760</v>
      </c>
      <c r="L1488" s="2">
        <v>25.180624999999999</v>
      </c>
      <c r="M1488" s="5">
        <v>289.31299999999999</v>
      </c>
      <c r="N1488" s="1">
        <v>363.16520000000003</v>
      </c>
      <c r="O1488" s="2">
        <v>57.2</v>
      </c>
      <c r="P1488">
        <v>420</v>
      </c>
    </row>
    <row r="1489" spans="1:16" x14ac:dyDescent="0.35">
      <c r="A1489" s="4">
        <v>44896</v>
      </c>
      <c r="B1489" t="s">
        <v>18</v>
      </c>
      <c r="C1489" t="s">
        <v>15</v>
      </c>
      <c r="D1489">
        <v>1</v>
      </c>
      <c r="E1489" s="2">
        <v>3587.5</v>
      </c>
      <c r="F1489" s="2">
        <f t="shared" si="235"/>
        <v>3693.5725000000002</v>
      </c>
      <c r="G1489" s="3">
        <v>1</v>
      </c>
      <c r="H1489">
        <v>3564</v>
      </c>
      <c r="I1489">
        <v>1463.9</v>
      </c>
      <c r="J1489">
        <v>19484</v>
      </c>
      <c r="K1489">
        <v>35760</v>
      </c>
      <c r="L1489" s="2">
        <v>25.180624999999999</v>
      </c>
      <c r="M1489" s="5">
        <v>289.31299999999999</v>
      </c>
      <c r="N1489" s="1">
        <v>363.16520000000003</v>
      </c>
      <c r="O1489" s="2">
        <v>57.2</v>
      </c>
      <c r="P1489">
        <v>420</v>
      </c>
    </row>
    <row r="1490" spans="1:16" x14ac:dyDescent="0.35">
      <c r="A1490" s="4">
        <v>44896</v>
      </c>
      <c r="B1490" t="s">
        <v>19</v>
      </c>
      <c r="C1490" t="s">
        <v>10</v>
      </c>
      <c r="D1490">
        <v>1</v>
      </c>
      <c r="E1490" s="2">
        <f>(3733+3130+3775+3450)/4</f>
        <v>3522</v>
      </c>
      <c r="F1490" s="2">
        <f>(3389.71+3377.14+3301.14+3501.57)/4</f>
        <v>3392.39</v>
      </c>
      <c r="G1490" s="3">
        <v>1</v>
      </c>
      <c r="H1490">
        <v>3564</v>
      </c>
      <c r="I1490">
        <v>1463.9</v>
      </c>
      <c r="J1490">
        <v>19484</v>
      </c>
      <c r="K1490">
        <v>35760</v>
      </c>
      <c r="L1490" s="2">
        <v>25.180624999999999</v>
      </c>
      <c r="M1490" s="5">
        <v>289.31299999999999</v>
      </c>
      <c r="N1490" s="1">
        <v>363.16520000000003</v>
      </c>
      <c r="O1490" s="2">
        <v>57.2</v>
      </c>
      <c r="P1490">
        <v>420</v>
      </c>
    </row>
    <row r="1491" spans="1:16" x14ac:dyDescent="0.35">
      <c r="A1491" s="4">
        <v>44896</v>
      </c>
      <c r="B1491" t="s">
        <v>19</v>
      </c>
      <c r="C1491" t="s">
        <v>11</v>
      </c>
      <c r="D1491">
        <v>1</v>
      </c>
      <c r="E1491" s="2">
        <f>(3600+3700*2+4200)/4</f>
        <v>3800</v>
      </c>
      <c r="F1491" s="2">
        <f t="shared" ref="F1491:F1495" si="236">(3389.71+3377.14+3301.14+3501.57)/4</f>
        <v>3392.39</v>
      </c>
      <c r="G1491" s="3">
        <v>1</v>
      </c>
      <c r="H1491">
        <v>3564</v>
      </c>
      <c r="I1491">
        <v>1463.9</v>
      </c>
      <c r="J1491">
        <v>19484</v>
      </c>
      <c r="K1491">
        <v>35760</v>
      </c>
      <c r="L1491" s="2">
        <v>25.180624999999999</v>
      </c>
      <c r="M1491" s="5">
        <v>289.31299999999999</v>
      </c>
      <c r="N1491" s="1">
        <v>363.16520000000003</v>
      </c>
      <c r="O1491" s="2">
        <v>57.2</v>
      </c>
      <c r="P1491">
        <v>420</v>
      </c>
    </row>
    <row r="1492" spans="1:16" x14ac:dyDescent="0.35">
      <c r="A1492" s="4">
        <v>44896</v>
      </c>
      <c r="B1492" t="s">
        <v>19</v>
      </c>
      <c r="C1492" t="s">
        <v>12</v>
      </c>
      <c r="D1492">
        <v>1</v>
      </c>
      <c r="E1492" s="2">
        <v>3370</v>
      </c>
      <c r="F1492" s="2">
        <f t="shared" si="236"/>
        <v>3392.39</v>
      </c>
      <c r="G1492" s="3">
        <v>1</v>
      </c>
      <c r="H1492">
        <v>3564</v>
      </c>
      <c r="I1492">
        <v>1463.9</v>
      </c>
      <c r="J1492">
        <v>19484</v>
      </c>
      <c r="K1492">
        <v>35760</v>
      </c>
      <c r="L1492" s="2">
        <v>25.180624999999999</v>
      </c>
      <c r="M1492" s="5">
        <v>289.31299999999999</v>
      </c>
      <c r="N1492" s="1">
        <v>363.16520000000003</v>
      </c>
      <c r="O1492" s="2">
        <v>57.2</v>
      </c>
      <c r="P1492">
        <v>420</v>
      </c>
    </row>
    <row r="1493" spans="1:16" x14ac:dyDescent="0.35">
      <c r="A1493" s="4">
        <v>44896</v>
      </c>
      <c r="B1493" t="s">
        <v>19</v>
      </c>
      <c r="C1493" t="s">
        <v>13</v>
      </c>
      <c r="D1493">
        <v>1</v>
      </c>
      <c r="E1493" s="2">
        <v>3437.5</v>
      </c>
      <c r="F1493" s="2">
        <f t="shared" si="236"/>
        <v>3392.39</v>
      </c>
      <c r="G1493" s="3">
        <v>1</v>
      </c>
      <c r="H1493">
        <v>3564</v>
      </c>
      <c r="I1493">
        <v>1463.9</v>
      </c>
      <c r="J1493">
        <v>19484</v>
      </c>
      <c r="K1493">
        <v>35760</v>
      </c>
      <c r="L1493" s="2">
        <v>25.180624999999999</v>
      </c>
      <c r="M1493" s="5">
        <v>289.31299999999999</v>
      </c>
      <c r="N1493" s="1">
        <v>363.16520000000003</v>
      </c>
      <c r="O1493" s="2">
        <v>57.2</v>
      </c>
      <c r="P1493">
        <v>420</v>
      </c>
    </row>
    <row r="1494" spans="1:16" x14ac:dyDescent="0.35">
      <c r="A1494" s="4">
        <v>44896</v>
      </c>
      <c r="B1494" t="s">
        <v>19</v>
      </c>
      <c r="C1494" t="s">
        <v>14</v>
      </c>
      <c r="D1494">
        <v>1</v>
      </c>
      <c r="E1494" s="2">
        <f>(3620+3633+3508+3633)/4</f>
        <v>3598.5</v>
      </c>
      <c r="F1494" s="2">
        <f t="shared" si="236"/>
        <v>3392.39</v>
      </c>
      <c r="G1494" s="3">
        <v>1</v>
      </c>
      <c r="H1494">
        <v>3564</v>
      </c>
      <c r="I1494">
        <v>1463.9</v>
      </c>
      <c r="J1494">
        <v>19484</v>
      </c>
      <c r="K1494">
        <v>35760</v>
      </c>
      <c r="L1494" s="2">
        <v>25.180624999999999</v>
      </c>
      <c r="M1494" s="5">
        <v>289.31299999999999</v>
      </c>
      <c r="N1494" s="1">
        <v>363.16520000000003</v>
      </c>
      <c r="O1494" s="2">
        <v>57.2</v>
      </c>
      <c r="P1494">
        <v>420</v>
      </c>
    </row>
    <row r="1495" spans="1:16" x14ac:dyDescent="0.35">
      <c r="A1495" s="4">
        <v>44896</v>
      </c>
      <c r="B1495" t="s">
        <v>19</v>
      </c>
      <c r="C1495" t="s">
        <v>15</v>
      </c>
      <c r="D1495">
        <v>1</v>
      </c>
      <c r="E1495" s="2">
        <v>3400</v>
      </c>
      <c r="F1495" s="2">
        <f t="shared" si="236"/>
        <v>3392.39</v>
      </c>
      <c r="G1495" s="3">
        <v>1</v>
      </c>
      <c r="H1495">
        <v>3564</v>
      </c>
      <c r="I1495">
        <v>1463.9</v>
      </c>
      <c r="J1495">
        <v>19484</v>
      </c>
      <c r="K1495">
        <v>35760</v>
      </c>
      <c r="L1495" s="2">
        <v>25.180624999999999</v>
      </c>
      <c r="M1495" s="5">
        <v>289.31299999999999</v>
      </c>
      <c r="N1495" s="1">
        <v>363.16520000000003</v>
      </c>
      <c r="O1495" s="2">
        <v>57.2</v>
      </c>
      <c r="P1495">
        <v>420</v>
      </c>
    </row>
    <row r="1496" spans="1:16" x14ac:dyDescent="0.35">
      <c r="A1496" s="4">
        <v>44896</v>
      </c>
      <c r="B1496" t="s">
        <v>20</v>
      </c>
      <c r="C1496" t="s">
        <v>10</v>
      </c>
      <c r="D1496">
        <v>1</v>
      </c>
      <c r="E1496" s="2">
        <f>(3083+2640+3025+2833)/4</f>
        <v>2895.25</v>
      </c>
      <c r="F1496" s="2">
        <f>(3020.14+2887.86+2935.71+2901.86)/4</f>
        <v>2936.3924999999999</v>
      </c>
      <c r="G1496" s="3">
        <v>1</v>
      </c>
      <c r="H1496">
        <v>3564</v>
      </c>
      <c r="I1496">
        <v>1463.9</v>
      </c>
      <c r="J1496">
        <v>19484</v>
      </c>
      <c r="K1496">
        <v>35760</v>
      </c>
      <c r="L1496" s="2">
        <v>25.180624999999999</v>
      </c>
      <c r="M1496" s="5">
        <v>289.31299999999999</v>
      </c>
      <c r="N1496" s="1">
        <v>363.16520000000003</v>
      </c>
      <c r="O1496" s="2">
        <v>57.2</v>
      </c>
      <c r="P1496">
        <v>420</v>
      </c>
    </row>
    <row r="1497" spans="1:16" x14ac:dyDescent="0.35">
      <c r="A1497" s="4">
        <v>44896</v>
      </c>
      <c r="B1497" t="s">
        <v>20</v>
      </c>
      <c r="C1497" t="s">
        <v>11</v>
      </c>
      <c r="D1497">
        <v>1</v>
      </c>
      <c r="E1497" s="2">
        <v>3075</v>
      </c>
      <c r="F1497" s="2">
        <f t="shared" ref="F1497:F1501" si="237">(3020.14+2887.86+2935.71+2901.86)/4</f>
        <v>2936.3924999999999</v>
      </c>
      <c r="G1497" s="3">
        <v>1</v>
      </c>
      <c r="H1497">
        <v>3564</v>
      </c>
      <c r="I1497">
        <v>1463.9</v>
      </c>
      <c r="J1497">
        <v>19484</v>
      </c>
      <c r="K1497">
        <v>35760</v>
      </c>
      <c r="L1497" s="2">
        <v>25.180624999999999</v>
      </c>
      <c r="M1497" s="5">
        <v>289.31299999999999</v>
      </c>
      <c r="N1497" s="1">
        <v>363.16520000000003</v>
      </c>
      <c r="O1497" s="2">
        <v>57.2</v>
      </c>
      <c r="P1497">
        <v>420</v>
      </c>
    </row>
    <row r="1498" spans="1:16" x14ac:dyDescent="0.35">
      <c r="A1498" s="4">
        <v>44896</v>
      </c>
      <c r="B1498" t="s">
        <v>20</v>
      </c>
      <c r="C1498" t="s">
        <v>12</v>
      </c>
      <c r="D1498">
        <v>1</v>
      </c>
      <c r="E1498" s="2">
        <v>2900</v>
      </c>
      <c r="F1498" s="2">
        <f t="shared" si="237"/>
        <v>2936.3924999999999</v>
      </c>
      <c r="G1498" s="3">
        <v>1</v>
      </c>
      <c r="H1498">
        <v>3564</v>
      </c>
      <c r="I1498">
        <v>1463.9</v>
      </c>
      <c r="J1498">
        <v>19484</v>
      </c>
      <c r="K1498">
        <v>35760</v>
      </c>
      <c r="L1498" s="2">
        <v>25.180624999999999</v>
      </c>
      <c r="M1498" s="5">
        <v>289.31299999999999</v>
      </c>
      <c r="N1498" s="1">
        <v>363.16520000000003</v>
      </c>
      <c r="O1498" s="2">
        <v>57.2</v>
      </c>
      <c r="P1498">
        <v>420</v>
      </c>
    </row>
    <row r="1499" spans="1:16" x14ac:dyDescent="0.35">
      <c r="A1499" s="4">
        <v>44896</v>
      </c>
      <c r="B1499" t="s">
        <v>20</v>
      </c>
      <c r="C1499" t="s">
        <v>13</v>
      </c>
      <c r="D1499">
        <v>1</v>
      </c>
      <c r="E1499" s="2">
        <f>(3050+3025+2750+2850)/4</f>
        <v>2918.75</v>
      </c>
      <c r="F1499" s="2">
        <f t="shared" si="237"/>
        <v>2936.3924999999999</v>
      </c>
      <c r="G1499" s="3">
        <v>1</v>
      </c>
      <c r="H1499">
        <v>3564</v>
      </c>
      <c r="I1499">
        <v>1463.9</v>
      </c>
      <c r="J1499">
        <v>19484</v>
      </c>
      <c r="K1499">
        <v>35760</v>
      </c>
      <c r="L1499" s="2">
        <v>25.180624999999999</v>
      </c>
      <c r="M1499" s="5">
        <v>289.31299999999999</v>
      </c>
      <c r="N1499" s="1">
        <v>363.16520000000003</v>
      </c>
      <c r="O1499" s="2">
        <v>57.2</v>
      </c>
      <c r="P1499">
        <v>420</v>
      </c>
    </row>
    <row r="1500" spans="1:16" x14ac:dyDescent="0.35">
      <c r="A1500" s="4">
        <v>44896</v>
      </c>
      <c r="B1500" t="s">
        <v>20</v>
      </c>
      <c r="C1500" t="s">
        <v>14</v>
      </c>
      <c r="D1500">
        <v>1</v>
      </c>
      <c r="E1500" s="2">
        <f>(3180+3125*2+3183)/4</f>
        <v>3153.25</v>
      </c>
      <c r="F1500" s="2">
        <f t="shared" si="237"/>
        <v>2936.3924999999999</v>
      </c>
      <c r="G1500" s="3">
        <v>1</v>
      </c>
      <c r="H1500">
        <v>3564</v>
      </c>
      <c r="I1500">
        <v>1463.9</v>
      </c>
      <c r="J1500">
        <v>19484</v>
      </c>
      <c r="K1500">
        <v>35760</v>
      </c>
      <c r="L1500" s="2">
        <v>25.180624999999999</v>
      </c>
      <c r="M1500" s="5">
        <v>289.31299999999999</v>
      </c>
      <c r="N1500" s="1">
        <v>363.16520000000003</v>
      </c>
      <c r="O1500" s="2">
        <v>57.2</v>
      </c>
      <c r="P1500">
        <v>420</v>
      </c>
    </row>
    <row r="1501" spans="1:16" x14ac:dyDescent="0.35">
      <c r="A1501" s="4">
        <v>44896</v>
      </c>
      <c r="B1501" t="s">
        <v>20</v>
      </c>
      <c r="C1501" t="s">
        <v>15</v>
      </c>
      <c r="D1501">
        <v>1</v>
      </c>
      <c r="E1501" s="2">
        <f>(3050+2950+2800+2950)/4</f>
        <v>2937.5</v>
      </c>
      <c r="F1501" s="2">
        <f t="shared" si="237"/>
        <v>2936.3924999999999</v>
      </c>
      <c r="G1501" s="3">
        <v>1</v>
      </c>
      <c r="H1501">
        <v>3564</v>
      </c>
      <c r="I1501">
        <v>1463.9</v>
      </c>
      <c r="J1501">
        <v>19484</v>
      </c>
      <c r="K1501">
        <v>35760</v>
      </c>
      <c r="L1501" s="2">
        <v>25.180624999999999</v>
      </c>
      <c r="M1501" s="5">
        <v>289.31299999999999</v>
      </c>
      <c r="N1501" s="1">
        <v>363.16520000000003</v>
      </c>
      <c r="O1501" s="2">
        <v>57.2</v>
      </c>
      <c r="P1501">
        <v>420</v>
      </c>
    </row>
    <row r="1502" spans="1:16" x14ac:dyDescent="0.35">
      <c r="A1502" s="4">
        <v>44896</v>
      </c>
      <c r="B1502" t="s">
        <v>21</v>
      </c>
      <c r="C1502" t="s">
        <v>10</v>
      </c>
      <c r="D1502">
        <v>1</v>
      </c>
      <c r="E1502" s="2">
        <f>(2433+2762+2050+2833)/4</f>
        <v>2519.5</v>
      </c>
      <c r="F1502" s="2">
        <f>(2802.29+2622.43+2706.43+2679.71)/4</f>
        <v>2702.7150000000001</v>
      </c>
      <c r="G1502" s="3">
        <v>1</v>
      </c>
      <c r="H1502">
        <v>3564</v>
      </c>
      <c r="I1502">
        <v>1463.9</v>
      </c>
      <c r="J1502">
        <v>19484</v>
      </c>
      <c r="K1502">
        <v>35760</v>
      </c>
      <c r="L1502" s="2">
        <v>25.180624999999999</v>
      </c>
      <c r="M1502" s="5">
        <v>289.31299999999999</v>
      </c>
      <c r="N1502" s="1">
        <v>363.16520000000003</v>
      </c>
      <c r="O1502" s="2">
        <v>57.2</v>
      </c>
      <c r="P1502">
        <v>420</v>
      </c>
    </row>
    <row r="1503" spans="1:16" x14ac:dyDescent="0.35">
      <c r="A1503" s="4">
        <v>44896</v>
      </c>
      <c r="B1503" t="s">
        <v>21</v>
      </c>
      <c r="C1503" t="s">
        <v>11</v>
      </c>
      <c r="D1503">
        <v>1</v>
      </c>
      <c r="E1503" s="2">
        <v>2850</v>
      </c>
      <c r="F1503" s="2">
        <f t="shared" ref="F1503:F1507" si="238">(2802.29+2622.43+2706.43+2679.71)/4</f>
        <v>2702.7150000000001</v>
      </c>
      <c r="G1503" s="3">
        <v>1</v>
      </c>
      <c r="H1503">
        <v>3564</v>
      </c>
      <c r="I1503">
        <v>1463.9</v>
      </c>
      <c r="J1503">
        <v>19484</v>
      </c>
      <c r="K1503">
        <v>35760</v>
      </c>
      <c r="L1503" s="2">
        <v>25.180624999999999</v>
      </c>
      <c r="M1503" s="5">
        <v>289.31299999999999</v>
      </c>
      <c r="N1503" s="1">
        <v>363.16520000000003</v>
      </c>
      <c r="O1503" s="2">
        <v>57.2</v>
      </c>
      <c r="P1503">
        <v>420</v>
      </c>
    </row>
    <row r="1504" spans="1:16" x14ac:dyDescent="0.35">
      <c r="A1504" s="4">
        <v>44896</v>
      </c>
      <c r="B1504" t="s">
        <v>21</v>
      </c>
      <c r="C1504" t="s">
        <v>12</v>
      </c>
      <c r="D1504">
        <v>1</v>
      </c>
      <c r="E1504" s="2">
        <v>2700</v>
      </c>
      <c r="F1504" s="2">
        <f t="shared" si="238"/>
        <v>2702.7150000000001</v>
      </c>
      <c r="G1504" s="3">
        <v>1</v>
      </c>
      <c r="H1504">
        <v>3564</v>
      </c>
      <c r="I1504">
        <v>1463.9</v>
      </c>
      <c r="J1504">
        <v>19484</v>
      </c>
      <c r="K1504">
        <v>35760</v>
      </c>
      <c r="L1504" s="2">
        <v>25.180624999999999</v>
      </c>
      <c r="M1504" s="5">
        <v>289.31299999999999</v>
      </c>
      <c r="N1504" s="1">
        <v>363.16520000000003</v>
      </c>
      <c r="O1504" s="2">
        <v>57.2</v>
      </c>
      <c r="P1504">
        <v>420</v>
      </c>
    </row>
    <row r="1505" spans="1:16" x14ac:dyDescent="0.35">
      <c r="A1505" s="4">
        <v>44896</v>
      </c>
      <c r="B1505" t="s">
        <v>21</v>
      </c>
      <c r="C1505" t="s">
        <v>13</v>
      </c>
      <c r="D1505">
        <v>1</v>
      </c>
      <c r="E1505" s="2">
        <f>(2700+2650+2950*2)/4</f>
        <v>2812.5</v>
      </c>
      <c r="F1505" s="2">
        <f t="shared" si="238"/>
        <v>2702.7150000000001</v>
      </c>
      <c r="G1505" s="3">
        <v>1</v>
      </c>
      <c r="H1505">
        <v>3564</v>
      </c>
      <c r="I1505">
        <v>1463.9</v>
      </c>
      <c r="J1505">
        <v>19484</v>
      </c>
      <c r="K1505">
        <v>35760</v>
      </c>
      <c r="L1505" s="2">
        <v>25.180624999999999</v>
      </c>
      <c r="M1505" s="5">
        <v>289.31299999999999</v>
      </c>
      <c r="N1505" s="1">
        <v>363.16520000000003</v>
      </c>
      <c r="O1505" s="2">
        <v>57.2</v>
      </c>
      <c r="P1505">
        <v>420</v>
      </c>
    </row>
    <row r="1506" spans="1:16" x14ac:dyDescent="0.35">
      <c r="A1506" s="4">
        <v>44896</v>
      </c>
      <c r="B1506" t="s">
        <v>21</v>
      </c>
      <c r="C1506" t="s">
        <v>14</v>
      </c>
      <c r="D1506">
        <v>1</v>
      </c>
      <c r="E1506" s="2">
        <f>(2857+2933+2883+2925)/4</f>
        <v>2899.5</v>
      </c>
      <c r="F1506" s="2">
        <f t="shared" si="238"/>
        <v>2702.7150000000001</v>
      </c>
      <c r="G1506" s="3">
        <v>1</v>
      </c>
      <c r="H1506">
        <v>3564</v>
      </c>
      <c r="I1506">
        <v>1463.9</v>
      </c>
      <c r="J1506">
        <v>19484</v>
      </c>
      <c r="K1506">
        <v>35760</v>
      </c>
      <c r="L1506" s="2">
        <v>25.180624999999999</v>
      </c>
      <c r="M1506" s="5">
        <v>289.31299999999999</v>
      </c>
      <c r="N1506" s="1">
        <v>363.16520000000003</v>
      </c>
      <c r="O1506" s="2">
        <v>57.2</v>
      </c>
      <c r="P1506">
        <v>420</v>
      </c>
    </row>
    <row r="1507" spans="1:16" x14ac:dyDescent="0.35">
      <c r="A1507" s="4">
        <v>44896</v>
      </c>
      <c r="B1507" t="s">
        <v>21</v>
      </c>
      <c r="C1507" t="s">
        <v>15</v>
      </c>
      <c r="D1507">
        <v>1</v>
      </c>
      <c r="E1507" s="2">
        <f>(2900+2750+2550+2800)/4</f>
        <v>2750</v>
      </c>
      <c r="F1507" s="2">
        <f t="shared" si="238"/>
        <v>2702.7150000000001</v>
      </c>
      <c r="G1507" s="3">
        <v>1</v>
      </c>
      <c r="H1507">
        <v>3564</v>
      </c>
      <c r="I1507">
        <v>1463.9</v>
      </c>
      <c r="J1507">
        <v>19484</v>
      </c>
      <c r="K1507">
        <v>35760</v>
      </c>
      <c r="L1507" s="2">
        <v>25.180624999999999</v>
      </c>
      <c r="M1507" s="5">
        <v>289.31299999999999</v>
      </c>
      <c r="N1507" s="1">
        <v>363.16520000000003</v>
      </c>
      <c r="O1507" s="2">
        <v>57.2</v>
      </c>
      <c r="P1507">
        <v>420</v>
      </c>
    </row>
    <row r="1508" spans="1:16" x14ac:dyDescent="0.35">
      <c r="A1508" s="4">
        <v>44896</v>
      </c>
      <c r="B1508" t="s">
        <v>22</v>
      </c>
      <c r="C1508" t="s">
        <v>10</v>
      </c>
      <c r="D1508">
        <v>0</v>
      </c>
      <c r="E1508" s="2" t="s">
        <v>27</v>
      </c>
      <c r="F1508" s="2">
        <f t="shared" ref="F1508:F1511" si="239">(2260+2175+2250+2467)/4</f>
        <v>2288</v>
      </c>
      <c r="G1508" s="3">
        <v>1</v>
      </c>
      <c r="H1508">
        <v>3564</v>
      </c>
      <c r="I1508">
        <v>1463.9</v>
      </c>
      <c r="J1508">
        <v>19484</v>
      </c>
      <c r="K1508">
        <v>35760</v>
      </c>
      <c r="L1508" s="2">
        <v>25.180624999999999</v>
      </c>
      <c r="M1508" s="5">
        <v>289.31299999999999</v>
      </c>
      <c r="N1508" s="1">
        <v>363.16520000000003</v>
      </c>
      <c r="O1508" s="2">
        <v>57.2</v>
      </c>
      <c r="P1508">
        <v>420</v>
      </c>
    </row>
    <row r="1509" spans="1:16" x14ac:dyDescent="0.35">
      <c r="A1509" s="4">
        <v>44896</v>
      </c>
      <c r="B1509" t="s">
        <v>22</v>
      </c>
      <c r="C1509" t="s">
        <v>11</v>
      </c>
      <c r="D1509">
        <v>0</v>
      </c>
      <c r="E1509" s="2" t="s">
        <v>27</v>
      </c>
      <c r="F1509" s="2">
        <f t="shared" si="239"/>
        <v>2288</v>
      </c>
      <c r="G1509" s="3">
        <v>1</v>
      </c>
      <c r="H1509">
        <v>3564</v>
      </c>
      <c r="I1509">
        <v>1463.9</v>
      </c>
      <c r="J1509">
        <v>19484</v>
      </c>
      <c r="K1509">
        <v>35760</v>
      </c>
      <c r="L1509" s="2">
        <v>25.180624999999999</v>
      </c>
      <c r="M1509" s="5">
        <v>289.31299999999999</v>
      </c>
      <c r="N1509" s="1">
        <v>363.16520000000003</v>
      </c>
      <c r="O1509" s="2">
        <v>57.2</v>
      </c>
      <c r="P1509">
        <v>420</v>
      </c>
    </row>
    <row r="1510" spans="1:16" x14ac:dyDescent="0.35">
      <c r="A1510" s="4">
        <v>44896</v>
      </c>
      <c r="B1510" t="s">
        <v>22</v>
      </c>
      <c r="C1510" t="s">
        <v>12</v>
      </c>
      <c r="D1510">
        <v>0</v>
      </c>
      <c r="E1510" s="2" t="s">
        <v>27</v>
      </c>
      <c r="F1510" s="2">
        <f t="shared" si="239"/>
        <v>2288</v>
      </c>
      <c r="G1510" s="3">
        <v>1</v>
      </c>
      <c r="H1510">
        <v>3564</v>
      </c>
      <c r="I1510">
        <v>1463.9</v>
      </c>
      <c r="J1510">
        <v>19484</v>
      </c>
      <c r="K1510">
        <v>35760</v>
      </c>
      <c r="L1510" s="2">
        <v>25.180624999999999</v>
      </c>
      <c r="M1510" s="5">
        <v>289.31299999999999</v>
      </c>
      <c r="N1510" s="1">
        <v>363.16520000000003</v>
      </c>
      <c r="O1510" s="2">
        <v>57.2</v>
      </c>
      <c r="P1510">
        <v>420</v>
      </c>
    </row>
    <row r="1511" spans="1:16" x14ac:dyDescent="0.35">
      <c r="A1511" s="4">
        <v>44896</v>
      </c>
      <c r="B1511" t="s">
        <v>22</v>
      </c>
      <c r="C1511" t="s">
        <v>13</v>
      </c>
      <c r="D1511">
        <v>0</v>
      </c>
      <c r="E1511" s="2" t="s">
        <v>27</v>
      </c>
      <c r="F1511" s="2">
        <f t="shared" si="239"/>
        <v>2288</v>
      </c>
      <c r="G1511" s="3">
        <v>1</v>
      </c>
      <c r="H1511">
        <v>3564</v>
      </c>
      <c r="I1511">
        <v>1463.9</v>
      </c>
      <c r="J1511">
        <v>19484</v>
      </c>
      <c r="K1511">
        <v>35760</v>
      </c>
      <c r="L1511" s="2">
        <v>25.180624999999999</v>
      </c>
      <c r="M1511" s="5">
        <v>289.31299999999999</v>
      </c>
      <c r="N1511" s="1">
        <v>363.16520000000003</v>
      </c>
      <c r="O1511" s="2">
        <v>57.2</v>
      </c>
      <c r="P1511">
        <v>420</v>
      </c>
    </row>
    <row r="1512" spans="1:16" x14ac:dyDescent="0.35">
      <c r="A1512" s="4">
        <v>44896</v>
      </c>
      <c r="B1512" t="s">
        <v>22</v>
      </c>
      <c r="C1512" t="s">
        <v>14</v>
      </c>
      <c r="D1512">
        <v>1</v>
      </c>
      <c r="E1512" s="2">
        <f>(2260+2175+2250+2467)/4</f>
        <v>2288</v>
      </c>
      <c r="F1512" s="2">
        <f>(2260+2175+2250+2467)/4</f>
        <v>2288</v>
      </c>
      <c r="G1512" s="3">
        <v>1</v>
      </c>
      <c r="H1512">
        <v>3564</v>
      </c>
      <c r="I1512">
        <v>1463.9</v>
      </c>
      <c r="J1512">
        <v>19484</v>
      </c>
      <c r="K1512">
        <v>35760</v>
      </c>
      <c r="L1512" s="2">
        <v>25.180624999999999</v>
      </c>
      <c r="M1512" s="5">
        <v>289.31299999999999</v>
      </c>
      <c r="N1512" s="1">
        <v>363.16520000000003</v>
      </c>
      <c r="O1512" s="2">
        <v>57.2</v>
      </c>
      <c r="P1512">
        <v>420</v>
      </c>
    </row>
    <row r="1513" spans="1:16" x14ac:dyDescent="0.35">
      <c r="A1513" s="4">
        <v>44896</v>
      </c>
      <c r="B1513" t="s">
        <v>22</v>
      </c>
      <c r="C1513" t="s">
        <v>15</v>
      </c>
      <c r="D1513">
        <v>0</v>
      </c>
      <c r="E1513" s="2" t="s">
        <v>27</v>
      </c>
      <c r="F1513" s="2">
        <f>(2260+2175+2250+2467)/4</f>
        <v>2288</v>
      </c>
      <c r="G1513" s="3">
        <v>1</v>
      </c>
      <c r="H1513">
        <v>3564</v>
      </c>
      <c r="I1513">
        <v>1463.9</v>
      </c>
      <c r="J1513">
        <v>19484</v>
      </c>
      <c r="K1513">
        <v>35760</v>
      </c>
      <c r="L1513" s="2">
        <v>25.180624999999999</v>
      </c>
      <c r="M1513" s="5">
        <v>289.31299999999999</v>
      </c>
      <c r="N1513" s="1">
        <v>363.16520000000003</v>
      </c>
      <c r="O1513" s="2">
        <v>57.2</v>
      </c>
      <c r="P1513">
        <v>420</v>
      </c>
    </row>
    <row r="1514" spans="1:16" x14ac:dyDescent="0.35">
      <c r="A1514" s="4">
        <v>44927</v>
      </c>
      <c r="B1514" t="s">
        <v>16</v>
      </c>
      <c r="C1514" t="s">
        <v>10</v>
      </c>
      <c r="D1514">
        <v>1</v>
      </c>
      <c r="E1514" s="2">
        <v>6400</v>
      </c>
      <c r="F1514" s="2">
        <f>(5956.25+5896.25+5890.75+5854+5831.25)/5</f>
        <v>5885.7</v>
      </c>
      <c r="G1514" s="3">
        <v>0</v>
      </c>
      <c r="H1514">
        <v>0</v>
      </c>
      <c r="I1514">
        <v>1377.4</v>
      </c>
      <c r="J1514">
        <v>20560</v>
      </c>
      <c r="K1514">
        <v>11920</v>
      </c>
      <c r="L1514" s="2">
        <v>24.488750000000007</v>
      </c>
      <c r="M1514" s="5">
        <v>122.86199999999999</v>
      </c>
      <c r="N1514" s="1">
        <v>362.4228</v>
      </c>
      <c r="O1514" s="2">
        <v>51.7</v>
      </c>
      <c r="P1514">
        <v>405</v>
      </c>
    </row>
    <row r="1515" spans="1:16" x14ac:dyDescent="0.35">
      <c r="A1515" s="4">
        <v>44927</v>
      </c>
      <c r="B1515" t="s">
        <v>16</v>
      </c>
      <c r="C1515" t="s">
        <v>11</v>
      </c>
      <c r="D1515">
        <v>0</v>
      </c>
      <c r="E1515" s="2" t="s">
        <v>27</v>
      </c>
      <c r="F1515" s="2">
        <f t="shared" ref="F1515:F1519" si="240">(5956.25+5896.25+5890.75+5854+5831.25)/5</f>
        <v>5885.7</v>
      </c>
      <c r="G1515" s="3">
        <v>0</v>
      </c>
      <c r="H1515">
        <v>0</v>
      </c>
      <c r="I1515">
        <v>1377.4</v>
      </c>
      <c r="J1515">
        <v>20560</v>
      </c>
      <c r="K1515">
        <v>11920</v>
      </c>
      <c r="L1515" s="2">
        <v>24.488750000000007</v>
      </c>
      <c r="M1515" s="5">
        <v>122.86199999999999</v>
      </c>
      <c r="N1515" s="1">
        <v>362.4228</v>
      </c>
      <c r="O1515" s="2">
        <v>51.7</v>
      </c>
      <c r="P1515">
        <v>405</v>
      </c>
    </row>
    <row r="1516" spans="1:16" x14ac:dyDescent="0.35">
      <c r="A1516" s="4">
        <v>44927</v>
      </c>
      <c r="B1516" t="s">
        <v>16</v>
      </c>
      <c r="C1516" t="s">
        <v>12</v>
      </c>
      <c r="D1516">
        <v>1</v>
      </c>
      <c r="E1516" s="2">
        <v>4900</v>
      </c>
      <c r="F1516" s="2">
        <f t="shared" si="240"/>
        <v>5885.7</v>
      </c>
      <c r="G1516" s="3">
        <v>0</v>
      </c>
      <c r="H1516">
        <v>0</v>
      </c>
      <c r="I1516">
        <v>1377.4</v>
      </c>
      <c r="J1516">
        <v>20560</v>
      </c>
      <c r="K1516">
        <v>11920</v>
      </c>
      <c r="L1516" s="2">
        <v>24.488750000000007</v>
      </c>
      <c r="M1516" s="5">
        <v>122.86199999999999</v>
      </c>
      <c r="N1516" s="1">
        <v>362.4228</v>
      </c>
      <c r="O1516" s="2">
        <v>51.7</v>
      </c>
      <c r="P1516">
        <v>405</v>
      </c>
    </row>
    <row r="1517" spans="1:16" x14ac:dyDescent="0.35">
      <c r="A1517" s="4">
        <v>44927</v>
      </c>
      <c r="B1517" t="s">
        <v>16</v>
      </c>
      <c r="C1517" t="s">
        <v>13</v>
      </c>
      <c r="D1517">
        <v>1</v>
      </c>
      <c r="E1517" s="2">
        <v>5900</v>
      </c>
      <c r="F1517" s="2">
        <f t="shared" si="240"/>
        <v>5885.7</v>
      </c>
      <c r="G1517" s="3">
        <v>0</v>
      </c>
      <c r="H1517">
        <v>0</v>
      </c>
      <c r="I1517">
        <v>1377.4</v>
      </c>
      <c r="J1517">
        <v>20560</v>
      </c>
      <c r="K1517">
        <v>11920</v>
      </c>
      <c r="L1517" s="2">
        <v>24.488750000000007</v>
      </c>
      <c r="M1517" s="5">
        <v>122.86199999999999</v>
      </c>
      <c r="N1517" s="1">
        <v>362.4228</v>
      </c>
      <c r="O1517" s="2">
        <v>51.7</v>
      </c>
      <c r="P1517">
        <v>405</v>
      </c>
    </row>
    <row r="1518" spans="1:16" x14ac:dyDescent="0.35">
      <c r="A1518" s="4">
        <v>44927</v>
      </c>
      <c r="B1518" t="s">
        <v>16</v>
      </c>
      <c r="C1518" t="s">
        <v>14</v>
      </c>
      <c r="D1518">
        <v>1</v>
      </c>
      <c r="E1518" s="2">
        <f>(6325+6350+6475*3)/5</f>
        <v>6420</v>
      </c>
      <c r="F1518" s="2">
        <f t="shared" si="240"/>
        <v>5885.7</v>
      </c>
      <c r="G1518" s="3">
        <v>0</v>
      </c>
      <c r="H1518">
        <v>0</v>
      </c>
      <c r="I1518">
        <v>1377.4</v>
      </c>
      <c r="J1518">
        <v>20560</v>
      </c>
      <c r="K1518">
        <v>11920</v>
      </c>
      <c r="L1518" s="2">
        <v>24.488750000000007</v>
      </c>
      <c r="M1518" s="5">
        <v>122.86199999999999</v>
      </c>
      <c r="N1518" s="1">
        <v>362.4228</v>
      </c>
      <c r="O1518" s="2">
        <v>51.7</v>
      </c>
      <c r="P1518">
        <v>405</v>
      </c>
    </row>
    <row r="1519" spans="1:16" x14ac:dyDescent="0.35">
      <c r="A1519" s="4">
        <v>44927</v>
      </c>
      <c r="B1519" t="s">
        <v>16</v>
      </c>
      <c r="C1519" t="s">
        <v>15</v>
      </c>
      <c r="D1519">
        <v>0</v>
      </c>
      <c r="E1519" s="2" t="s">
        <v>27</v>
      </c>
      <c r="F1519" s="2">
        <f t="shared" si="240"/>
        <v>5885.7</v>
      </c>
      <c r="G1519" s="3">
        <v>0</v>
      </c>
      <c r="H1519">
        <v>0</v>
      </c>
      <c r="I1519">
        <v>1377.4</v>
      </c>
      <c r="J1519">
        <v>20560</v>
      </c>
      <c r="K1519">
        <v>11920</v>
      </c>
      <c r="L1519" s="2">
        <v>24.488750000000007</v>
      </c>
      <c r="M1519" s="5">
        <v>122.86199999999999</v>
      </c>
      <c r="N1519" s="1">
        <v>362.4228</v>
      </c>
      <c r="O1519" s="2">
        <v>51.7</v>
      </c>
      <c r="P1519">
        <v>405</v>
      </c>
    </row>
    <row r="1520" spans="1:16" x14ac:dyDescent="0.35">
      <c r="A1520" s="4">
        <v>44927</v>
      </c>
      <c r="B1520" t="s">
        <v>17</v>
      </c>
      <c r="C1520" t="s">
        <v>10</v>
      </c>
      <c r="D1520">
        <v>1</v>
      </c>
      <c r="E1520" s="2">
        <f>(5900+5350+5250+5266+5333)/5</f>
        <v>5419.8</v>
      </c>
      <c r="F1520" s="2">
        <f>(4869.4+4692.6*2+4619.2+4739.2)/5</f>
        <v>4722.6000000000004</v>
      </c>
      <c r="G1520" s="3">
        <v>0</v>
      </c>
      <c r="H1520">
        <v>0</v>
      </c>
      <c r="I1520">
        <v>1377.4</v>
      </c>
      <c r="J1520">
        <v>20560</v>
      </c>
      <c r="K1520">
        <v>11920</v>
      </c>
      <c r="L1520" s="2">
        <v>24.488750000000007</v>
      </c>
      <c r="M1520" s="5">
        <v>122.86199999999999</v>
      </c>
      <c r="N1520" s="1">
        <v>362.4228</v>
      </c>
      <c r="O1520" s="2">
        <v>51.7</v>
      </c>
      <c r="P1520">
        <v>405</v>
      </c>
    </row>
    <row r="1521" spans="1:16" x14ac:dyDescent="0.35">
      <c r="A1521" s="4">
        <v>44927</v>
      </c>
      <c r="B1521" t="s">
        <v>17</v>
      </c>
      <c r="C1521" t="s">
        <v>11</v>
      </c>
      <c r="D1521">
        <v>1</v>
      </c>
      <c r="E1521" s="2">
        <v>4460</v>
      </c>
      <c r="F1521" s="2">
        <f t="shared" ref="F1521:F1525" si="241">(4869.4+4692.6*2+4619.2+4739.2)/5</f>
        <v>4722.6000000000004</v>
      </c>
      <c r="G1521" s="3">
        <v>0</v>
      </c>
      <c r="H1521">
        <v>0</v>
      </c>
      <c r="I1521">
        <v>1377.4</v>
      </c>
      <c r="J1521">
        <v>20560</v>
      </c>
      <c r="K1521">
        <v>11920</v>
      </c>
      <c r="L1521" s="2">
        <v>24.488750000000007</v>
      </c>
      <c r="M1521" s="5">
        <v>122.86199999999999</v>
      </c>
      <c r="N1521" s="1">
        <v>362.4228</v>
      </c>
      <c r="O1521" s="2">
        <v>51.7</v>
      </c>
      <c r="P1521">
        <v>405</v>
      </c>
    </row>
    <row r="1522" spans="1:16" x14ac:dyDescent="0.35">
      <c r="A1522" s="4">
        <v>44927</v>
      </c>
      <c r="B1522" t="s">
        <v>17</v>
      </c>
      <c r="C1522" t="s">
        <v>12</v>
      </c>
      <c r="D1522">
        <v>1</v>
      </c>
      <c r="E1522" s="2">
        <v>4080</v>
      </c>
      <c r="F1522" s="2">
        <f t="shared" si="241"/>
        <v>4722.6000000000004</v>
      </c>
      <c r="G1522" s="3">
        <v>0</v>
      </c>
      <c r="H1522">
        <v>0</v>
      </c>
      <c r="I1522">
        <v>1377.4</v>
      </c>
      <c r="J1522">
        <v>20560</v>
      </c>
      <c r="K1522">
        <v>11920</v>
      </c>
      <c r="L1522" s="2">
        <v>24.488750000000007</v>
      </c>
      <c r="M1522" s="5">
        <v>122.86199999999999</v>
      </c>
      <c r="N1522" s="1">
        <v>362.4228</v>
      </c>
      <c r="O1522" s="2">
        <v>51.7</v>
      </c>
      <c r="P1522">
        <v>405</v>
      </c>
    </row>
    <row r="1523" spans="1:16" x14ac:dyDescent="0.35">
      <c r="A1523" s="4">
        <v>44927</v>
      </c>
      <c r="B1523" t="s">
        <v>17</v>
      </c>
      <c r="C1523" t="s">
        <v>13</v>
      </c>
      <c r="D1523">
        <v>1</v>
      </c>
      <c r="E1523" s="2">
        <f>(4700*3+4550*2)/5</f>
        <v>4640</v>
      </c>
      <c r="F1523" s="2">
        <f t="shared" si="241"/>
        <v>4722.6000000000004</v>
      </c>
      <c r="G1523" s="3">
        <v>0</v>
      </c>
      <c r="H1523">
        <v>0</v>
      </c>
      <c r="I1523">
        <v>1377.4</v>
      </c>
      <c r="J1523">
        <v>20560</v>
      </c>
      <c r="K1523">
        <v>11920</v>
      </c>
      <c r="L1523" s="2">
        <v>24.488750000000007</v>
      </c>
      <c r="M1523" s="5">
        <v>122.86199999999999</v>
      </c>
      <c r="N1523" s="1">
        <v>362.4228</v>
      </c>
      <c r="O1523" s="2">
        <v>51.7</v>
      </c>
      <c r="P1523">
        <v>405</v>
      </c>
    </row>
    <row r="1524" spans="1:16" x14ac:dyDescent="0.35">
      <c r="A1524" s="4">
        <v>44927</v>
      </c>
      <c r="B1524" t="s">
        <v>17</v>
      </c>
      <c r="C1524" t="s">
        <v>14</v>
      </c>
      <c r="D1524">
        <v>1</v>
      </c>
      <c r="E1524" s="2">
        <f>(5433+4800+4933+4833+5067)/5</f>
        <v>5013.2</v>
      </c>
      <c r="F1524" s="2">
        <f t="shared" si="241"/>
        <v>4722.6000000000004</v>
      </c>
      <c r="G1524" s="3">
        <v>0</v>
      </c>
      <c r="H1524">
        <v>0</v>
      </c>
      <c r="I1524">
        <v>1377.4</v>
      </c>
      <c r="J1524">
        <v>20560</v>
      </c>
      <c r="K1524">
        <v>11920</v>
      </c>
      <c r="L1524" s="2">
        <v>24.488750000000007</v>
      </c>
      <c r="M1524" s="5">
        <v>122.86199999999999</v>
      </c>
      <c r="N1524" s="1">
        <v>362.4228</v>
      </c>
      <c r="O1524" s="2">
        <v>51.7</v>
      </c>
      <c r="P1524">
        <v>405</v>
      </c>
    </row>
    <row r="1525" spans="1:16" x14ac:dyDescent="0.35">
      <c r="A1525" s="4">
        <v>44927</v>
      </c>
      <c r="B1525" t="s">
        <v>17</v>
      </c>
      <c r="C1525" t="s">
        <v>15</v>
      </c>
      <c r="D1525">
        <v>0</v>
      </c>
      <c r="E1525" s="2" t="s">
        <v>27</v>
      </c>
      <c r="F1525" s="2">
        <f t="shared" si="241"/>
        <v>4722.6000000000004</v>
      </c>
      <c r="G1525" s="3">
        <v>0</v>
      </c>
      <c r="H1525">
        <v>0</v>
      </c>
      <c r="I1525">
        <v>1377.4</v>
      </c>
      <c r="J1525">
        <v>20560</v>
      </c>
      <c r="K1525">
        <v>11920</v>
      </c>
      <c r="L1525" s="2">
        <v>24.488750000000007</v>
      </c>
      <c r="M1525" s="5">
        <v>122.86199999999999</v>
      </c>
      <c r="N1525" s="1">
        <v>362.4228</v>
      </c>
      <c r="O1525" s="2">
        <v>51.7</v>
      </c>
      <c r="P1525">
        <v>405</v>
      </c>
    </row>
    <row r="1526" spans="1:16" x14ac:dyDescent="0.35">
      <c r="A1526" s="4">
        <v>44927</v>
      </c>
      <c r="B1526" t="s">
        <v>18</v>
      </c>
      <c r="C1526" t="s">
        <v>10</v>
      </c>
      <c r="D1526">
        <v>1</v>
      </c>
      <c r="E1526" s="2">
        <f>(4600+4533+4675+4125+4500)/5</f>
        <v>4486.6000000000004</v>
      </c>
      <c r="F1526" s="2">
        <f>(3777.14+3764.71+3811.43+3739.29+3868.57)/5</f>
        <v>3792.2280000000001</v>
      </c>
      <c r="G1526" s="3">
        <v>0</v>
      </c>
      <c r="H1526">
        <v>0</v>
      </c>
      <c r="I1526">
        <v>1377.4</v>
      </c>
      <c r="J1526">
        <v>20560</v>
      </c>
      <c r="K1526">
        <v>11920</v>
      </c>
      <c r="L1526" s="2">
        <v>24.488750000000007</v>
      </c>
      <c r="M1526" s="5">
        <v>122.86199999999999</v>
      </c>
      <c r="N1526" s="1">
        <v>362.4228</v>
      </c>
      <c r="O1526" s="2">
        <v>51.7</v>
      </c>
      <c r="P1526">
        <v>405</v>
      </c>
    </row>
    <row r="1527" spans="1:16" x14ac:dyDescent="0.35">
      <c r="A1527" s="4">
        <v>44927</v>
      </c>
      <c r="B1527" t="s">
        <v>18</v>
      </c>
      <c r="C1527" t="s">
        <v>11</v>
      </c>
      <c r="D1527">
        <v>1</v>
      </c>
      <c r="E1527" s="2">
        <f>(4200+3900*3+3800)/5</f>
        <v>3940</v>
      </c>
      <c r="F1527" s="2">
        <f t="shared" ref="F1527:F1531" si="242">(3777.14+3764.71+3811.43+3739.29+3868.57)/5</f>
        <v>3792.2280000000001</v>
      </c>
      <c r="G1527" s="3">
        <v>0</v>
      </c>
      <c r="H1527">
        <v>0</v>
      </c>
      <c r="I1527">
        <v>1377.4</v>
      </c>
      <c r="J1527">
        <v>20560</v>
      </c>
      <c r="K1527">
        <v>11920</v>
      </c>
      <c r="L1527" s="2">
        <v>24.488750000000007</v>
      </c>
      <c r="M1527" s="5">
        <v>122.86199999999999</v>
      </c>
      <c r="N1527" s="1">
        <v>362.4228</v>
      </c>
      <c r="O1527" s="2">
        <v>51.7</v>
      </c>
      <c r="P1527">
        <v>405</v>
      </c>
    </row>
    <row r="1528" spans="1:16" x14ac:dyDescent="0.35">
      <c r="A1528" s="4">
        <v>44927</v>
      </c>
      <c r="B1528" t="s">
        <v>18</v>
      </c>
      <c r="C1528" t="s">
        <v>12</v>
      </c>
      <c r="D1528">
        <v>1</v>
      </c>
      <c r="E1528" s="2">
        <v>3465</v>
      </c>
      <c r="F1528" s="2">
        <f t="shared" si="242"/>
        <v>3792.2280000000001</v>
      </c>
      <c r="G1528" s="3">
        <v>0</v>
      </c>
      <c r="H1528">
        <v>0</v>
      </c>
      <c r="I1528">
        <v>1377.4</v>
      </c>
      <c r="J1528">
        <v>20560</v>
      </c>
      <c r="K1528">
        <v>11920</v>
      </c>
      <c r="L1528" s="2">
        <v>24.488750000000007</v>
      </c>
      <c r="M1528" s="5">
        <v>122.86199999999999</v>
      </c>
      <c r="N1528" s="1">
        <v>362.4228</v>
      </c>
      <c r="O1528" s="2">
        <v>51.7</v>
      </c>
      <c r="P1528">
        <v>405</v>
      </c>
    </row>
    <row r="1529" spans="1:16" x14ac:dyDescent="0.35">
      <c r="A1529" s="4">
        <v>44927</v>
      </c>
      <c r="B1529" t="s">
        <v>18</v>
      </c>
      <c r="C1529" t="s">
        <v>13</v>
      </c>
      <c r="D1529">
        <v>1</v>
      </c>
      <c r="E1529" s="2">
        <f>(3900*3+3775*2)/5</f>
        <v>3850</v>
      </c>
      <c r="F1529" s="2">
        <f t="shared" si="242"/>
        <v>3792.2280000000001</v>
      </c>
      <c r="G1529" s="3">
        <v>0</v>
      </c>
      <c r="H1529">
        <v>0</v>
      </c>
      <c r="I1529">
        <v>1377.4</v>
      </c>
      <c r="J1529">
        <v>20560</v>
      </c>
      <c r="K1529">
        <v>11920</v>
      </c>
      <c r="L1529" s="2">
        <v>24.488750000000007</v>
      </c>
      <c r="M1529" s="5">
        <v>122.86199999999999</v>
      </c>
      <c r="N1529" s="1">
        <v>362.4228</v>
      </c>
      <c r="O1529" s="2">
        <v>51.7</v>
      </c>
      <c r="P1529">
        <v>405</v>
      </c>
    </row>
    <row r="1530" spans="1:16" x14ac:dyDescent="0.35">
      <c r="A1530" s="4">
        <v>44927</v>
      </c>
      <c r="B1530" t="s">
        <v>18</v>
      </c>
      <c r="C1530" t="s">
        <v>14</v>
      </c>
      <c r="D1530">
        <v>1</v>
      </c>
      <c r="E1530" s="2">
        <f>(4150+3930+3890+3860+3940)/5</f>
        <v>3954</v>
      </c>
      <c r="F1530" s="2">
        <f t="shared" si="242"/>
        <v>3792.2280000000001</v>
      </c>
      <c r="G1530" s="3">
        <v>0</v>
      </c>
      <c r="H1530">
        <v>0</v>
      </c>
      <c r="I1530">
        <v>1377.4</v>
      </c>
      <c r="J1530">
        <v>20560</v>
      </c>
      <c r="K1530">
        <v>11920</v>
      </c>
      <c r="L1530" s="2">
        <v>24.488750000000007</v>
      </c>
      <c r="M1530" s="5">
        <v>122.86199999999999</v>
      </c>
      <c r="N1530" s="1">
        <v>362.4228</v>
      </c>
      <c r="O1530" s="2">
        <v>51.7</v>
      </c>
      <c r="P1530">
        <v>405</v>
      </c>
    </row>
    <row r="1531" spans="1:16" x14ac:dyDescent="0.35">
      <c r="A1531" s="4">
        <v>44927</v>
      </c>
      <c r="B1531" t="s">
        <v>18</v>
      </c>
      <c r="C1531" t="s">
        <v>15</v>
      </c>
      <c r="D1531">
        <v>1</v>
      </c>
      <c r="E1531" s="2">
        <f>(3800+3775+3750+3650*2)/5</f>
        <v>3725</v>
      </c>
      <c r="F1531" s="2">
        <f t="shared" si="242"/>
        <v>3792.2280000000001</v>
      </c>
      <c r="G1531" s="3">
        <v>0</v>
      </c>
      <c r="H1531">
        <v>0</v>
      </c>
      <c r="I1531">
        <v>1377.4</v>
      </c>
      <c r="J1531">
        <v>20560</v>
      </c>
      <c r="K1531">
        <v>11920</v>
      </c>
      <c r="L1531" s="2">
        <v>24.488750000000007</v>
      </c>
      <c r="M1531" s="5">
        <v>122.86199999999999</v>
      </c>
      <c r="N1531" s="1">
        <v>362.4228</v>
      </c>
      <c r="O1531" s="2">
        <v>51.7</v>
      </c>
      <c r="P1531">
        <v>405</v>
      </c>
    </row>
    <row r="1532" spans="1:16" x14ac:dyDescent="0.35">
      <c r="A1532" s="4">
        <v>44927</v>
      </c>
      <c r="B1532" t="s">
        <v>19</v>
      </c>
      <c r="C1532" t="s">
        <v>10</v>
      </c>
      <c r="D1532">
        <v>1</v>
      </c>
      <c r="E1532" s="2">
        <f>(3800+3866+3700+3450+3400)/5</f>
        <v>3643.2</v>
      </c>
      <c r="F1532" s="2">
        <f>(3584.71+3502.43+3473.14+3250.86+3390.14)/5</f>
        <v>3440.2559999999999</v>
      </c>
      <c r="G1532" s="3">
        <v>0</v>
      </c>
      <c r="H1532">
        <v>0</v>
      </c>
      <c r="I1532">
        <v>1377.4</v>
      </c>
      <c r="J1532">
        <v>20560</v>
      </c>
      <c r="K1532">
        <v>11920</v>
      </c>
      <c r="L1532" s="2">
        <v>24.488750000000007</v>
      </c>
      <c r="M1532" s="5">
        <v>122.86199999999999</v>
      </c>
      <c r="N1532" s="1">
        <v>362.4228</v>
      </c>
      <c r="O1532" s="2">
        <v>51.7</v>
      </c>
      <c r="P1532">
        <v>405</v>
      </c>
    </row>
    <row r="1533" spans="1:16" x14ac:dyDescent="0.35">
      <c r="A1533" s="4">
        <v>44927</v>
      </c>
      <c r="B1533" t="s">
        <v>19</v>
      </c>
      <c r="C1533" t="s">
        <v>11</v>
      </c>
      <c r="D1533">
        <v>1</v>
      </c>
      <c r="E1533" s="2">
        <f>(3700*3+3750+4000)/5</f>
        <v>3770</v>
      </c>
      <c r="F1533" s="2">
        <f t="shared" ref="F1533:F1537" si="243">(3584.71+3502.43+3473.14+3250.86+3390.14)/5</f>
        <v>3440.2559999999999</v>
      </c>
      <c r="G1533" s="3">
        <v>0</v>
      </c>
      <c r="H1533">
        <v>0</v>
      </c>
      <c r="I1533">
        <v>1377.4</v>
      </c>
      <c r="J1533">
        <v>20560</v>
      </c>
      <c r="K1533">
        <v>11920</v>
      </c>
      <c r="L1533" s="2">
        <v>24.488750000000007</v>
      </c>
      <c r="M1533" s="5">
        <v>122.86199999999999</v>
      </c>
      <c r="N1533" s="1">
        <v>362.4228</v>
      </c>
      <c r="O1533" s="2">
        <v>51.7</v>
      </c>
      <c r="P1533">
        <v>405</v>
      </c>
    </row>
    <row r="1534" spans="1:16" x14ac:dyDescent="0.35">
      <c r="A1534" s="4">
        <v>44927</v>
      </c>
      <c r="B1534" t="s">
        <v>19</v>
      </c>
      <c r="C1534" t="s">
        <v>12</v>
      </c>
      <c r="D1534">
        <v>1</v>
      </c>
      <c r="E1534" s="2">
        <v>3370</v>
      </c>
      <c r="F1534" s="2">
        <f t="shared" si="243"/>
        <v>3440.2559999999999</v>
      </c>
      <c r="G1534" s="3">
        <v>0</v>
      </c>
      <c r="H1534">
        <v>0</v>
      </c>
      <c r="I1534">
        <v>1377.4</v>
      </c>
      <c r="J1534">
        <v>20560</v>
      </c>
      <c r="K1534">
        <v>11920</v>
      </c>
      <c r="L1534" s="2">
        <v>24.488750000000007</v>
      </c>
      <c r="M1534" s="5">
        <v>122.86199999999999</v>
      </c>
      <c r="N1534" s="1">
        <v>362.4228</v>
      </c>
      <c r="O1534" s="2">
        <v>51.7</v>
      </c>
      <c r="P1534">
        <v>405</v>
      </c>
    </row>
    <row r="1535" spans="1:16" x14ac:dyDescent="0.35">
      <c r="A1535" s="4">
        <v>44927</v>
      </c>
      <c r="B1535" t="s">
        <v>19</v>
      </c>
      <c r="C1535" t="s">
        <v>13</v>
      </c>
      <c r="D1535">
        <v>1</v>
      </c>
      <c r="E1535" s="2">
        <f>(3550*3+3425*2)/5</f>
        <v>3500</v>
      </c>
      <c r="F1535" s="2">
        <f t="shared" si="243"/>
        <v>3440.2559999999999</v>
      </c>
      <c r="G1535" s="3">
        <v>0</v>
      </c>
      <c r="H1535">
        <v>0</v>
      </c>
      <c r="I1535">
        <v>1377.4</v>
      </c>
      <c r="J1535">
        <v>20560</v>
      </c>
      <c r="K1535">
        <v>11920</v>
      </c>
      <c r="L1535" s="2">
        <v>24.488750000000007</v>
      </c>
      <c r="M1535" s="5">
        <v>122.86199999999999</v>
      </c>
      <c r="N1535" s="1">
        <v>362.4228</v>
      </c>
      <c r="O1535" s="2">
        <v>51.7</v>
      </c>
      <c r="P1535">
        <v>405</v>
      </c>
    </row>
    <row r="1536" spans="1:16" x14ac:dyDescent="0.35">
      <c r="A1536" s="4">
        <v>44927</v>
      </c>
      <c r="B1536" t="s">
        <v>19</v>
      </c>
      <c r="C1536" t="s">
        <v>14</v>
      </c>
      <c r="D1536">
        <v>1</v>
      </c>
      <c r="E1536" s="2">
        <f>(3636*2+3642+3650+3707)/5</f>
        <v>3654.2</v>
      </c>
      <c r="F1536" s="2">
        <f t="shared" si="243"/>
        <v>3440.2559999999999</v>
      </c>
      <c r="G1536" s="3">
        <v>0</v>
      </c>
      <c r="H1536">
        <v>0</v>
      </c>
      <c r="I1536">
        <v>1377.4</v>
      </c>
      <c r="J1536">
        <v>20560</v>
      </c>
      <c r="K1536">
        <v>11920</v>
      </c>
      <c r="L1536" s="2">
        <v>24.488750000000007</v>
      </c>
      <c r="M1536" s="5">
        <v>122.86199999999999</v>
      </c>
      <c r="N1536" s="1">
        <v>362.4228</v>
      </c>
      <c r="O1536" s="2">
        <v>51.7</v>
      </c>
      <c r="P1536">
        <v>405</v>
      </c>
    </row>
    <row r="1537" spans="1:16" x14ac:dyDescent="0.35">
      <c r="A1537" s="4">
        <v>44927</v>
      </c>
      <c r="B1537" t="s">
        <v>19</v>
      </c>
      <c r="C1537" t="s">
        <v>15</v>
      </c>
      <c r="D1537">
        <v>1</v>
      </c>
      <c r="E1537" s="2">
        <f>(3550*2+3650+3675+3700)/5</f>
        <v>3625</v>
      </c>
      <c r="F1537" s="2">
        <f t="shared" si="243"/>
        <v>3440.2559999999999</v>
      </c>
      <c r="G1537" s="3">
        <v>0</v>
      </c>
      <c r="H1537">
        <v>0</v>
      </c>
      <c r="I1537">
        <v>1377.4</v>
      </c>
      <c r="J1537">
        <v>20560</v>
      </c>
      <c r="K1537">
        <v>11920</v>
      </c>
      <c r="L1537" s="2">
        <v>24.488750000000007</v>
      </c>
      <c r="M1537" s="5">
        <v>122.86199999999999</v>
      </c>
      <c r="N1537" s="1">
        <v>362.4228</v>
      </c>
      <c r="O1537" s="2">
        <v>51.7</v>
      </c>
      <c r="P1537">
        <v>405</v>
      </c>
    </row>
    <row r="1538" spans="1:16" x14ac:dyDescent="0.35">
      <c r="A1538" s="4">
        <v>44927</v>
      </c>
      <c r="B1538" t="s">
        <v>20</v>
      </c>
      <c r="C1538" t="s">
        <v>10</v>
      </c>
      <c r="D1538">
        <v>1</v>
      </c>
      <c r="E1538" s="2">
        <f>(2833+2750+2925+3050+3033)/5</f>
        <v>2918.2</v>
      </c>
      <c r="F1538" s="2">
        <f t="shared" ref="F1538:F1543" si="244">(3011.43+3080.43+2952.86+2837.86+2902.57)/5</f>
        <v>2957.0299999999997</v>
      </c>
      <c r="G1538" s="3">
        <v>0</v>
      </c>
      <c r="H1538">
        <v>0</v>
      </c>
      <c r="I1538">
        <v>1377.4</v>
      </c>
      <c r="J1538">
        <v>20560</v>
      </c>
      <c r="K1538">
        <v>11920</v>
      </c>
      <c r="L1538" s="2">
        <v>24.488750000000007</v>
      </c>
      <c r="M1538" s="5">
        <v>122.86199999999999</v>
      </c>
      <c r="N1538" s="1">
        <v>362.4228</v>
      </c>
      <c r="O1538" s="2">
        <v>51.7</v>
      </c>
      <c r="P1538">
        <v>405</v>
      </c>
    </row>
    <row r="1539" spans="1:16" x14ac:dyDescent="0.35">
      <c r="A1539" s="4">
        <v>44927</v>
      </c>
      <c r="B1539" t="s">
        <v>20</v>
      </c>
      <c r="C1539" t="s">
        <v>11</v>
      </c>
      <c r="D1539">
        <v>1</v>
      </c>
      <c r="E1539" s="2">
        <v>3080</v>
      </c>
      <c r="F1539" s="2">
        <f t="shared" si="244"/>
        <v>2957.0299999999997</v>
      </c>
      <c r="G1539" s="3">
        <v>0</v>
      </c>
      <c r="H1539">
        <v>0</v>
      </c>
      <c r="I1539">
        <v>1377.4</v>
      </c>
      <c r="J1539">
        <v>20560</v>
      </c>
      <c r="K1539">
        <v>11920</v>
      </c>
      <c r="L1539" s="2">
        <v>24.488750000000007</v>
      </c>
      <c r="M1539" s="5">
        <v>122.86199999999999</v>
      </c>
      <c r="N1539" s="1">
        <v>362.4228</v>
      </c>
      <c r="O1539" s="2">
        <v>51.7</v>
      </c>
      <c r="P1539">
        <v>405</v>
      </c>
    </row>
    <row r="1540" spans="1:16" x14ac:dyDescent="0.35">
      <c r="A1540" s="4">
        <v>44927</v>
      </c>
      <c r="B1540" t="s">
        <v>20</v>
      </c>
      <c r="C1540" t="s">
        <v>12</v>
      </c>
      <c r="D1540">
        <v>1</v>
      </c>
      <c r="E1540" s="2">
        <v>2900</v>
      </c>
      <c r="F1540" s="2">
        <f t="shared" si="244"/>
        <v>2957.0299999999997</v>
      </c>
      <c r="G1540" s="3">
        <v>0</v>
      </c>
      <c r="H1540">
        <v>0</v>
      </c>
      <c r="I1540">
        <v>1377.4</v>
      </c>
      <c r="J1540">
        <v>20560</v>
      </c>
      <c r="K1540">
        <v>11920</v>
      </c>
      <c r="L1540" s="2">
        <v>24.488750000000007</v>
      </c>
      <c r="M1540" s="5">
        <v>122.86199999999999</v>
      </c>
      <c r="N1540" s="1">
        <v>362.4228</v>
      </c>
      <c r="O1540" s="2">
        <v>51.7</v>
      </c>
      <c r="P1540">
        <v>405</v>
      </c>
    </row>
    <row r="1541" spans="1:16" x14ac:dyDescent="0.35">
      <c r="A1541" s="4">
        <v>44927</v>
      </c>
      <c r="B1541" t="s">
        <v>20</v>
      </c>
      <c r="C1541" t="s">
        <v>13</v>
      </c>
      <c r="D1541">
        <v>1</v>
      </c>
      <c r="E1541" s="2">
        <v>3025</v>
      </c>
      <c r="F1541" s="2">
        <f t="shared" si="244"/>
        <v>2957.0299999999997</v>
      </c>
      <c r="G1541" s="3">
        <v>0</v>
      </c>
      <c r="H1541">
        <v>0</v>
      </c>
      <c r="I1541">
        <v>1377.4</v>
      </c>
      <c r="J1541">
        <v>20560</v>
      </c>
      <c r="K1541">
        <v>11920</v>
      </c>
      <c r="L1541" s="2">
        <v>24.488750000000007</v>
      </c>
      <c r="M1541" s="5">
        <v>122.86199999999999</v>
      </c>
      <c r="N1541" s="1">
        <v>362.4228</v>
      </c>
      <c r="O1541" s="2">
        <v>51.7</v>
      </c>
      <c r="P1541">
        <v>405</v>
      </c>
    </row>
    <row r="1542" spans="1:16" x14ac:dyDescent="0.35">
      <c r="A1542" s="4">
        <v>44927</v>
      </c>
      <c r="B1542" t="s">
        <v>20</v>
      </c>
      <c r="C1542" t="s">
        <v>14</v>
      </c>
      <c r="D1542">
        <v>1</v>
      </c>
      <c r="E1542" s="2">
        <f>(3110+3140+3190+3230+3260)/5</f>
        <v>3186</v>
      </c>
      <c r="F1542" s="2">
        <f t="shared" si="244"/>
        <v>2957.0299999999997</v>
      </c>
      <c r="G1542" s="3">
        <v>0</v>
      </c>
      <c r="H1542">
        <v>0</v>
      </c>
      <c r="I1542">
        <v>1377.4</v>
      </c>
      <c r="J1542">
        <v>20560</v>
      </c>
      <c r="K1542">
        <v>11920</v>
      </c>
      <c r="L1542" s="2">
        <v>24.488750000000007</v>
      </c>
      <c r="M1542" s="5">
        <v>122.86199999999999</v>
      </c>
      <c r="N1542" s="1">
        <v>362.4228</v>
      </c>
      <c r="O1542" s="2">
        <v>51.7</v>
      </c>
      <c r="P1542">
        <v>405</v>
      </c>
    </row>
    <row r="1543" spans="1:16" x14ac:dyDescent="0.35">
      <c r="A1543" s="4">
        <v>44927</v>
      </c>
      <c r="B1543" t="s">
        <v>20</v>
      </c>
      <c r="C1543" t="s">
        <v>15</v>
      </c>
      <c r="D1543">
        <v>1</v>
      </c>
      <c r="E1543" s="2">
        <f>(3225*2+3150+3050*2)/5</f>
        <v>3140</v>
      </c>
      <c r="F1543" s="2">
        <f t="shared" si="244"/>
        <v>2957.0299999999997</v>
      </c>
      <c r="G1543" s="3">
        <v>0</v>
      </c>
      <c r="H1543">
        <v>0</v>
      </c>
      <c r="I1543">
        <v>1377.4</v>
      </c>
      <c r="J1543">
        <v>20560</v>
      </c>
      <c r="K1543">
        <v>11920</v>
      </c>
      <c r="L1543" s="2">
        <v>24.488750000000007</v>
      </c>
      <c r="M1543" s="5">
        <v>122.86199999999999</v>
      </c>
      <c r="N1543" s="1">
        <v>362.4228</v>
      </c>
      <c r="O1543" s="2">
        <v>51.7</v>
      </c>
      <c r="P1543">
        <v>405</v>
      </c>
    </row>
    <row r="1544" spans="1:16" x14ac:dyDescent="0.35">
      <c r="A1544" s="4">
        <v>44927</v>
      </c>
      <c r="B1544" t="s">
        <v>21</v>
      </c>
      <c r="C1544" t="s">
        <v>10</v>
      </c>
      <c r="D1544">
        <v>1</v>
      </c>
      <c r="E1544" s="2">
        <f>(2333+2300+2475+2729+2600)/5</f>
        <v>2487.4</v>
      </c>
      <c r="F1544" s="2">
        <f>(2655.57+2603.14+2739.86+2830+2870.29)/5</f>
        <v>2739.7719999999999</v>
      </c>
      <c r="G1544" s="3">
        <v>0</v>
      </c>
      <c r="H1544">
        <v>0</v>
      </c>
      <c r="I1544">
        <v>1377.4</v>
      </c>
      <c r="J1544">
        <v>20560</v>
      </c>
      <c r="K1544">
        <v>11920</v>
      </c>
      <c r="L1544" s="2">
        <v>24.488750000000007</v>
      </c>
      <c r="M1544" s="5">
        <v>122.86199999999999</v>
      </c>
      <c r="N1544" s="1">
        <v>362.4228</v>
      </c>
      <c r="O1544" s="2">
        <v>51.7</v>
      </c>
      <c r="P1544">
        <v>405</v>
      </c>
    </row>
    <row r="1545" spans="1:16" x14ac:dyDescent="0.35">
      <c r="A1545" s="4">
        <v>44927</v>
      </c>
      <c r="B1545" t="s">
        <v>21</v>
      </c>
      <c r="C1545" t="s">
        <v>11</v>
      </c>
      <c r="D1545">
        <v>1</v>
      </c>
      <c r="E1545" s="2">
        <f>(3100+2900*3+2800)/5</f>
        <v>2920</v>
      </c>
      <c r="F1545" s="2">
        <f t="shared" ref="F1545:F1549" si="245">(2655.57+2603.14+2739.86+2830+2870.29)/5</f>
        <v>2739.7719999999999</v>
      </c>
      <c r="G1545" s="3">
        <v>0</v>
      </c>
      <c r="H1545">
        <v>0</v>
      </c>
      <c r="I1545">
        <v>1377.4</v>
      </c>
      <c r="J1545">
        <v>20560</v>
      </c>
      <c r="K1545">
        <v>11920</v>
      </c>
      <c r="L1545" s="2">
        <v>24.488750000000007</v>
      </c>
      <c r="M1545" s="5">
        <v>122.86199999999999</v>
      </c>
      <c r="N1545" s="1">
        <v>362.4228</v>
      </c>
      <c r="O1545" s="2">
        <v>51.7</v>
      </c>
      <c r="P1545">
        <v>405</v>
      </c>
    </row>
    <row r="1546" spans="1:16" x14ac:dyDescent="0.35">
      <c r="A1546" s="4">
        <v>44927</v>
      </c>
      <c r="B1546" t="s">
        <v>21</v>
      </c>
      <c r="C1546" t="s">
        <v>12</v>
      </c>
      <c r="D1546">
        <v>1</v>
      </c>
      <c r="E1546" s="2">
        <v>2700</v>
      </c>
      <c r="F1546" s="2">
        <f t="shared" si="245"/>
        <v>2739.7719999999999</v>
      </c>
      <c r="G1546" s="3">
        <v>0</v>
      </c>
      <c r="H1546">
        <v>0</v>
      </c>
      <c r="I1546">
        <v>1377.4</v>
      </c>
      <c r="J1546">
        <v>20560</v>
      </c>
      <c r="K1546">
        <v>11920</v>
      </c>
      <c r="L1546" s="2">
        <v>24.488750000000007</v>
      </c>
      <c r="M1546" s="5">
        <v>122.86199999999999</v>
      </c>
      <c r="N1546" s="1">
        <v>362.4228</v>
      </c>
      <c r="O1546" s="2">
        <v>51.7</v>
      </c>
      <c r="P1546">
        <v>405</v>
      </c>
    </row>
    <row r="1547" spans="1:16" x14ac:dyDescent="0.35">
      <c r="A1547" s="4">
        <v>44927</v>
      </c>
      <c r="B1547" t="s">
        <v>21</v>
      </c>
      <c r="C1547" t="s">
        <v>13</v>
      </c>
      <c r="D1547">
        <v>1</v>
      </c>
      <c r="E1547" s="2">
        <v>2870</v>
      </c>
      <c r="F1547" s="2">
        <f t="shared" si="245"/>
        <v>2739.7719999999999</v>
      </c>
      <c r="G1547" s="3">
        <v>0</v>
      </c>
      <c r="H1547">
        <v>0</v>
      </c>
      <c r="I1547">
        <v>1377.4</v>
      </c>
      <c r="J1547">
        <v>20560</v>
      </c>
      <c r="K1547">
        <v>11920</v>
      </c>
      <c r="L1547" s="2">
        <v>24.488750000000007</v>
      </c>
      <c r="M1547" s="5">
        <v>122.86199999999999</v>
      </c>
      <c r="N1547" s="1">
        <v>362.4228</v>
      </c>
      <c r="O1547" s="2">
        <v>51.7</v>
      </c>
      <c r="P1547">
        <v>405</v>
      </c>
    </row>
    <row r="1548" spans="1:16" x14ac:dyDescent="0.35">
      <c r="A1548" s="4">
        <v>44927</v>
      </c>
      <c r="B1548" t="s">
        <v>21</v>
      </c>
      <c r="C1548" t="s">
        <v>14</v>
      </c>
      <c r="D1548">
        <v>1</v>
      </c>
      <c r="E1548" s="2">
        <f>(2856+2922+2894+2981+2967)/5</f>
        <v>2924</v>
      </c>
      <c r="F1548" s="2">
        <f t="shared" si="245"/>
        <v>2739.7719999999999</v>
      </c>
      <c r="G1548" s="3">
        <v>0</v>
      </c>
      <c r="H1548">
        <v>0</v>
      </c>
      <c r="I1548">
        <v>1377.4</v>
      </c>
      <c r="J1548">
        <v>20560</v>
      </c>
      <c r="K1548">
        <v>11920</v>
      </c>
      <c r="L1548" s="2">
        <v>24.488750000000007</v>
      </c>
      <c r="M1548" s="5">
        <v>122.86199999999999</v>
      </c>
      <c r="N1548" s="1">
        <v>362.4228</v>
      </c>
      <c r="O1548" s="2">
        <v>51.7</v>
      </c>
      <c r="P1548">
        <v>405</v>
      </c>
    </row>
    <row r="1549" spans="1:16" x14ac:dyDescent="0.35">
      <c r="A1549" s="4">
        <v>44927</v>
      </c>
      <c r="B1549" t="s">
        <v>21</v>
      </c>
      <c r="C1549" t="s">
        <v>15</v>
      </c>
      <c r="D1549">
        <v>1</v>
      </c>
      <c r="E1549" s="2">
        <f>(2950*2+3100+3200)/5</f>
        <v>2440</v>
      </c>
      <c r="F1549" s="2">
        <f t="shared" si="245"/>
        <v>2739.7719999999999</v>
      </c>
      <c r="G1549" s="3">
        <v>0</v>
      </c>
      <c r="H1549">
        <v>0</v>
      </c>
      <c r="I1549">
        <v>1377.4</v>
      </c>
      <c r="J1549">
        <v>20560</v>
      </c>
      <c r="K1549">
        <v>11920</v>
      </c>
      <c r="L1549" s="2">
        <v>24.488750000000007</v>
      </c>
      <c r="M1549" s="5">
        <v>122.86199999999999</v>
      </c>
      <c r="N1549" s="1">
        <v>362.4228</v>
      </c>
      <c r="O1549" s="2">
        <v>51.7</v>
      </c>
      <c r="P1549">
        <v>405</v>
      </c>
    </row>
    <row r="1550" spans="1:16" x14ac:dyDescent="0.35">
      <c r="A1550" s="4">
        <v>44927</v>
      </c>
      <c r="B1550" t="s">
        <v>22</v>
      </c>
      <c r="C1550" t="s">
        <v>10</v>
      </c>
      <c r="D1550">
        <v>0</v>
      </c>
      <c r="E1550" s="2" t="s">
        <v>27</v>
      </c>
      <c r="F1550" s="2">
        <f t="shared" ref="F1550:F1553" si="246">(2500+2425+2475+2580+2400)/5</f>
        <v>2476</v>
      </c>
      <c r="G1550" s="3">
        <v>0</v>
      </c>
      <c r="H1550">
        <v>0</v>
      </c>
      <c r="I1550">
        <v>1377.4</v>
      </c>
      <c r="J1550">
        <v>20560</v>
      </c>
      <c r="K1550">
        <v>11920</v>
      </c>
      <c r="L1550" s="2">
        <v>24.488750000000007</v>
      </c>
      <c r="M1550" s="5">
        <v>122.86199999999999</v>
      </c>
      <c r="N1550" s="1">
        <v>362.4228</v>
      </c>
      <c r="O1550" s="2">
        <v>51.7</v>
      </c>
      <c r="P1550">
        <v>405</v>
      </c>
    </row>
    <row r="1551" spans="1:16" x14ac:dyDescent="0.35">
      <c r="A1551" s="4">
        <v>44927</v>
      </c>
      <c r="B1551" t="s">
        <v>22</v>
      </c>
      <c r="C1551" t="s">
        <v>11</v>
      </c>
      <c r="D1551">
        <v>0</v>
      </c>
      <c r="E1551" s="2" t="s">
        <v>27</v>
      </c>
      <c r="F1551" s="2">
        <f t="shared" si="246"/>
        <v>2476</v>
      </c>
      <c r="G1551" s="3">
        <v>0</v>
      </c>
      <c r="H1551">
        <v>0</v>
      </c>
      <c r="I1551">
        <v>1377.4</v>
      </c>
      <c r="J1551">
        <v>20560</v>
      </c>
      <c r="K1551">
        <v>11920</v>
      </c>
      <c r="L1551" s="2">
        <v>24.488750000000007</v>
      </c>
      <c r="M1551" s="5">
        <v>122.86199999999999</v>
      </c>
      <c r="N1551" s="1">
        <v>362.4228</v>
      </c>
      <c r="O1551" s="2">
        <v>51.7</v>
      </c>
      <c r="P1551">
        <v>405</v>
      </c>
    </row>
    <row r="1552" spans="1:16" x14ac:dyDescent="0.35">
      <c r="A1552" s="4">
        <v>44927</v>
      </c>
      <c r="B1552" t="s">
        <v>22</v>
      </c>
      <c r="C1552" t="s">
        <v>12</v>
      </c>
      <c r="D1552">
        <v>0</v>
      </c>
      <c r="E1552" s="2" t="s">
        <v>27</v>
      </c>
      <c r="F1552" s="2">
        <f t="shared" si="246"/>
        <v>2476</v>
      </c>
      <c r="G1552" s="3">
        <v>0</v>
      </c>
      <c r="H1552">
        <v>0</v>
      </c>
      <c r="I1552">
        <v>1377.4</v>
      </c>
      <c r="J1552">
        <v>20560</v>
      </c>
      <c r="K1552">
        <v>11920</v>
      </c>
      <c r="L1552" s="2">
        <v>24.488750000000007</v>
      </c>
      <c r="M1552" s="5">
        <v>122.86199999999999</v>
      </c>
      <c r="N1552" s="1">
        <v>362.4228</v>
      </c>
      <c r="O1552" s="2">
        <v>51.7</v>
      </c>
      <c r="P1552">
        <v>405</v>
      </c>
    </row>
    <row r="1553" spans="1:16" x14ac:dyDescent="0.35">
      <c r="A1553" s="4">
        <v>44927</v>
      </c>
      <c r="B1553" t="s">
        <v>22</v>
      </c>
      <c r="C1553" t="s">
        <v>13</v>
      </c>
      <c r="D1553">
        <v>0</v>
      </c>
      <c r="E1553" s="2" t="s">
        <v>27</v>
      </c>
      <c r="F1553" s="2">
        <f t="shared" si="246"/>
        <v>2476</v>
      </c>
      <c r="G1553" s="3">
        <v>0</v>
      </c>
      <c r="H1553">
        <v>0</v>
      </c>
      <c r="I1553">
        <v>1377.4</v>
      </c>
      <c r="J1553">
        <v>20560</v>
      </c>
      <c r="K1553">
        <v>11920</v>
      </c>
      <c r="L1553" s="2">
        <v>24.488750000000007</v>
      </c>
      <c r="M1553" s="5">
        <v>122.86199999999999</v>
      </c>
      <c r="N1553" s="1">
        <v>362.4228</v>
      </c>
      <c r="O1553" s="2">
        <v>51.7</v>
      </c>
      <c r="P1553">
        <v>405</v>
      </c>
    </row>
    <row r="1554" spans="1:16" x14ac:dyDescent="0.35">
      <c r="A1554" s="4">
        <v>44927</v>
      </c>
      <c r="B1554" t="s">
        <v>22</v>
      </c>
      <c r="C1554" t="s">
        <v>14</v>
      </c>
      <c r="D1554">
        <v>1</v>
      </c>
      <c r="E1554" s="2">
        <f>(2500+2425+2475+2580+2400)/5</f>
        <v>2476</v>
      </c>
      <c r="F1554" s="2">
        <f>(2500+2425+2475+2580+2400)/5</f>
        <v>2476</v>
      </c>
      <c r="G1554" s="3">
        <v>0</v>
      </c>
      <c r="H1554">
        <v>0</v>
      </c>
      <c r="I1554">
        <v>1377.4</v>
      </c>
      <c r="J1554">
        <v>20560</v>
      </c>
      <c r="K1554">
        <v>11920</v>
      </c>
      <c r="L1554" s="2">
        <v>24.488750000000007</v>
      </c>
      <c r="M1554" s="5">
        <v>122.86199999999999</v>
      </c>
      <c r="N1554" s="1">
        <v>362.4228</v>
      </c>
      <c r="O1554" s="2">
        <v>51.7</v>
      </c>
      <c r="P1554">
        <v>405</v>
      </c>
    </row>
    <row r="1555" spans="1:16" x14ac:dyDescent="0.35">
      <c r="A1555" s="4">
        <v>44927</v>
      </c>
      <c r="B1555" t="s">
        <v>22</v>
      </c>
      <c r="C1555" t="s">
        <v>15</v>
      </c>
      <c r="D1555">
        <v>0</v>
      </c>
      <c r="E1555" s="2" t="s">
        <v>27</v>
      </c>
      <c r="F1555" s="2">
        <f>(2500+2425+2475+2580+2400)/5</f>
        <v>2476</v>
      </c>
      <c r="G1555" s="3">
        <v>0</v>
      </c>
      <c r="H1555">
        <v>0</v>
      </c>
      <c r="I1555">
        <v>1377.4</v>
      </c>
      <c r="J1555">
        <v>20560</v>
      </c>
      <c r="K1555">
        <v>11920</v>
      </c>
      <c r="L1555" s="2">
        <v>24.488750000000007</v>
      </c>
      <c r="M1555" s="5">
        <v>122.86199999999999</v>
      </c>
      <c r="N1555" s="1">
        <v>362.4228</v>
      </c>
      <c r="O1555" s="2">
        <v>51.7</v>
      </c>
      <c r="P1555">
        <v>405</v>
      </c>
    </row>
    <row r="1556" spans="1:16" x14ac:dyDescent="0.35">
      <c r="A1556" s="4">
        <v>44958</v>
      </c>
      <c r="B1556" t="s">
        <v>16</v>
      </c>
      <c r="C1556" t="s">
        <v>10</v>
      </c>
      <c r="D1556">
        <v>1</v>
      </c>
      <c r="E1556" s="2">
        <f>(5516+6100+6400+6450)/4</f>
        <v>6116.5</v>
      </c>
      <c r="F1556" s="2">
        <f>(5566.5+5725+5825+5906.25)/4</f>
        <v>5755.6875</v>
      </c>
      <c r="G1556" s="3">
        <v>0</v>
      </c>
      <c r="H1556">
        <v>0</v>
      </c>
      <c r="I1556">
        <v>1377.4</v>
      </c>
      <c r="J1556">
        <v>16912</v>
      </c>
      <c r="K1556">
        <v>16688</v>
      </c>
      <c r="L1556" s="2">
        <v>25.101875</v>
      </c>
      <c r="M1556" s="5">
        <v>158.29599999999999</v>
      </c>
      <c r="N1556" s="1">
        <v>361.97660000000002</v>
      </c>
      <c r="O1556" s="2">
        <v>50.6</v>
      </c>
      <c r="P1556">
        <v>405</v>
      </c>
    </row>
    <row r="1557" spans="1:16" x14ac:dyDescent="0.35">
      <c r="A1557" s="4">
        <v>44958</v>
      </c>
      <c r="B1557" t="s">
        <v>16</v>
      </c>
      <c r="C1557" t="s">
        <v>11</v>
      </c>
      <c r="D1557">
        <v>0</v>
      </c>
      <c r="E1557" s="2" t="s">
        <v>27</v>
      </c>
      <c r="F1557" s="2">
        <f t="shared" ref="F1557:F1561" si="247">(5566.5+5725+5825+5906.25)/4</f>
        <v>5755.6875</v>
      </c>
      <c r="G1557" s="3">
        <v>0</v>
      </c>
      <c r="H1557">
        <v>0</v>
      </c>
      <c r="I1557">
        <v>1377.4</v>
      </c>
      <c r="J1557">
        <v>16912</v>
      </c>
      <c r="K1557">
        <v>16688</v>
      </c>
      <c r="L1557" s="2">
        <v>25.101875</v>
      </c>
      <c r="M1557" s="5">
        <v>158.29599999999999</v>
      </c>
      <c r="N1557" s="1">
        <v>361.97660000000002</v>
      </c>
      <c r="O1557" s="2">
        <v>50.6</v>
      </c>
      <c r="P1557">
        <v>405</v>
      </c>
    </row>
    <row r="1558" spans="1:16" x14ac:dyDescent="0.35">
      <c r="A1558" s="4">
        <v>44958</v>
      </c>
      <c r="B1558" t="s">
        <v>16</v>
      </c>
      <c r="C1558" t="s">
        <v>12</v>
      </c>
      <c r="D1558">
        <v>1</v>
      </c>
      <c r="E1558" s="2">
        <v>4950</v>
      </c>
      <c r="F1558" s="2">
        <f t="shared" si="247"/>
        <v>5755.6875</v>
      </c>
      <c r="G1558" s="3">
        <v>0</v>
      </c>
      <c r="H1558">
        <v>0</v>
      </c>
      <c r="I1558">
        <v>1377.4</v>
      </c>
      <c r="J1558">
        <v>16912</v>
      </c>
      <c r="K1558">
        <v>16688</v>
      </c>
      <c r="L1558" s="2">
        <v>25.101875</v>
      </c>
      <c r="M1558" s="5">
        <v>158.29599999999999</v>
      </c>
      <c r="N1558" s="1">
        <v>361.97660000000002</v>
      </c>
      <c r="O1558" s="2">
        <v>50.6</v>
      </c>
      <c r="P1558">
        <v>405</v>
      </c>
    </row>
    <row r="1559" spans="1:16" x14ac:dyDescent="0.35">
      <c r="A1559" s="4">
        <v>44958</v>
      </c>
      <c r="B1559" t="s">
        <v>16</v>
      </c>
      <c r="C1559" t="s">
        <v>13</v>
      </c>
      <c r="D1559">
        <v>1</v>
      </c>
      <c r="E1559" s="2">
        <v>5800</v>
      </c>
      <c r="F1559" s="2">
        <f t="shared" si="247"/>
        <v>5755.6875</v>
      </c>
      <c r="G1559" s="3">
        <v>0</v>
      </c>
      <c r="H1559">
        <v>0</v>
      </c>
      <c r="I1559">
        <v>1377.4</v>
      </c>
      <c r="J1559">
        <v>16912</v>
      </c>
      <c r="K1559">
        <v>16688</v>
      </c>
      <c r="L1559" s="2">
        <v>25.101875</v>
      </c>
      <c r="M1559" s="5">
        <v>158.29599999999999</v>
      </c>
      <c r="N1559" s="1">
        <v>361.97660000000002</v>
      </c>
      <c r="O1559" s="2">
        <v>50.6</v>
      </c>
      <c r="P1559">
        <v>405</v>
      </c>
    </row>
    <row r="1560" spans="1:16" x14ac:dyDescent="0.35">
      <c r="A1560" s="4">
        <v>44958</v>
      </c>
      <c r="B1560" t="s">
        <v>16</v>
      </c>
      <c r="C1560" t="s">
        <v>14</v>
      </c>
      <c r="D1560">
        <v>1</v>
      </c>
      <c r="E1560" s="2">
        <f>(6325+6200+6100+6050)/4</f>
        <v>6168.75</v>
      </c>
      <c r="F1560" s="2">
        <f t="shared" si="247"/>
        <v>5755.6875</v>
      </c>
      <c r="G1560" s="3">
        <v>0</v>
      </c>
      <c r="H1560">
        <v>0</v>
      </c>
      <c r="I1560">
        <v>1377.4</v>
      </c>
      <c r="J1560">
        <v>16912</v>
      </c>
      <c r="K1560">
        <v>16688</v>
      </c>
      <c r="L1560" s="2">
        <v>25.101875</v>
      </c>
      <c r="M1560" s="5">
        <v>158.29599999999999</v>
      </c>
      <c r="N1560" s="1">
        <v>361.97660000000002</v>
      </c>
      <c r="O1560" s="2">
        <v>50.6</v>
      </c>
      <c r="P1560">
        <v>405</v>
      </c>
    </row>
    <row r="1561" spans="1:16" x14ac:dyDescent="0.35">
      <c r="A1561" s="4">
        <v>44958</v>
      </c>
      <c r="B1561" t="s">
        <v>16</v>
      </c>
      <c r="C1561" t="s">
        <v>15</v>
      </c>
      <c r="D1561">
        <v>0</v>
      </c>
      <c r="E1561" s="2" t="s">
        <v>27</v>
      </c>
      <c r="F1561" s="2">
        <f t="shared" si="247"/>
        <v>5755.6875</v>
      </c>
      <c r="G1561" s="3">
        <v>0</v>
      </c>
      <c r="H1561">
        <v>0</v>
      </c>
      <c r="I1561">
        <v>1377.4</v>
      </c>
      <c r="J1561">
        <v>16912</v>
      </c>
      <c r="K1561">
        <v>16688</v>
      </c>
      <c r="L1561" s="2">
        <v>25.101875</v>
      </c>
      <c r="M1561" s="5">
        <v>158.29599999999999</v>
      </c>
      <c r="N1561" s="1">
        <v>361.97660000000002</v>
      </c>
      <c r="O1561" s="2">
        <v>50.6</v>
      </c>
      <c r="P1561">
        <v>405</v>
      </c>
    </row>
    <row r="1562" spans="1:16" x14ac:dyDescent="0.35">
      <c r="A1562" s="4">
        <v>44958</v>
      </c>
      <c r="B1562" t="s">
        <v>17</v>
      </c>
      <c r="C1562" t="s">
        <v>10</v>
      </c>
      <c r="D1562">
        <v>1</v>
      </c>
      <c r="E1562" s="2">
        <f>(4900+5633+4800+4533)/4</f>
        <v>4966.5</v>
      </c>
      <c r="F1562" s="2">
        <f>(4539.2+4472.6+4696+4618)/4</f>
        <v>4581.45</v>
      </c>
      <c r="G1562" s="3">
        <v>0</v>
      </c>
      <c r="H1562">
        <v>0</v>
      </c>
      <c r="I1562">
        <v>1377.4</v>
      </c>
      <c r="J1562">
        <v>16912</v>
      </c>
      <c r="K1562">
        <v>16688</v>
      </c>
      <c r="L1562" s="2">
        <v>25.101875</v>
      </c>
      <c r="M1562" s="5">
        <v>158.29599999999999</v>
      </c>
      <c r="N1562" s="1">
        <v>361.97660000000002</v>
      </c>
      <c r="O1562" s="2">
        <v>50.6</v>
      </c>
      <c r="P1562">
        <v>405</v>
      </c>
    </row>
    <row r="1563" spans="1:16" x14ac:dyDescent="0.35">
      <c r="A1563" s="4">
        <v>44958</v>
      </c>
      <c r="B1563" t="s">
        <v>17</v>
      </c>
      <c r="C1563" t="s">
        <v>11</v>
      </c>
      <c r="D1563">
        <v>1</v>
      </c>
      <c r="E1563" s="2">
        <f>4525</f>
        <v>4525</v>
      </c>
      <c r="F1563" s="2">
        <f t="shared" ref="F1563:F1567" si="248">(4539.2+4472.6+4696+4618)/4</f>
        <v>4581.45</v>
      </c>
      <c r="G1563" s="3">
        <v>0</v>
      </c>
      <c r="H1563">
        <v>0</v>
      </c>
      <c r="I1563">
        <v>1377.4</v>
      </c>
      <c r="J1563">
        <v>16912</v>
      </c>
      <c r="K1563">
        <v>16688</v>
      </c>
      <c r="L1563" s="2">
        <v>25.101875</v>
      </c>
      <c r="M1563" s="5">
        <v>158.29599999999999</v>
      </c>
      <c r="N1563" s="1">
        <v>361.97660000000002</v>
      </c>
      <c r="O1563" s="2">
        <v>50.6</v>
      </c>
      <c r="P1563">
        <v>405</v>
      </c>
    </row>
    <row r="1564" spans="1:16" x14ac:dyDescent="0.35">
      <c r="A1564" s="4">
        <v>44958</v>
      </c>
      <c r="B1564" t="s">
        <v>17</v>
      </c>
      <c r="C1564" t="s">
        <v>12</v>
      </c>
      <c r="D1564">
        <v>1</v>
      </c>
      <c r="E1564" s="2">
        <v>4080</v>
      </c>
      <c r="F1564" s="2">
        <f t="shared" si="248"/>
        <v>4581.45</v>
      </c>
      <c r="G1564" s="3">
        <v>0</v>
      </c>
      <c r="H1564">
        <v>0</v>
      </c>
      <c r="I1564">
        <v>1377.4</v>
      </c>
      <c r="J1564">
        <v>16912</v>
      </c>
      <c r="K1564">
        <v>16688</v>
      </c>
      <c r="L1564" s="2">
        <v>25.101875</v>
      </c>
      <c r="M1564" s="5">
        <v>158.29599999999999</v>
      </c>
      <c r="N1564" s="1">
        <v>361.97660000000002</v>
      </c>
      <c r="O1564" s="2">
        <v>50.6</v>
      </c>
      <c r="P1564">
        <v>405</v>
      </c>
    </row>
    <row r="1565" spans="1:16" x14ac:dyDescent="0.35">
      <c r="A1565" s="4">
        <v>44958</v>
      </c>
      <c r="B1565" t="s">
        <v>17</v>
      </c>
      <c r="C1565" t="s">
        <v>13</v>
      </c>
      <c r="D1565">
        <v>1</v>
      </c>
      <c r="E1565" s="2">
        <f>(4150*2+4100+4700)/4</f>
        <v>4275</v>
      </c>
      <c r="F1565" s="2">
        <f t="shared" si="248"/>
        <v>4581.45</v>
      </c>
      <c r="G1565" s="3">
        <v>0</v>
      </c>
      <c r="H1565">
        <v>0</v>
      </c>
      <c r="I1565">
        <v>1377.4</v>
      </c>
      <c r="J1565">
        <v>16912</v>
      </c>
      <c r="K1565">
        <v>16688</v>
      </c>
      <c r="L1565" s="2">
        <v>25.101875</v>
      </c>
      <c r="M1565" s="5">
        <v>158.29599999999999</v>
      </c>
      <c r="N1565" s="1">
        <v>361.97660000000002</v>
      </c>
      <c r="O1565" s="2">
        <v>50.6</v>
      </c>
      <c r="P1565">
        <v>405</v>
      </c>
    </row>
    <row r="1566" spans="1:16" x14ac:dyDescent="0.35">
      <c r="A1566" s="4">
        <v>44958</v>
      </c>
      <c r="B1566" t="s">
        <v>17</v>
      </c>
      <c r="C1566" t="s">
        <v>14</v>
      </c>
      <c r="D1566">
        <v>1</v>
      </c>
      <c r="E1566" s="2">
        <f>(4900+4967+4933+4533)/4</f>
        <v>4833.25</v>
      </c>
      <c r="F1566" s="2">
        <f t="shared" si="248"/>
        <v>4581.45</v>
      </c>
      <c r="G1566" s="3">
        <v>0</v>
      </c>
      <c r="H1566">
        <v>0</v>
      </c>
      <c r="I1566">
        <v>1377.4</v>
      </c>
      <c r="J1566">
        <v>16912</v>
      </c>
      <c r="K1566">
        <v>16688</v>
      </c>
      <c r="L1566" s="2">
        <v>25.101875</v>
      </c>
      <c r="M1566" s="5">
        <v>158.29599999999999</v>
      </c>
      <c r="N1566" s="1">
        <v>361.97660000000002</v>
      </c>
      <c r="O1566" s="2">
        <v>50.6</v>
      </c>
      <c r="P1566">
        <v>405</v>
      </c>
    </row>
    <row r="1567" spans="1:16" x14ac:dyDescent="0.35">
      <c r="A1567" s="4">
        <v>44958</v>
      </c>
      <c r="B1567" t="s">
        <v>17</v>
      </c>
      <c r="C1567" t="s">
        <v>15</v>
      </c>
      <c r="D1567">
        <v>0</v>
      </c>
      <c r="E1567" s="2" t="s">
        <v>27</v>
      </c>
      <c r="F1567" s="2">
        <f t="shared" si="248"/>
        <v>4581.45</v>
      </c>
      <c r="G1567" s="3">
        <v>0</v>
      </c>
      <c r="H1567">
        <v>0</v>
      </c>
      <c r="I1567">
        <v>1377.4</v>
      </c>
      <c r="J1567">
        <v>16912</v>
      </c>
      <c r="K1567">
        <v>16688</v>
      </c>
      <c r="L1567" s="2">
        <v>25.101875</v>
      </c>
      <c r="M1567" s="5">
        <v>158.29599999999999</v>
      </c>
      <c r="N1567" s="1">
        <v>361.97660000000002</v>
      </c>
      <c r="O1567" s="2">
        <v>50.6</v>
      </c>
      <c r="P1567">
        <v>405</v>
      </c>
    </row>
    <row r="1568" spans="1:16" x14ac:dyDescent="0.35">
      <c r="A1568" s="4">
        <v>44958</v>
      </c>
      <c r="B1568" t="s">
        <v>18</v>
      </c>
      <c r="C1568" t="s">
        <v>10</v>
      </c>
      <c r="D1568">
        <v>1</v>
      </c>
      <c r="E1568" s="2">
        <f>(4500+4150+3550+4183)/4</f>
        <v>4095.75</v>
      </c>
      <c r="F1568" s="2">
        <f>(3901+3875.75+3708.13+3716)/4</f>
        <v>3800.2200000000003</v>
      </c>
      <c r="G1568" s="3">
        <v>0</v>
      </c>
      <c r="H1568">
        <v>0</v>
      </c>
      <c r="I1568">
        <v>1377.4</v>
      </c>
      <c r="J1568">
        <v>16912</v>
      </c>
      <c r="K1568">
        <v>16688</v>
      </c>
      <c r="L1568" s="2">
        <v>25.101875</v>
      </c>
      <c r="M1568" s="5">
        <v>158.29599999999999</v>
      </c>
      <c r="N1568" s="1">
        <v>361.97660000000002</v>
      </c>
      <c r="O1568" s="2">
        <v>50.6</v>
      </c>
      <c r="P1568">
        <v>405</v>
      </c>
    </row>
    <row r="1569" spans="1:16" x14ac:dyDescent="0.35">
      <c r="A1569" s="4">
        <v>44958</v>
      </c>
      <c r="B1569" t="s">
        <v>18</v>
      </c>
      <c r="C1569" t="s">
        <v>11</v>
      </c>
      <c r="D1569">
        <v>1</v>
      </c>
      <c r="E1569" s="2">
        <v>4100</v>
      </c>
      <c r="F1569" s="2">
        <f t="shared" ref="F1569:F1573" si="249">(3901+3875.75+3708.13+3716)/4</f>
        <v>3800.2200000000003</v>
      </c>
      <c r="G1569" s="3">
        <v>0</v>
      </c>
      <c r="H1569">
        <v>0</v>
      </c>
      <c r="I1569">
        <v>1377.4</v>
      </c>
      <c r="J1569">
        <v>16912</v>
      </c>
      <c r="K1569">
        <v>16688</v>
      </c>
      <c r="L1569" s="2">
        <v>25.101875</v>
      </c>
      <c r="M1569" s="5">
        <v>158.29599999999999</v>
      </c>
      <c r="N1569" s="1">
        <v>361.97660000000002</v>
      </c>
      <c r="O1569" s="2">
        <v>50.6</v>
      </c>
      <c r="P1569">
        <v>405</v>
      </c>
    </row>
    <row r="1570" spans="1:16" x14ac:dyDescent="0.35">
      <c r="A1570" s="4">
        <v>44958</v>
      </c>
      <c r="B1570" t="s">
        <v>18</v>
      </c>
      <c r="C1570" t="s">
        <v>12</v>
      </c>
      <c r="D1570">
        <v>1</v>
      </c>
      <c r="E1570" s="2">
        <v>3467.5</v>
      </c>
      <c r="F1570" s="2">
        <f t="shared" si="249"/>
        <v>3800.2200000000003</v>
      </c>
      <c r="G1570" s="3">
        <v>0</v>
      </c>
      <c r="H1570">
        <v>0</v>
      </c>
      <c r="I1570">
        <v>1377.4</v>
      </c>
      <c r="J1570">
        <v>16912</v>
      </c>
      <c r="K1570">
        <v>16688</v>
      </c>
      <c r="L1570" s="2">
        <v>25.101875</v>
      </c>
      <c r="M1570" s="5">
        <v>158.29599999999999</v>
      </c>
      <c r="N1570" s="1">
        <v>361.97660000000002</v>
      </c>
      <c r="O1570" s="2">
        <v>50.6</v>
      </c>
      <c r="P1570">
        <v>405</v>
      </c>
    </row>
    <row r="1571" spans="1:16" x14ac:dyDescent="0.35">
      <c r="A1571" s="4">
        <v>44958</v>
      </c>
      <c r="B1571" t="s">
        <v>18</v>
      </c>
      <c r="C1571" t="s">
        <v>13</v>
      </c>
      <c r="D1571">
        <v>1</v>
      </c>
      <c r="E1571" s="2">
        <v>3750</v>
      </c>
      <c r="F1571" s="2">
        <f t="shared" si="249"/>
        <v>3800.2200000000003</v>
      </c>
      <c r="G1571" s="3">
        <v>0</v>
      </c>
      <c r="H1571">
        <v>0</v>
      </c>
      <c r="I1571">
        <v>1377.4</v>
      </c>
      <c r="J1571">
        <v>16912</v>
      </c>
      <c r="K1571">
        <v>16688</v>
      </c>
      <c r="L1571" s="2">
        <v>25.101875</v>
      </c>
      <c r="M1571" s="5">
        <v>158.29599999999999</v>
      </c>
      <c r="N1571" s="1">
        <v>361.97660000000002</v>
      </c>
      <c r="O1571" s="2">
        <v>50.6</v>
      </c>
      <c r="P1571">
        <v>405</v>
      </c>
    </row>
    <row r="1572" spans="1:16" x14ac:dyDescent="0.35">
      <c r="A1572" s="4">
        <v>44958</v>
      </c>
      <c r="B1572" t="s">
        <v>18</v>
      </c>
      <c r="C1572" t="s">
        <v>14</v>
      </c>
      <c r="D1572">
        <v>1</v>
      </c>
      <c r="E1572" s="2">
        <f>(3625*2+3933+3938)/4</f>
        <v>3780.25</v>
      </c>
      <c r="F1572" s="2">
        <f t="shared" si="249"/>
        <v>3800.2200000000003</v>
      </c>
      <c r="G1572" s="3">
        <v>0</v>
      </c>
      <c r="H1572">
        <v>0</v>
      </c>
      <c r="I1572">
        <v>1377.4</v>
      </c>
      <c r="J1572">
        <v>16912</v>
      </c>
      <c r="K1572">
        <v>16688</v>
      </c>
      <c r="L1572" s="2">
        <v>25.101875</v>
      </c>
      <c r="M1572" s="5">
        <v>158.29599999999999</v>
      </c>
      <c r="N1572" s="1">
        <v>361.97660000000002</v>
      </c>
      <c r="O1572" s="2">
        <v>50.6</v>
      </c>
      <c r="P1572">
        <v>405</v>
      </c>
    </row>
    <row r="1573" spans="1:16" x14ac:dyDescent="0.35">
      <c r="A1573" s="4">
        <v>44958</v>
      </c>
      <c r="B1573" t="s">
        <v>18</v>
      </c>
      <c r="C1573" t="s">
        <v>15</v>
      </c>
      <c r="D1573">
        <v>1</v>
      </c>
      <c r="E1573" s="2">
        <f>(3400+3775+3750+3850)/4</f>
        <v>3693.75</v>
      </c>
      <c r="F1573" s="2">
        <f t="shared" si="249"/>
        <v>3800.2200000000003</v>
      </c>
      <c r="G1573" s="3">
        <v>0</v>
      </c>
      <c r="H1573">
        <v>0</v>
      </c>
      <c r="I1573">
        <v>1377.4</v>
      </c>
      <c r="J1573">
        <v>16912</v>
      </c>
      <c r="K1573">
        <v>16688</v>
      </c>
      <c r="L1573" s="2">
        <v>25.101875</v>
      </c>
      <c r="M1573" s="5">
        <v>158.29599999999999</v>
      </c>
      <c r="N1573" s="1">
        <v>361.97660000000002</v>
      </c>
      <c r="O1573" s="2">
        <v>50.6</v>
      </c>
      <c r="P1573">
        <v>405</v>
      </c>
    </row>
    <row r="1574" spans="1:16" x14ac:dyDescent="0.35">
      <c r="A1574" s="4">
        <v>44958</v>
      </c>
      <c r="B1574" t="s">
        <v>19</v>
      </c>
      <c r="C1574" t="s">
        <v>10</v>
      </c>
      <c r="D1574">
        <v>1</v>
      </c>
      <c r="E1574" s="2">
        <f>(3533+3300+3700+3833)/4</f>
        <v>3591.5</v>
      </c>
      <c r="F1574" s="2">
        <f>(3318.11+3493.33+3545.25+3583)/4</f>
        <v>3484.9225000000001</v>
      </c>
      <c r="G1574" s="3">
        <v>0</v>
      </c>
      <c r="H1574">
        <v>0</v>
      </c>
      <c r="I1574">
        <v>1377.4</v>
      </c>
      <c r="J1574">
        <v>16912</v>
      </c>
      <c r="K1574">
        <v>16688</v>
      </c>
      <c r="L1574" s="2">
        <v>25.101875</v>
      </c>
      <c r="M1574" s="5">
        <v>158.29599999999999</v>
      </c>
      <c r="N1574" s="1">
        <v>361.97660000000002</v>
      </c>
      <c r="O1574" s="2">
        <v>50.6</v>
      </c>
      <c r="P1574">
        <v>405</v>
      </c>
    </row>
    <row r="1575" spans="1:16" x14ac:dyDescent="0.35">
      <c r="A1575" s="4">
        <v>44958</v>
      </c>
      <c r="B1575" t="s">
        <v>19</v>
      </c>
      <c r="C1575" t="s">
        <v>11</v>
      </c>
      <c r="D1575">
        <v>1</v>
      </c>
      <c r="E1575" s="2">
        <f>(3300+3800+4000*2)/4</f>
        <v>3775</v>
      </c>
      <c r="F1575" s="2">
        <f t="shared" ref="F1575:F1579" si="250">(3318.11+3493.33+3545.25+3583)/4</f>
        <v>3484.9225000000001</v>
      </c>
      <c r="G1575" s="3">
        <v>0</v>
      </c>
      <c r="H1575">
        <v>0</v>
      </c>
      <c r="I1575">
        <v>1377.4</v>
      </c>
      <c r="J1575">
        <v>16912</v>
      </c>
      <c r="K1575">
        <v>16688</v>
      </c>
      <c r="L1575" s="2">
        <v>25.101875</v>
      </c>
      <c r="M1575" s="5">
        <v>158.29599999999999</v>
      </c>
      <c r="N1575" s="1">
        <v>361.97660000000002</v>
      </c>
      <c r="O1575" s="2">
        <v>50.6</v>
      </c>
      <c r="P1575">
        <v>405</v>
      </c>
    </row>
    <row r="1576" spans="1:16" x14ac:dyDescent="0.35">
      <c r="A1576" s="4">
        <v>44958</v>
      </c>
      <c r="B1576" t="s">
        <v>19</v>
      </c>
      <c r="C1576" t="s">
        <v>12</v>
      </c>
      <c r="D1576">
        <v>1</v>
      </c>
      <c r="E1576" s="2">
        <v>3370</v>
      </c>
      <c r="F1576" s="2">
        <f t="shared" si="250"/>
        <v>3484.9225000000001</v>
      </c>
      <c r="G1576" s="3">
        <v>0</v>
      </c>
      <c r="H1576">
        <v>0</v>
      </c>
      <c r="I1576">
        <v>1377.4</v>
      </c>
      <c r="J1576">
        <v>16912</v>
      </c>
      <c r="K1576">
        <v>16688</v>
      </c>
      <c r="L1576" s="2">
        <v>25.101875</v>
      </c>
      <c r="M1576" s="5">
        <v>158.29599999999999</v>
      </c>
      <c r="N1576" s="1">
        <v>361.97660000000002</v>
      </c>
      <c r="O1576" s="2">
        <v>50.6</v>
      </c>
      <c r="P1576">
        <v>405</v>
      </c>
    </row>
    <row r="1577" spans="1:16" x14ac:dyDescent="0.35">
      <c r="A1577" s="4">
        <v>44958</v>
      </c>
      <c r="B1577" t="s">
        <v>19</v>
      </c>
      <c r="C1577" t="s">
        <v>13</v>
      </c>
      <c r="D1577">
        <v>1</v>
      </c>
      <c r="E1577" s="2">
        <v>3550</v>
      </c>
      <c r="F1577" s="2">
        <f t="shared" si="250"/>
        <v>3484.9225000000001</v>
      </c>
      <c r="G1577" s="3">
        <v>0</v>
      </c>
      <c r="H1577">
        <v>0</v>
      </c>
      <c r="I1577">
        <v>1377.4</v>
      </c>
      <c r="J1577">
        <v>16912</v>
      </c>
      <c r="K1577">
        <v>16688</v>
      </c>
      <c r="L1577" s="2">
        <v>25.101875</v>
      </c>
      <c r="M1577" s="5">
        <v>158.29599999999999</v>
      </c>
      <c r="N1577" s="1">
        <v>361.97660000000002</v>
      </c>
      <c r="O1577" s="2">
        <v>50.6</v>
      </c>
      <c r="P1577">
        <v>405</v>
      </c>
    </row>
    <row r="1578" spans="1:16" x14ac:dyDescent="0.35">
      <c r="A1578" s="4">
        <v>44958</v>
      </c>
      <c r="B1578" t="s">
        <v>19</v>
      </c>
      <c r="C1578" t="s">
        <v>14</v>
      </c>
      <c r="D1578">
        <v>1</v>
      </c>
      <c r="E1578" s="2">
        <f>(3736+3692+3520+3360)/4</f>
        <v>3577</v>
      </c>
      <c r="F1578" s="2">
        <f t="shared" si="250"/>
        <v>3484.9225000000001</v>
      </c>
      <c r="G1578" s="3">
        <v>0</v>
      </c>
      <c r="H1578">
        <v>0</v>
      </c>
      <c r="I1578">
        <v>1377.4</v>
      </c>
      <c r="J1578">
        <v>16912</v>
      </c>
      <c r="K1578">
        <v>16688</v>
      </c>
      <c r="L1578" s="2">
        <v>25.101875</v>
      </c>
      <c r="M1578" s="5">
        <v>158.29599999999999</v>
      </c>
      <c r="N1578" s="1">
        <v>361.97660000000002</v>
      </c>
      <c r="O1578" s="2">
        <v>50.6</v>
      </c>
      <c r="P1578">
        <v>405</v>
      </c>
    </row>
    <row r="1579" spans="1:16" x14ac:dyDescent="0.35">
      <c r="A1579" s="4">
        <v>44958</v>
      </c>
      <c r="B1579" t="s">
        <v>19</v>
      </c>
      <c r="C1579" t="s">
        <v>15</v>
      </c>
      <c r="D1579">
        <v>1</v>
      </c>
      <c r="E1579" s="2">
        <f>(3600+3700*2+3250)/4</f>
        <v>3562.5</v>
      </c>
      <c r="F1579" s="2">
        <f t="shared" si="250"/>
        <v>3484.9225000000001</v>
      </c>
      <c r="G1579" s="3">
        <v>0</v>
      </c>
      <c r="H1579">
        <v>0</v>
      </c>
      <c r="I1579">
        <v>1377.4</v>
      </c>
      <c r="J1579">
        <v>16912</v>
      </c>
      <c r="K1579">
        <v>16688</v>
      </c>
      <c r="L1579" s="2">
        <v>25.101875</v>
      </c>
      <c r="M1579" s="5">
        <v>158.29599999999999</v>
      </c>
      <c r="N1579" s="1">
        <v>361.97660000000002</v>
      </c>
      <c r="O1579" s="2">
        <v>50.6</v>
      </c>
      <c r="P1579">
        <v>405</v>
      </c>
    </row>
    <row r="1580" spans="1:16" x14ac:dyDescent="0.35">
      <c r="A1580" s="4">
        <v>44958</v>
      </c>
      <c r="B1580" t="s">
        <v>20</v>
      </c>
      <c r="C1580" t="s">
        <v>10</v>
      </c>
      <c r="D1580">
        <v>1</v>
      </c>
      <c r="E1580" s="2">
        <f>(3033+3100+2950+2900)/4</f>
        <v>2995.75</v>
      </c>
      <c r="F1580" s="2">
        <f>(2931.25+2992.25+3023.5+3042.25)/4</f>
        <v>2997.3125</v>
      </c>
      <c r="G1580" s="3">
        <v>0</v>
      </c>
      <c r="H1580">
        <v>0</v>
      </c>
      <c r="I1580">
        <v>1377.4</v>
      </c>
      <c r="J1580">
        <v>16912</v>
      </c>
      <c r="K1580">
        <v>16688</v>
      </c>
      <c r="L1580" s="2">
        <v>25.101875</v>
      </c>
      <c r="M1580" s="5">
        <v>158.29599999999999</v>
      </c>
      <c r="N1580" s="1">
        <v>361.97660000000002</v>
      </c>
      <c r="O1580" s="2">
        <v>50.6</v>
      </c>
      <c r="P1580">
        <v>405</v>
      </c>
    </row>
    <row r="1581" spans="1:16" x14ac:dyDescent="0.35">
      <c r="A1581" s="4">
        <v>44958</v>
      </c>
      <c r="B1581" t="s">
        <v>20</v>
      </c>
      <c r="C1581" t="s">
        <v>11</v>
      </c>
      <c r="D1581">
        <v>1</v>
      </c>
      <c r="E1581" s="2">
        <v>3125</v>
      </c>
      <c r="F1581" s="2">
        <f t="shared" ref="F1581:F1585" si="251">(2931.25+2992.25+3023.5+3042.25)/4</f>
        <v>2997.3125</v>
      </c>
      <c r="G1581" s="3">
        <v>0</v>
      </c>
      <c r="H1581">
        <v>0</v>
      </c>
      <c r="I1581">
        <v>1377.4</v>
      </c>
      <c r="J1581">
        <v>16912</v>
      </c>
      <c r="K1581">
        <v>16688</v>
      </c>
      <c r="L1581" s="2">
        <v>25.101875</v>
      </c>
      <c r="M1581" s="5">
        <v>158.29599999999999</v>
      </c>
      <c r="N1581" s="1">
        <v>361.97660000000002</v>
      </c>
      <c r="O1581" s="2">
        <v>50.6</v>
      </c>
      <c r="P1581">
        <v>405</v>
      </c>
    </row>
    <row r="1582" spans="1:16" x14ac:dyDescent="0.35">
      <c r="A1582" s="4">
        <v>44958</v>
      </c>
      <c r="B1582" t="s">
        <v>20</v>
      </c>
      <c r="C1582" t="s">
        <v>12</v>
      </c>
      <c r="D1582">
        <v>1</v>
      </c>
      <c r="E1582" s="2">
        <v>2900</v>
      </c>
      <c r="F1582" s="2">
        <f t="shared" si="251"/>
        <v>2997.3125</v>
      </c>
      <c r="G1582" s="3">
        <v>0</v>
      </c>
      <c r="H1582">
        <v>0</v>
      </c>
      <c r="I1582">
        <v>1377.4</v>
      </c>
      <c r="J1582">
        <v>16912</v>
      </c>
      <c r="K1582">
        <v>16688</v>
      </c>
      <c r="L1582" s="2">
        <v>25.101875</v>
      </c>
      <c r="M1582" s="5">
        <v>158.29599999999999</v>
      </c>
      <c r="N1582" s="1">
        <v>361.97660000000002</v>
      </c>
      <c r="O1582" s="2">
        <v>50.6</v>
      </c>
      <c r="P1582">
        <v>405</v>
      </c>
    </row>
    <row r="1583" spans="1:16" x14ac:dyDescent="0.35">
      <c r="A1583" s="4">
        <v>44958</v>
      </c>
      <c r="B1583" t="s">
        <v>20</v>
      </c>
      <c r="C1583" t="s">
        <v>13</v>
      </c>
      <c r="D1583">
        <v>1</v>
      </c>
      <c r="E1583" s="2">
        <v>3087.5</v>
      </c>
      <c r="F1583" s="2">
        <f t="shared" si="251"/>
        <v>2997.3125</v>
      </c>
      <c r="G1583" s="3">
        <v>0</v>
      </c>
      <c r="H1583">
        <v>0</v>
      </c>
      <c r="I1583">
        <v>1377.4</v>
      </c>
      <c r="J1583">
        <v>16912</v>
      </c>
      <c r="K1583">
        <v>16688</v>
      </c>
      <c r="L1583" s="2">
        <v>25.101875</v>
      </c>
      <c r="M1583" s="5">
        <v>158.29599999999999</v>
      </c>
      <c r="N1583" s="1">
        <v>361.97660000000002</v>
      </c>
      <c r="O1583" s="2">
        <v>50.6</v>
      </c>
      <c r="P1583">
        <v>405</v>
      </c>
    </row>
    <row r="1584" spans="1:16" x14ac:dyDescent="0.35">
      <c r="A1584" s="4">
        <v>44958</v>
      </c>
      <c r="B1584" t="s">
        <v>20</v>
      </c>
      <c r="C1584" t="s">
        <v>14</v>
      </c>
      <c r="D1584">
        <v>1</v>
      </c>
      <c r="E1584" s="2">
        <f>(3230+3263+3000+3138)/4</f>
        <v>3157.75</v>
      </c>
      <c r="F1584" s="2">
        <f t="shared" si="251"/>
        <v>2997.3125</v>
      </c>
      <c r="G1584" s="3">
        <v>0</v>
      </c>
      <c r="H1584">
        <v>0</v>
      </c>
      <c r="I1584">
        <v>1377.4</v>
      </c>
      <c r="J1584">
        <v>16912</v>
      </c>
      <c r="K1584">
        <v>16688</v>
      </c>
      <c r="L1584" s="2">
        <v>25.101875</v>
      </c>
      <c r="M1584" s="5">
        <v>158.29599999999999</v>
      </c>
      <c r="N1584" s="1">
        <v>361.97660000000002</v>
      </c>
      <c r="O1584" s="2">
        <v>50.6</v>
      </c>
      <c r="P1584">
        <v>405</v>
      </c>
    </row>
    <row r="1585" spans="1:16" x14ac:dyDescent="0.35">
      <c r="A1585" s="4">
        <v>44958</v>
      </c>
      <c r="B1585" t="s">
        <v>20</v>
      </c>
      <c r="C1585" t="s">
        <v>15</v>
      </c>
      <c r="D1585">
        <v>1</v>
      </c>
      <c r="E1585" s="2">
        <f>(3225*2+3000+2950)/4</f>
        <v>3100</v>
      </c>
      <c r="F1585" s="2">
        <f t="shared" si="251"/>
        <v>2997.3125</v>
      </c>
      <c r="G1585" s="3">
        <v>0</v>
      </c>
      <c r="H1585">
        <v>0</v>
      </c>
      <c r="I1585">
        <v>1377.4</v>
      </c>
      <c r="J1585">
        <v>16912</v>
      </c>
      <c r="K1585">
        <v>16688</v>
      </c>
      <c r="L1585" s="2">
        <v>25.101875</v>
      </c>
      <c r="M1585" s="5">
        <v>158.29599999999999</v>
      </c>
      <c r="N1585" s="1">
        <v>361.97660000000002</v>
      </c>
      <c r="O1585" s="2">
        <v>50.6</v>
      </c>
      <c r="P1585">
        <v>405</v>
      </c>
    </row>
    <row r="1586" spans="1:16" x14ac:dyDescent="0.35">
      <c r="A1586" s="4">
        <v>44958</v>
      </c>
      <c r="B1586" t="s">
        <v>21</v>
      </c>
      <c r="C1586" t="s">
        <v>10</v>
      </c>
      <c r="D1586">
        <v>1</v>
      </c>
      <c r="E1586" s="2">
        <f>(2816+2833+2816+2700)/4</f>
        <v>2791.25</v>
      </c>
      <c r="F1586" s="2">
        <f>(2697.38+2827.5+2823.5+2870.75)/4</f>
        <v>2804.7825000000003</v>
      </c>
      <c r="G1586" s="3">
        <v>0</v>
      </c>
      <c r="H1586">
        <v>0</v>
      </c>
      <c r="I1586">
        <v>1377.4</v>
      </c>
      <c r="J1586">
        <v>16912</v>
      </c>
      <c r="K1586">
        <v>16688</v>
      </c>
      <c r="L1586" s="2">
        <v>25.101875</v>
      </c>
      <c r="M1586" s="5">
        <v>158.29599999999999</v>
      </c>
      <c r="N1586" s="1">
        <v>361.97660000000002</v>
      </c>
      <c r="O1586" s="2">
        <v>50.6</v>
      </c>
      <c r="P1586">
        <v>405</v>
      </c>
    </row>
    <row r="1587" spans="1:16" x14ac:dyDescent="0.35">
      <c r="A1587" s="4">
        <v>44958</v>
      </c>
      <c r="B1587" t="s">
        <v>21</v>
      </c>
      <c r="C1587" t="s">
        <v>11</v>
      </c>
      <c r="D1587">
        <v>1</v>
      </c>
      <c r="E1587" s="2">
        <v>2975</v>
      </c>
      <c r="F1587" s="2">
        <f t="shared" ref="F1587:F1591" si="252">(2697.38+2827.5+2823.5+2870.75)/4</f>
        <v>2804.7825000000003</v>
      </c>
      <c r="G1587" s="3">
        <v>0</v>
      </c>
      <c r="H1587">
        <v>0</v>
      </c>
      <c r="I1587">
        <v>1377.4</v>
      </c>
      <c r="J1587">
        <v>16912</v>
      </c>
      <c r="K1587">
        <v>16688</v>
      </c>
      <c r="L1587" s="2">
        <v>25.101875</v>
      </c>
      <c r="M1587" s="5">
        <v>158.29599999999999</v>
      </c>
      <c r="N1587" s="1">
        <v>361.97660000000002</v>
      </c>
      <c r="O1587" s="2">
        <v>50.6</v>
      </c>
      <c r="P1587">
        <v>405</v>
      </c>
    </row>
    <row r="1588" spans="1:16" x14ac:dyDescent="0.35">
      <c r="A1588" s="4">
        <v>44958</v>
      </c>
      <c r="B1588" t="s">
        <v>21</v>
      </c>
      <c r="C1588" t="s">
        <v>12</v>
      </c>
      <c r="D1588">
        <v>1</v>
      </c>
      <c r="E1588" s="2">
        <v>2700</v>
      </c>
      <c r="F1588" s="2">
        <f t="shared" si="252"/>
        <v>2804.7825000000003</v>
      </c>
      <c r="G1588" s="3">
        <v>0</v>
      </c>
      <c r="H1588">
        <v>0</v>
      </c>
      <c r="I1588">
        <v>1377.4</v>
      </c>
      <c r="J1588">
        <v>16912</v>
      </c>
      <c r="K1588">
        <v>16688</v>
      </c>
      <c r="L1588" s="2">
        <v>25.101875</v>
      </c>
      <c r="M1588" s="5">
        <v>158.29599999999999</v>
      </c>
      <c r="N1588" s="1">
        <v>361.97660000000002</v>
      </c>
      <c r="O1588" s="2">
        <v>50.6</v>
      </c>
      <c r="P1588">
        <v>405</v>
      </c>
    </row>
    <row r="1589" spans="1:16" x14ac:dyDescent="0.35">
      <c r="A1589" s="4">
        <v>44958</v>
      </c>
      <c r="B1589" t="s">
        <v>21</v>
      </c>
      <c r="C1589" t="s">
        <v>13</v>
      </c>
      <c r="D1589">
        <v>1</v>
      </c>
      <c r="E1589" s="2">
        <f>(2925*2+3050+2950)/4</f>
        <v>2962.5</v>
      </c>
      <c r="F1589" s="2">
        <f t="shared" si="252"/>
        <v>2804.7825000000003</v>
      </c>
      <c r="G1589" s="3">
        <v>0</v>
      </c>
      <c r="H1589">
        <v>0</v>
      </c>
      <c r="I1589">
        <v>1377.4</v>
      </c>
      <c r="J1589">
        <v>16912</v>
      </c>
      <c r="K1589">
        <v>16688</v>
      </c>
      <c r="L1589" s="2">
        <v>25.101875</v>
      </c>
      <c r="M1589" s="5">
        <v>158.29599999999999</v>
      </c>
      <c r="N1589" s="1">
        <v>361.97660000000002</v>
      </c>
      <c r="O1589" s="2">
        <v>50.6</v>
      </c>
      <c r="P1589">
        <v>405</v>
      </c>
    </row>
    <row r="1590" spans="1:16" x14ac:dyDescent="0.35">
      <c r="A1590" s="4">
        <v>44958</v>
      </c>
      <c r="B1590" t="s">
        <v>21</v>
      </c>
      <c r="C1590" t="s">
        <v>14</v>
      </c>
      <c r="D1590">
        <v>1</v>
      </c>
      <c r="E1590" s="2">
        <f>(3000+3020+2929+2814)/4</f>
        <v>2940.75</v>
      </c>
      <c r="F1590" s="2">
        <f t="shared" si="252"/>
        <v>2804.7825000000003</v>
      </c>
      <c r="G1590" s="3">
        <v>0</v>
      </c>
      <c r="H1590">
        <v>0</v>
      </c>
      <c r="I1590">
        <v>1377.4</v>
      </c>
      <c r="J1590">
        <v>16912</v>
      </c>
      <c r="K1590">
        <v>16688</v>
      </c>
      <c r="L1590" s="2">
        <v>25.101875</v>
      </c>
      <c r="M1590" s="5">
        <v>158.29599999999999</v>
      </c>
      <c r="N1590" s="1">
        <v>361.97660000000002</v>
      </c>
      <c r="O1590" s="2">
        <v>50.6</v>
      </c>
      <c r="P1590">
        <v>405</v>
      </c>
    </row>
    <row r="1591" spans="1:16" x14ac:dyDescent="0.35">
      <c r="A1591" s="4">
        <v>44958</v>
      </c>
      <c r="B1591" t="s">
        <v>21</v>
      </c>
      <c r="C1591" t="s">
        <v>15</v>
      </c>
      <c r="D1591">
        <v>1</v>
      </c>
      <c r="E1591" s="2">
        <f>(3200+3125+2900+2700)/4</f>
        <v>2981.25</v>
      </c>
      <c r="F1591" s="2">
        <f t="shared" si="252"/>
        <v>2804.7825000000003</v>
      </c>
      <c r="G1591" s="3">
        <v>0</v>
      </c>
      <c r="H1591">
        <v>0</v>
      </c>
      <c r="I1591">
        <v>1377.4</v>
      </c>
      <c r="J1591">
        <v>16912</v>
      </c>
      <c r="K1591">
        <v>16688</v>
      </c>
      <c r="L1591" s="2">
        <v>25.101875</v>
      </c>
      <c r="M1591" s="5">
        <v>158.29599999999999</v>
      </c>
      <c r="N1591" s="1">
        <v>361.97660000000002</v>
      </c>
      <c r="O1591" s="2">
        <v>50.6</v>
      </c>
      <c r="P1591">
        <v>405</v>
      </c>
    </row>
    <row r="1592" spans="1:16" x14ac:dyDescent="0.35">
      <c r="A1592" s="4">
        <v>44958</v>
      </c>
      <c r="B1592" t="s">
        <v>22</v>
      </c>
      <c r="C1592" t="s">
        <v>10</v>
      </c>
      <c r="D1592">
        <v>0</v>
      </c>
      <c r="E1592" s="2" t="s">
        <v>27</v>
      </c>
      <c r="F1592" s="2">
        <f t="shared" ref="F1592:F1595" si="253">(2580+2475+2533+2233)/4</f>
        <v>2455.25</v>
      </c>
      <c r="G1592" s="3">
        <v>0</v>
      </c>
      <c r="H1592">
        <v>0</v>
      </c>
      <c r="I1592">
        <v>1377.4</v>
      </c>
      <c r="J1592">
        <v>16912</v>
      </c>
      <c r="K1592">
        <v>16688</v>
      </c>
      <c r="L1592" s="2">
        <v>25.101875</v>
      </c>
      <c r="M1592" s="5">
        <v>158.29599999999999</v>
      </c>
      <c r="N1592" s="1">
        <v>361.97660000000002</v>
      </c>
      <c r="O1592" s="2">
        <v>50.6</v>
      </c>
      <c r="P1592">
        <v>405</v>
      </c>
    </row>
    <row r="1593" spans="1:16" x14ac:dyDescent="0.35">
      <c r="A1593" s="4">
        <v>44958</v>
      </c>
      <c r="B1593" t="s">
        <v>22</v>
      </c>
      <c r="C1593" t="s">
        <v>11</v>
      </c>
      <c r="D1593">
        <v>0</v>
      </c>
      <c r="E1593" s="2" t="s">
        <v>27</v>
      </c>
      <c r="F1593" s="2">
        <f t="shared" si="253"/>
        <v>2455.25</v>
      </c>
      <c r="G1593" s="3">
        <v>0</v>
      </c>
      <c r="H1593">
        <v>0</v>
      </c>
      <c r="I1593">
        <v>1377.4</v>
      </c>
      <c r="J1593">
        <v>16912</v>
      </c>
      <c r="K1593">
        <v>16688</v>
      </c>
      <c r="L1593" s="2">
        <v>25.101875</v>
      </c>
      <c r="M1593" s="5">
        <v>158.29599999999999</v>
      </c>
      <c r="N1593" s="1">
        <v>361.97660000000002</v>
      </c>
      <c r="O1593" s="2">
        <v>50.6</v>
      </c>
      <c r="P1593">
        <v>405</v>
      </c>
    </row>
    <row r="1594" spans="1:16" x14ac:dyDescent="0.35">
      <c r="A1594" s="4">
        <v>44958</v>
      </c>
      <c r="B1594" t="s">
        <v>22</v>
      </c>
      <c r="C1594" t="s">
        <v>12</v>
      </c>
      <c r="D1594">
        <v>0</v>
      </c>
      <c r="E1594" s="2" t="s">
        <v>27</v>
      </c>
      <c r="F1594" s="2">
        <f t="shared" si="253"/>
        <v>2455.25</v>
      </c>
      <c r="G1594" s="3">
        <v>0</v>
      </c>
      <c r="H1594">
        <v>0</v>
      </c>
      <c r="I1594">
        <v>1377.4</v>
      </c>
      <c r="J1594">
        <v>16912</v>
      </c>
      <c r="K1594">
        <v>16688</v>
      </c>
      <c r="L1594" s="2">
        <v>25.101875</v>
      </c>
      <c r="M1594" s="5">
        <v>158.29599999999999</v>
      </c>
      <c r="N1594" s="1">
        <v>361.97660000000002</v>
      </c>
      <c r="O1594" s="2">
        <v>50.6</v>
      </c>
      <c r="P1594">
        <v>405</v>
      </c>
    </row>
    <row r="1595" spans="1:16" x14ac:dyDescent="0.35">
      <c r="A1595" s="4">
        <v>44958</v>
      </c>
      <c r="B1595" t="s">
        <v>22</v>
      </c>
      <c r="C1595" t="s">
        <v>13</v>
      </c>
      <c r="D1595">
        <v>0</v>
      </c>
      <c r="E1595" s="2" t="s">
        <v>27</v>
      </c>
      <c r="F1595" s="2">
        <f t="shared" si="253"/>
        <v>2455.25</v>
      </c>
      <c r="G1595" s="3">
        <v>0</v>
      </c>
      <c r="H1595">
        <v>0</v>
      </c>
      <c r="I1595">
        <v>1377.4</v>
      </c>
      <c r="J1595">
        <v>16912</v>
      </c>
      <c r="K1595">
        <v>16688</v>
      </c>
      <c r="L1595" s="2">
        <v>25.101875</v>
      </c>
      <c r="M1595" s="5">
        <v>158.29599999999999</v>
      </c>
      <c r="N1595" s="1">
        <v>361.97660000000002</v>
      </c>
      <c r="O1595" s="2">
        <v>50.6</v>
      </c>
      <c r="P1595">
        <v>405</v>
      </c>
    </row>
    <row r="1596" spans="1:16" x14ac:dyDescent="0.35">
      <c r="A1596" s="4">
        <v>44958</v>
      </c>
      <c r="B1596" t="s">
        <v>22</v>
      </c>
      <c r="C1596" t="s">
        <v>14</v>
      </c>
      <c r="D1596">
        <v>1</v>
      </c>
      <c r="E1596" s="2">
        <f>(2580+2475+2533+2233)/4</f>
        <v>2455.25</v>
      </c>
      <c r="F1596" s="2">
        <f>(2580+2475+2533+2233)/4</f>
        <v>2455.25</v>
      </c>
      <c r="G1596" s="3">
        <v>0</v>
      </c>
      <c r="H1596">
        <v>0</v>
      </c>
      <c r="I1596">
        <v>1377.4</v>
      </c>
      <c r="J1596">
        <v>16912</v>
      </c>
      <c r="K1596">
        <v>16688</v>
      </c>
      <c r="L1596" s="2">
        <v>25.101875</v>
      </c>
      <c r="M1596" s="5">
        <v>158.29599999999999</v>
      </c>
      <c r="N1596" s="1">
        <v>361.97660000000002</v>
      </c>
      <c r="O1596" s="2">
        <v>50.6</v>
      </c>
      <c r="P1596">
        <v>405</v>
      </c>
    </row>
    <row r="1597" spans="1:16" x14ac:dyDescent="0.35">
      <c r="A1597" s="4">
        <v>44958</v>
      </c>
      <c r="B1597" t="s">
        <v>22</v>
      </c>
      <c r="C1597" t="s">
        <v>15</v>
      </c>
      <c r="D1597">
        <v>0</v>
      </c>
      <c r="E1597" s="2" t="s">
        <v>27</v>
      </c>
      <c r="F1597" s="2">
        <f>(2580+2475+2533+2233)/4</f>
        <v>2455.25</v>
      </c>
      <c r="G1597" s="3">
        <v>0</v>
      </c>
      <c r="H1597">
        <v>0</v>
      </c>
      <c r="I1597">
        <v>1377.4</v>
      </c>
      <c r="J1597">
        <v>16912</v>
      </c>
      <c r="K1597">
        <v>16688</v>
      </c>
      <c r="L1597" s="2">
        <v>25.101875</v>
      </c>
      <c r="M1597" s="5">
        <v>158.29599999999999</v>
      </c>
      <c r="N1597" s="1">
        <v>361.97660000000002</v>
      </c>
      <c r="O1597" s="2">
        <v>50.6</v>
      </c>
      <c r="P1597">
        <v>405</v>
      </c>
    </row>
    <row r="1598" spans="1:16" x14ac:dyDescent="0.35">
      <c r="A1598" s="4">
        <v>44986</v>
      </c>
      <c r="B1598" t="s">
        <v>16</v>
      </c>
      <c r="C1598" t="s">
        <v>10</v>
      </c>
      <c r="D1598">
        <v>1</v>
      </c>
      <c r="E1598" s="2">
        <f>(5000+5333+5516+4000)/4</f>
        <v>4962.25</v>
      </c>
      <c r="F1598" s="2">
        <f>(4929.25+5366.5+5079+4987.5)/4</f>
        <v>5090.5625</v>
      </c>
      <c r="G1598" s="3">
        <v>0</v>
      </c>
      <c r="H1598">
        <v>0</v>
      </c>
      <c r="I1598">
        <v>1180.5999999999999</v>
      </c>
      <c r="J1598">
        <v>25552</v>
      </c>
      <c r="K1598">
        <v>19072</v>
      </c>
      <c r="L1598" s="2">
        <v>26.566874999999996</v>
      </c>
      <c r="M1598" s="5">
        <v>113.27299999999998</v>
      </c>
      <c r="N1598" s="1">
        <v>329.47089999999997</v>
      </c>
      <c r="O1598" s="2">
        <v>50.3</v>
      </c>
      <c r="P1598">
        <v>325</v>
      </c>
    </row>
    <row r="1599" spans="1:16" x14ac:dyDescent="0.35">
      <c r="A1599" s="4">
        <v>44986</v>
      </c>
      <c r="B1599" t="s">
        <v>16</v>
      </c>
      <c r="C1599" t="s">
        <v>11</v>
      </c>
      <c r="D1599">
        <v>0</v>
      </c>
      <c r="E1599" s="2" t="s">
        <v>27</v>
      </c>
      <c r="F1599" s="2">
        <f t="shared" ref="F1599:F1603" si="254">(4929.25+5366.5+5079+4987.5)/4</f>
        <v>5090.5625</v>
      </c>
      <c r="G1599" s="3">
        <v>0</v>
      </c>
      <c r="H1599">
        <v>0</v>
      </c>
      <c r="I1599">
        <v>1180.5999999999999</v>
      </c>
      <c r="J1599">
        <v>25552</v>
      </c>
      <c r="K1599">
        <v>19072</v>
      </c>
      <c r="L1599" s="2">
        <v>26.566874999999996</v>
      </c>
      <c r="M1599" s="5">
        <v>113.27299999999998</v>
      </c>
      <c r="N1599" s="1">
        <v>329.47089999999997</v>
      </c>
      <c r="O1599" s="2">
        <v>50.3</v>
      </c>
      <c r="P1599">
        <v>325</v>
      </c>
    </row>
    <row r="1600" spans="1:16" x14ac:dyDescent="0.35">
      <c r="A1600" s="4">
        <v>44986</v>
      </c>
      <c r="B1600" t="s">
        <v>16</v>
      </c>
      <c r="C1600" t="s">
        <v>12</v>
      </c>
      <c r="D1600">
        <v>1</v>
      </c>
      <c r="E1600" s="2">
        <f>(4500+4900+4950*2)/4</f>
        <v>4825</v>
      </c>
      <c r="F1600" s="2">
        <f t="shared" si="254"/>
        <v>5090.5625</v>
      </c>
      <c r="G1600" s="3">
        <v>0</v>
      </c>
      <c r="H1600">
        <v>0</v>
      </c>
      <c r="I1600">
        <v>1180.5999999999999</v>
      </c>
      <c r="J1600">
        <v>25552</v>
      </c>
      <c r="K1600">
        <v>19072</v>
      </c>
      <c r="L1600" s="2">
        <v>26.566874999999996</v>
      </c>
      <c r="M1600" s="5">
        <v>113.27299999999998</v>
      </c>
      <c r="N1600" s="1">
        <v>329.47089999999997</v>
      </c>
      <c r="O1600" s="2">
        <v>50.3</v>
      </c>
      <c r="P1600">
        <v>325</v>
      </c>
    </row>
    <row r="1601" spans="1:16" x14ac:dyDescent="0.35">
      <c r="A1601" s="4">
        <v>44986</v>
      </c>
      <c r="B1601" t="s">
        <v>16</v>
      </c>
      <c r="C1601" t="s">
        <v>13</v>
      </c>
      <c r="D1601">
        <v>1</v>
      </c>
      <c r="E1601" s="2">
        <f>(5200+5500+4850+5150)/4</f>
        <v>5175</v>
      </c>
      <c r="F1601" s="2">
        <f t="shared" si="254"/>
        <v>5090.5625</v>
      </c>
      <c r="G1601" s="3">
        <v>0</v>
      </c>
      <c r="H1601">
        <v>0</v>
      </c>
      <c r="I1601">
        <v>1180.5999999999999</v>
      </c>
      <c r="J1601">
        <v>25552</v>
      </c>
      <c r="K1601">
        <v>19072</v>
      </c>
      <c r="L1601" s="2">
        <v>26.566874999999996</v>
      </c>
      <c r="M1601" s="5">
        <v>113.27299999999998</v>
      </c>
      <c r="N1601" s="1">
        <v>329.47089999999997</v>
      </c>
      <c r="O1601" s="2">
        <v>50.3</v>
      </c>
      <c r="P1601">
        <v>325</v>
      </c>
    </row>
    <row r="1602" spans="1:16" x14ac:dyDescent="0.35">
      <c r="A1602" s="4">
        <v>44986</v>
      </c>
      <c r="B1602" t="s">
        <v>16</v>
      </c>
      <c r="C1602" t="s">
        <v>14</v>
      </c>
      <c r="D1602">
        <v>1</v>
      </c>
      <c r="E1602" s="2">
        <f>(5300+5233+5500+5567)/4</f>
        <v>5400</v>
      </c>
      <c r="F1602" s="2">
        <f t="shared" si="254"/>
        <v>5090.5625</v>
      </c>
      <c r="G1602" s="3">
        <v>0</v>
      </c>
      <c r="H1602">
        <v>0</v>
      </c>
      <c r="I1602">
        <v>1180.5999999999999</v>
      </c>
      <c r="J1602">
        <v>25552</v>
      </c>
      <c r="K1602">
        <v>19072</v>
      </c>
      <c r="L1602" s="2">
        <v>26.566874999999996</v>
      </c>
      <c r="M1602" s="5">
        <v>113.27299999999998</v>
      </c>
      <c r="N1602" s="1">
        <v>329.47089999999997</v>
      </c>
      <c r="O1602" s="2">
        <v>50.3</v>
      </c>
      <c r="P1602">
        <v>325</v>
      </c>
    </row>
    <row r="1603" spans="1:16" x14ac:dyDescent="0.35">
      <c r="A1603" s="4">
        <v>44986</v>
      </c>
      <c r="B1603" t="s">
        <v>16</v>
      </c>
      <c r="C1603" t="s">
        <v>15</v>
      </c>
      <c r="D1603">
        <v>0</v>
      </c>
      <c r="E1603" s="2" t="s">
        <v>27</v>
      </c>
      <c r="F1603" s="2">
        <f t="shared" si="254"/>
        <v>5090.5625</v>
      </c>
      <c r="G1603" s="3">
        <v>0</v>
      </c>
      <c r="H1603">
        <v>0</v>
      </c>
      <c r="I1603">
        <v>1180.5999999999999</v>
      </c>
      <c r="J1603">
        <v>25552</v>
      </c>
      <c r="K1603">
        <v>19072</v>
      </c>
      <c r="L1603" s="2">
        <v>26.566874999999996</v>
      </c>
      <c r="M1603" s="5">
        <v>113.27299999999998</v>
      </c>
      <c r="N1603" s="1">
        <v>329.47089999999997</v>
      </c>
      <c r="O1603" s="2">
        <v>50.3</v>
      </c>
      <c r="P1603">
        <v>325</v>
      </c>
    </row>
    <row r="1604" spans="1:16" x14ac:dyDescent="0.35">
      <c r="A1604" s="4">
        <v>44986</v>
      </c>
      <c r="B1604" t="s">
        <v>17</v>
      </c>
      <c r="C1604" t="s">
        <v>10</v>
      </c>
      <c r="D1604">
        <v>1</v>
      </c>
      <c r="E1604" s="2">
        <f>(4500+4166*2+3500)/4</f>
        <v>4083</v>
      </c>
      <c r="F1604" s="2">
        <f>(4240.4+3963.2+4129.2+3986)/4</f>
        <v>4079.7</v>
      </c>
      <c r="G1604" s="3">
        <v>0</v>
      </c>
      <c r="H1604">
        <v>0</v>
      </c>
      <c r="I1604">
        <v>1180.5999999999999</v>
      </c>
      <c r="J1604">
        <v>25552</v>
      </c>
      <c r="K1604">
        <v>19072</v>
      </c>
      <c r="L1604" s="2">
        <v>26.566874999999996</v>
      </c>
      <c r="M1604" s="5">
        <v>113.27299999999998</v>
      </c>
      <c r="N1604" s="1">
        <v>329.47089999999997</v>
      </c>
      <c r="O1604" s="2">
        <v>50.3</v>
      </c>
      <c r="P1604">
        <v>325</v>
      </c>
    </row>
    <row r="1605" spans="1:16" x14ac:dyDescent="0.35">
      <c r="A1605" s="4">
        <v>44986</v>
      </c>
      <c r="B1605" t="s">
        <v>17</v>
      </c>
      <c r="C1605" t="s">
        <v>11</v>
      </c>
      <c r="D1605">
        <v>1</v>
      </c>
      <c r="E1605" s="2">
        <v>3800</v>
      </c>
      <c r="F1605" s="2">
        <f t="shared" ref="F1605:F1609" si="255">(4240.4+3963.2+4129.2+3986)/4</f>
        <v>4079.7</v>
      </c>
      <c r="G1605" s="3">
        <v>0</v>
      </c>
      <c r="H1605">
        <v>0</v>
      </c>
      <c r="I1605">
        <v>1180.5999999999999</v>
      </c>
      <c r="J1605">
        <v>25552</v>
      </c>
      <c r="K1605">
        <v>19072</v>
      </c>
      <c r="L1605" s="2">
        <v>26.566874999999996</v>
      </c>
      <c r="M1605" s="5">
        <v>113.27299999999998</v>
      </c>
      <c r="N1605" s="1">
        <v>329.47089999999997</v>
      </c>
      <c r="O1605" s="2">
        <v>50.3</v>
      </c>
      <c r="P1605">
        <v>325</v>
      </c>
    </row>
    <row r="1606" spans="1:16" x14ac:dyDescent="0.35">
      <c r="A1606" s="4">
        <v>44986</v>
      </c>
      <c r="B1606" t="s">
        <v>17</v>
      </c>
      <c r="C1606" t="s">
        <v>12</v>
      </c>
      <c r="D1606">
        <v>1</v>
      </c>
      <c r="E1606" s="2">
        <f>(4080*2+4000+3835)/4</f>
        <v>3998.75</v>
      </c>
      <c r="F1606" s="2">
        <f t="shared" si="255"/>
        <v>4079.7</v>
      </c>
      <c r="G1606" s="3">
        <v>0</v>
      </c>
      <c r="H1606">
        <v>0</v>
      </c>
      <c r="I1606">
        <v>1180.5999999999999</v>
      </c>
      <c r="J1606">
        <v>25552</v>
      </c>
      <c r="K1606">
        <v>19072</v>
      </c>
      <c r="L1606" s="2">
        <v>26.566874999999996</v>
      </c>
      <c r="M1606" s="5">
        <v>113.27299999999998</v>
      </c>
      <c r="N1606" s="1">
        <v>329.47089999999997</v>
      </c>
      <c r="O1606" s="2">
        <v>50.3</v>
      </c>
      <c r="P1606">
        <v>325</v>
      </c>
    </row>
    <row r="1607" spans="1:16" x14ac:dyDescent="0.35">
      <c r="A1607" s="4">
        <v>44986</v>
      </c>
      <c r="B1607" t="s">
        <v>17</v>
      </c>
      <c r="C1607" t="s">
        <v>13</v>
      </c>
      <c r="D1607">
        <v>1</v>
      </c>
      <c r="E1607" s="2">
        <f>(4400+3900+4900+3650)/4</f>
        <v>4212.5</v>
      </c>
      <c r="F1607" s="2">
        <f t="shared" si="255"/>
        <v>4079.7</v>
      </c>
      <c r="G1607" s="3">
        <v>0</v>
      </c>
      <c r="H1607">
        <v>0</v>
      </c>
      <c r="I1607">
        <v>1180.5999999999999</v>
      </c>
      <c r="J1607">
        <v>25552</v>
      </c>
      <c r="K1607">
        <v>19072</v>
      </c>
      <c r="L1607" s="2">
        <v>26.566874999999996</v>
      </c>
      <c r="M1607" s="5">
        <v>113.27299999999998</v>
      </c>
      <c r="N1607" s="1">
        <v>329.47089999999997</v>
      </c>
      <c r="O1607" s="2">
        <v>50.3</v>
      </c>
      <c r="P1607">
        <v>325</v>
      </c>
    </row>
    <row r="1608" spans="1:16" x14ac:dyDescent="0.35">
      <c r="A1608" s="4">
        <v>44986</v>
      </c>
      <c r="B1608" t="s">
        <v>17</v>
      </c>
      <c r="C1608" t="s">
        <v>14</v>
      </c>
      <c r="D1608">
        <v>1</v>
      </c>
      <c r="E1608" s="2">
        <f>(4300+4000+4250+4667)/4</f>
        <v>4304.25</v>
      </c>
      <c r="F1608" s="2">
        <f t="shared" si="255"/>
        <v>4079.7</v>
      </c>
      <c r="G1608" s="3">
        <v>0</v>
      </c>
      <c r="H1608">
        <v>0</v>
      </c>
      <c r="I1608">
        <v>1180.5999999999999</v>
      </c>
      <c r="J1608">
        <v>25552</v>
      </c>
      <c r="K1608">
        <v>19072</v>
      </c>
      <c r="L1608" s="2">
        <v>26.566874999999996</v>
      </c>
      <c r="M1608" s="5">
        <v>113.27299999999998</v>
      </c>
      <c r="N1608" s="1">
        <v>329.47089999999997</v>
      </c>
      <c r="O1608" s="2">
        <v>50.3</v>
      </c>
      <c r="P1608">
        <v>325</v>
      </c>
    </row>
    <row r="1609" spans="1:16" x14ac:dyDescent="0.35">
      <c r="A1609" s="4">
        <v>44986</v>
      </c>
      <c r="B1609" t="s">
        <v>17</v>
      </c>
      <c r="C1609" t="s">
        <v>15</v>
      </c>
      <c r="D1609">
        <v>0</v>
      </c>
      <c r="E1609" s="2" t="s">
        <v>27</v>
      </c>
      <c r="F1609" s="2">
        <f t="shared" si="255"/>
        <v>4079.7</v>
      </c>
      <c r="G1609" s="3">
        <v>0</v>
      </c>
      <c r="H1609">
        <v>0</v>
      </c>
      <c r="I1609">
        <v>1180.5999999999999</v>
      </c>
      <c r="J1609">
        <v>25552</v>
      </c>
      <c r="K1609">
        <v>19072</v>
      </c>
      <c r="L1609" s="2">
        <v>26.566874999999996</v>
      </c>
      <c r="M1609" s="5">
        <v>113.27299999999998</v>
      </c>
      <c r="N1609" s="1">
        <v>329.47089999999997</v>
      </c>
      <c r="O1609" s="2">
        <v>50.3</v>
      </c>
      <c r="P1609">
        <v>325</v>
      </c>
    </row>
    <row r="1610" spans="1:16" x14ac:dyDescent="0.35">
      <c r="A1610" s="4">
        <v>44986</v>
      </c>
      <c r="B1610" t="s">
        <v>18</v>
      </c>
      <c r="C1610" t="s">
        <v>10</v>
      </c>
      <c r="D1610">
        <v>1</v>
      </c>
      <c r="E1610" s="2">
        <f>(3350+3533+3566+4000)/4</f>
        <v>3612.25</v>
      </c>
      <c r="F1610" s="2">
        <f>(3657.14+3377+3248.25+3367.88)/4</f>
        <v>3412.5675000000001</v>
      </c>
      <c r="G1610" s="3">
        <v>0</v>
      </c>
      <c r="H1610">
        <v>0</v>
      </c>
      <c r="I1610">
        <v>1180.5999999999999</v>
      </c>
      <c r="J1610">
        <v>25552</v>
      </c>
      <c r="K1610">
        <v>19072</v>
      </c>
      <c r="L1610" s="2">
        <v>26.566874999999996</v>
      </c>
      <c r="M1610" s="5">
        <v>113.27299999999998</v>
      </c>
      <c r="N1610" s="1">
        <v>329.47089999999997</v>
      </c>
      <c r="O1610" s="2">
        <v>50.3</v>
      </c>
      <c r="P1610">
        <v>325</v>
      </c>
    </row>
    <row r="1611" spans="1:16" x14ac:dyDescent="0.35">
      <c r="A1611" s="4">
        <v>44986</v>
      </c>
      <c r="B1611" t="s">
        <v>18</v>
      </c>
      <c r="C1611" t="s">
        <v>11</v>
      </c>
      <c r="D1611">
        <v>1</v>
      </c>
      <c r="E1611" s="2">
        <f>(4000+3500+3300+3200)/4</f>
        <v>3500</v>
      </c>
      <c r="F1611" s="2">
        <f t="shared" ref="F1611:F1615" si="256">(3657.14+3377+3248.25+3367.88)/4</f>
        <v>3412.5675000000001</v>
      </c>
      <c r="G1611" s="3">
        <v>0</v>
      </c>
      <c r="H1611">
        <v>0</v>
      </c>
      <c r="I1611">
        <v>1180.5999999999999</v>
      </c>
      <c r="J1611">
        <v>25552</v>
      </c>
      <c r="K1611">
        <v>19072</v>
      </c>
      <c r="L1611" s="2">
        <v>26.566874999999996</v>
      </c>
      <c r="M1611" s="5">
        <v>113.27299999999998</v>
      </c>
      <c r="N1611" s="1">
        <v>329.47089999999997</v>
      </c>
      <c r="O1611" s="2">
        <v>50.3</v>
      </c>
      <c r="P1611">
        <v>325</v>
      </c>
    </row>
    <row r="1612" spans="1:16" x14ac:dyDescent="0.35">
      <c r="A1612" s="4">
        <v>44986</v>
      </c>
      <c r="B1612" t="s">
        <v>18</v>
      </c>
      <c r="C1612" t="s">
        <v>12</v>
      </c>
      <c r="D1612">
        <v>1</v>
      </c>
      <c r="E1612" s="2">
        <f>(3500+3400+3470*2)/4</f>
        <v>3460</v>
      </c>
      <c r="F1612" s="2">
        <f t="shared" si="256"/>
        <v>3412.5675000000001</v>
      </c>
      <c r="G1612" s="3">
        <v>0</v>
      </c>
      <c r="H1612">
        <v>0</v>
      </c>
      <c r="I1612">
        <v>1180.5999999999999</v>
      </c>
      <c r="J1612">
        <v>25552</v>
      </c>
      <c r="K1612">
        <v>19072</v>
      </c>
      <c r="L1612" s="2">
        <v>26.566874999999996</v>
      </c>
      <c r="M1612" s="5">
        <v>113.27299999999998</v>
      </c>
      <c r="N1612" s="1">
        <v>329.47089999999997</v>
      </c>
      <c r="O1612" s="2">
        <v>50.3</v>
      </c>
      <c r="P1612">
        <v>325</v>
      </c>
    </row>
    <row r="1613" spans="1:16" x14ac:dyDescent="0.35">
      <c r="A1613" s="4">
        <v>44986</v>
      </c>
      <c r="B1613" t="s">
        <v>18</v>
      </c>
      <c r="C1613" t="s">
        <v>13</v>
      </c>
      <c r="D1613">
        <v>1</v>
      </c>
      <c r="E1613" s="2">
        <f>(3190+3400+3350+3900)/4</f>
        <v>3460</v>
      </c>
      <c r="F1613" s="2">
        <f t="shared" si="256"/>
        <v>3412.5675000000001</v>
      </c>
      <c r="G1613" s="3">
        <v>0</v>
      </c>
      <c r="H1613">
        <v>0</v>
      </c>
      <c r="I1613">
        <v>1180.5999999999999</v>
      </c>
      <c r="J1613">
        <v>25552</v>
      </c>
      <c r="K1613">
        <v>19072</v>
      </c>
      <c r="L1613" s="2">
        <v>26.566874999999996</v>
      </c>
      <c r="M1613" s="5">
        <v>113.27299999999998</v>
      </c>
      <c r="N1613" s="1">
        <v>329.47089999999997</v>
      </c>
      <c r="O1613" s="2">
        <v>50.3</v>
      </c>
      <c r="P1613">
        <v>325</v>
      </c>
    </row>
    <row r="1614" spans="1:16" x14ac:dyDescent="0.35">
      <c r="A1614" s="4">
        <v>44986</v>
      </c>
      <c r="B1614" t="s">
        <v>18</v>
      </c>
      <c r="C1614" t="s">
        <v>14</v>
      </c>
      <c r="D1614">
        <v>1</v>
      </c>
      <c r="E1614" s="2">
        <f>(3900+3650+3233+3433)/4</f>
        <v>3554</v>
      </c>
      <c r="F1614" s="2">
        <f t="shared" si="256"/>
        <v>3412.5675000000001</v>
      </c>
      <c r="G1614" s="3">
        <v>0</v>
      </c>
      <c r="H1614">
        <v>0</v>
      </c>
      <c r="I1614">
        <v>1180.5999999999999</v>
      </c>
      <c r="J1614">
        <v>25552</v>
      </c>
      <c r="K1614">
        <v>19072</v>
      </c>
      <c r="L1614" s="2">
        <v>26.566874999999996</v>
      </c>
      <c r="M1614" s="5">
        <v>113.27299999999998</v>
      </c>
      <c r="N1614" s="1">
        <v>329.47089999999997</v>
      </c>
      <c r="O1614" s="2">
        <v>50.3</v>
      </c>
      <c r="P1614">
        <v>325</v>
      </c>
    </row>
    <row r="1615" spans="1:16" x14ac:dyDescent="0.35">
      <c r="A1615" s="4">
        <v>44986</v>
      </c>
      <c r="B1615" t="s">
        <v>18</v>
      </c>
      <c r="C1615" t="s">
        <v>15</v>
      </c>
      <c r="D1615">
        <v>1</v>
      </c>
      <c r="E1615" s="2">
        <f>(3000*2+3150+3400)/4</f>
        <v>3137.5</v>
      </c>
      <c r="F1615" s="2">
        <f t="shared" si="256"/>
        <v>3412.5675000000001</v>
      </c>
      <c r="G1615" s="3">
        <v>0</v>
      </c>
      <c r="H1615">
        <v>0</v>
      </c>
      <c r="I1615">
        <v>1180.5999999999999</v>
      </c>
      <c r="J1615">
        <v>25552</v>
      </c>
      <c r="K1615">
        <v>19072</v>
      </c>
      <c r="L1615" s="2">
        <v>26.566874999999996</v>
      </c>
      <c r="M1615" s="5">
        <v>113.27299999999998</v>
      </c>
      <c r="N1615" s="1">
        <v>329.47089999999997</v>
      </c>
      <c r="O1615" s="2">
        <v>50.3</v>
      </c>
      <c r="P1615">
        <v>325</v>
      </c>
    </row>
    <row r="1616" spans="1:16" x14ac:dyDescent="0.35">
      <c r="A1616" s="4">
        <v>44986</v>
      </c>
      <c r="B1616" t="s">
        <v>19</v>
      </c>
      <c r="C1616" t="s">
        <v>10</v>
      </c>
      <c r="D1616">
        <v>1</v>
      </c>
      <c r="E1616" s="2">
        <f>(3000+3066+3366+3333)/4</f>
        <v>3191.25</v>
      </c>
      <c r="F1616" s="2">
        <f>(3049.44+2947.22+3026.22+3104.13)/4</f>
        <v>3031.7524999999996</v>
      </c>
      <c r="G1616" s="3">
        <v>0</v>
      </c>
      <c r="H1616">
        <v>0</v>
      </c>
      <c r="I1616">
        <v>1180.5999999999999</v>
      </c>
      <c r="J1616">
        <v>25552</v>
      </c>
      <c r="K1616">
        <v>19072</v>
      </c>
      <c r="L1616" s="2">
        <v>26.566874999999996</v>
      </c>
      <c r="M1616" s="5">
        <v>113.27299999999998</v>
      </c>
      <c r="N1616" s="1">
        <v>329.47089999999997</v>
      </c>
      <c r="O1616" s="2">
        <v>50.3</v>
      </c>
      <c r="P1616">
        <v>325</v>
      </c>
    </row>
    <row r="1617" spans="1:16" x14ac:dyDescent="0.35">
      <c r="A1617" s="4">
        <v>44986</v>
      </c>
      <c r="B1617" t="s">
        <v>19</v>
      </c>
      <c r="C1617" t="s">
        <v>11</v>
      </c>
      <c r="D1617">
        <v>1</v>
      </c>
      <c r="E1617" s="2">
        <v>3050</v>
      </c>
      <c r="F1617" s="2">
        <f t="shared" ref="F1617:F1621" si="257">(3049.44+2947.22+3026.22+3104.13)/4</f>
        <v>3031.7524999999996</v>
      </c>
      <c r="G1617" s="3">
        <v>0</v>
      </c>
      <c r="H1617">
        <v>0</v>
      </c>
      <c r="I1617">
        <v>1180.5999999999999</v>
      </c>
      <c r="J1617">
        <v>25552</v>
      </c>
      <c r="K1617">
        <v>19072</v>
      </c>
      <c r="L1617" s="2">
        <v>26.566874999999996</v>
      </c>
      <c r="M1617" s="5">
        <v>113.27299999999998</v>
      </c>
      <c r="N1617" s="1">
        <v>329.47089999999997</v>
      </c>
      <c r="O1617" s="2">
        <v>50.3</v>
      </c>
      <c r="P1617">
        <v>325</v>
      </c>
    </row>
    <row r="1618" spans="1:16" x14ac:dyDescent="0.35">
      <c r="A1618" s="4">
        <v>44986</v>
      </c>
      <c r="B1618" t="s">
        <v>19</v>
      </c>
      <c r="C1618" t="s">
        <v>12</v>
      </c>
      <c r="D1618">
        <v>1</v>
      </c>
      <c r="E1618" s="2">
        <f>(3000+3320+3370+3380)/4</f>
        <v>3267.5</v>
      </c>
      <c r="F1618" s="2">
        <f t="shared" si="257"/>
        <v>3031.7524999999996</v>
      </c>
      <c r="G1618" s="3">
        <v>0</v>
      </c>
      <c r="H1618">
        <v>0</v>
      </c>
      <c r="I1618">
        <v>1180.5999999999999</v>
      </c>
      <c r="J1618">
        <v>25552</v>
      </c>
      <c r="K1618">
        <v>19072</v>
      </c>
      <c r="L1618" s="2">
        <v>26.566874999999996</v>
      </c>
      <c r="M1618" s="5">
        <v>113.27299999999998</v>
      </c>
      <c r="N1618" s="1">
        <v>329.47089999999997</v>
      </c>
      <c r="O1618" s="2">
        <v>50.3</v>
      </c>
      <c r="P1618">
        <v>325</v>
      </c>
    </row>
    <row r="1619" spans="1:16" x14ac:dyDescent="0.35">
      <c r="A1619" s="4">
        <v>44986</v>
      </c>
      <c r="B1619" t="s">
        <v>19</v>
      </c>
      <c r="C1619" t="s">
        <v>13</v>
      </c>
      <c r="D1619">
        <v>1</v>
      </c>
      <c r="E1619" s="2">
        <f>(3200+3050*2+2950)/4</f>
        <v>3062.5</v>
      </c>
      <c r="F1619" s="2">
        <f t="shared" si="257"/>
        <v>3031.7524999999996</v>
      </c>
      <c r="G1619" s="3">
        <v>0</v>
      </c>
      <c r="H1619">
        <v>0</v>
      </c>
      <c r="I1619">
        <v>1180.5999999999999</v>
      </c>
      <c r="J1619">
        <v>25552</v>
      </c>
      <c r="K1619">
        <v>19072</v>
      </c>
      <c r="L1619" s="2">
        <v>26.566874999999996</v>
      </c>
      <c r="M1619" s="5">
        <v>113.27299999999998</v>
      </c>
      <c r="N1619" s="1">
        <v>329.47089999999997</v>
      </c>
      <c r="O1619" s="2">
        <v>50.3</v>
      </c>
      <c r="P1619">
        <v>325</v>
      </c>
    </row>
    <row r="1620" spans="1:16" x14ac:dyDescent="0.35">
      <c r="A1620" s="4">
        <v>44986</v>
      </c>
      <c r="B1620" t="s">
        <v>19</v>
      </c>
      <c r="C1620" t="s">
        <v>14</v>
      </c>
      <c r="D1620">
        <v>1</v>
      </c>
      <c r="E1620" s="2">
        <f>(3350+3300+2929+3175)/4</f>
        <v>3188.5</v>
      </c>
      <c r="F1620" s="2">
        <f t="shared" si="257"/>
        <v>3031.7524999999996</v>
      </c>
      <c r="G1620" s="3">
        <v>0</v>
      </c>
      <c r="H1620">
        <v>0</v>
      </c>
      <c r="I1620">
        <v>1180.5999999999999</v>
      </c>
      <c r="J1620">
        <v>25552</v>
      </c>
      <c r="K1620">
        <v>19072</v>
      </c>
      <c r="L1620" s="2">
        <v>26.566874999999996</v>
      </c>
      <c r="M1620" s="5">
        <v>113.27299999999998</v>
      </c>
      <c r="N1620" s="1">
        <v>329.47089999999997</v>
      </c>
      <c r="O1620" s="2">
        <v>50.3</v>
      </c>
      <c r="P1620">
        <v>325</v>
      </c>
    </row>
    <row r="1621" spans="1:16" x14ac:dyDescent="0.35">
      <c r="A1621" s="4">
        <v>44986</v>
      </c>
      <c r="B1621" t="s">
        <v>19</v>
      </c>
      <c r="C1621" t="s">
        <v>15</v>
      </c>
      <c r="D1621">
        <v>1</v>
      </c>
      <c r="E1621" s="2">
        <v>2950</v>
      </c>
      <c r="F1621" s="2">
        <f t="shared" si="257"/>
        <v>3031.7524999999996</v>
      </c>
      <c r="G1621" s="3">
        <v>0</v>
      </c>
      <c r="H1621">
        <v>0</v>
      </c>
      <c r="I1621">
        <v>1180.5999999999999</v>
      </c>
      <c r="J1621">
        <v>25552</v>
      </c>
      <c r="K1621">
        <v>19072</v>
      </c>
      <c r="L1621" s="2">
        <v>26.566874999999996</v>
      </c>
      <c r="M1621" s="5">
        <v>113.27299999999998</v>
      </c>
      <c r="N1621" s="1">
        <v>329.47089999999997</v>
      </c>
      <c r="O1621" s="2">
        <v>50.3</v>
      </c>
      <c r="P1621">
        <v>325</v>
      </c>
    </row>
    <row r="1622" spans="1:16" x14ac:dyDescent="0.35">
      <c r="A1622" s="4">
        <v>44986</v>
      </c>
      <c r="B1622" t="s">
        <v>20</v>
      </c>
      <c r="C1622" t="s">
        <v>10</v>
      </c>
      <c r="D1622">
        <v>1</v>
      </c>
      <c r="E1622" s="2">
        <f>(2166+2933+2633+2200)/4</f>
        <v>2483</v>
      </c>
      <c r="F1622" s="2">
        <f>(2673.5+2562+2702.88+2470.14)/4</f>
        <v>2602.13</v>
      </c>
      <c r="G1622" s="3">
        <v>0</v>
      </c>
      <c r="H1622">
        <v>0</v>
      </c>
      <c r="I1622">
        <v>1180.5999999999999</v>
      </c>
      <c r="J1622">
        <v>25552</v>
      </c>
      <c r="K1622">
        <v>19072</v>
      </c>
      <c r="L1622" s="2">
        <v>26.566874999999996</v>
      </c>
      <c r="M1622" s="5">
        <v>113.27299999999998</v>
      </c>
      <c r="N1622" s="1">
        <v>329.47089999999997</v>
      </c>
      <c r="O1622" s="2">
        <v>50.3</v>
      </c>
      <c r="P1622">
        <v>325</v>
      </c>
    </row>
    <row r="1623" spans="1:16" x14ac:dyDescent="0.35">
      <c r="A1623" s="4">
        <v>44986</v>
      </c>
      <c r="B1623" t="s">
        <v>20</v>
      </c>
      <c r="C1623" t="s">
        <v>11</v>
      </c>
      <c r="D1623">
        <v>1</v>
      </c>
      <c r="E1623" s="2">
        <f>(2700*2+3000+2500)/4</f>
        <v>2725</v>
      </c>
      <c r="F1623" s="2">
        <f t="shared" ref="F1623:F1627" si="258">(2673.5+2562+2702.88+2470.14)/4</f>
        <v>2602.13</v>
      </c>
      <c r="G1623" s="3">
        <v>0</v>
      </c>
      <c r="H1623">
        <v>0</v>
      </c>
      <c r="I1623">
        <v>1180.5999999999999</v>
      </c>
      <c r="J1623">
        <v>25552</v>
      </c>
      <c r="K1623">
        <v>19072</v>
      </c>
      <c r="L1623" s="2">
        <v>26.566874999999996</v>
      </c>
      <c r="M1623" s="5">
        <v>113.27299999999998</v>
      </c>
      <c r="N1623" s="1">
        <v>329.47089999999997</v>
      </c>
      <c r="O1623" s="2">
        <v>50.3</v>
      </c>
      <c r="P1623">
        <v>325</v>
      </c>
    </row>
    <row r="1624" spans="1:16" x14ac:dyDescent="0.35">
      <c r="A1624" s="4">
        <v>44986</v>
      </c>
      <c r="B1624" t="s">
        <v>20</v>
      </c>
      <c r="C1624" t="s">
        <v>12</v>
      </c>
      <c r="D1624">
        <v>1</v>
      </c>
      <c r="E1624" s="2">
        <f>(2000+2865+2900*2)/4</f>
        <v>2666.25</v>
      </c>
      <c r="F1624" s="2">
        <f t="shared" si="258"/>
        <v>2602.13</v>
      </c>
      <c r="G1624" s="3">
        <v>0</v>
      </c>
      <c r="H1624">
        <v>0</v>
      </c>
      <c r="I1624">
        <v>1180.5999999999999</v>
      </c>
      <c r="J1624">
        <v>25552</v>
      </c>
      <c r="K1624">
        <v>19072</v>
      </c>
      <c r="L1624" s="2">
        <v>26.566874999999996</v>
      </c>
      <c r="M1624" s="5">
        <v>113.27299999999998</v>
      </c>
      <c r="N1624" s="1">
        <v>329.47089999999997</v>
      </c>
      <c r="O1624" s="2">
        <v>50.3</v>
      </c>
      <c r="P1624">
        <v>325</v>
      </c>
    </row>
    <row r="1625" spans="1:16" x14ac:dyDescent="0.35">
      <c r="A1625" s="4">
        <v>44986</v>
      </c>
      <c r="B1625" t="s">
        <v>20</v>
      </c>
      <c r="C1625" t="s">
        <v>13</v>
      </c>
      <c r="D1625">
        <v>1</v>
      </c>
      <c r="E1625" s="2">
        <f>(2500*2+2600+2650)/4</f>
        <v>2562.5</v>
      </c>
      <c r="F1625" s="2">
        <f t="shared" si="258"/>
        <v>2602.13</v>
      </c>
      <c r="G1625" s="3">
        <v>0</v>
      </c>
      <c r="H1625">
        <v>0</v>
      </c>
      <c r="I1625">
        <v>1180.5999999999999</v>
      </c>
      <c r="J1625">
        <v>25552</v>
      </c>
      <c r="K1625">
        <v>19072</v>
      </c>
      <c r="L1625" s="2">
        <v>26.566874999999996</v>
      </c>
      <c r="M1625" s="5">
        <v>113.27299999999998</v>
      </c>
      <c r="N1625" s="1">
        <v>329.47089999999997</v>
      </c>
      <c r="O1625" s="2">
        <v>50.3</v>
      </c>
      <c r="P1625">
        <v>325</v>
      </c>
    </row>
    <row r="1626" spans="1:16" x14ac:dyDescent="0.35">
      <c r="A1626" s="4">
        <v>44986</v>
      </c>
      <c r="B1626" t="s">
        <v>20</v>
      </c>
      <c r="C1626" t="s">
        <v>14</v>
      </c>
      <c r="D1626">
        <v>1</v>
      </c>
      <c r="E1626" s="2">
        <f>(2838+2525+2925+2950)/4</f>
        <v>2809.5</v>
      </c>
      <c r="F1626" s="2">
        <f t="shared" si="258"/>
        <v>2602.13</v>
      </c>
      <c r="G1626" s="3">
        <v>0</v>
      </c>
      <c r="H1626">
        <v>0</v>
      </c>
      <c r="I1626">
        <v>1180.5999999999999</v>
      </c>
      <c r="J1626">
        <v>25552</v>
      </c>
      <c r="K1626">
        <v>19072</v>
      </c>
      <c r="L1626" s="2">
        <v>26.566874999999996</v>
      </c>
      <c r="M1626" s="5">
        <v>113.27299999999998</v>
      </c>
      <c r="N1626" s="1">
        <v>329.47089999999997</v>
      </c>
      <c r="O1626" s="2">
        <v>50.3</v>
      </c>
      <c r="P1626">
        <v>325</v>
      </c>
    </row>
    <row r="1627" spans="1:16" x14ac:dyDescent="0.35">
      <c r="A1627" s="4">
        <v>44986</v>
      </c>
      <c r="B1627" t="s">
        <v>20</v>
      </c>
      <c r="C1627" t="s">
        <v>15</v>
      </c>
      <c r="D1627">
        <v>1</v>
      </c>
      <c r="E1627" s="2">
        <f>(2625+2800+2500+2600)/4</f>
        <v>2631.25</v>
      </c>
      <c r="F1627" s="2">
        <f t="shared" si="258"/>
        <v>2602.13</v>
      </c>
      <c r="G1627" s="3">
        <v>0</v>
      </c>
      <c r="H1627">
        <v>0</v>
      </c>
      <c r="I1627">
        <v>1180.5999999999999</v>
      </c>
      <c r="J1627">
        <v>25552</v>
      </c>
      <c r="K1627">
        <v>19072</v>
      </c>
      <c r="L1627" s="2">
        <v>26.566874999999996</v>
      </c>
      <c r="M1627" s="5">
        <v>113.27299999999998</v>
      </c>
      <c r="N1627" s="1">
        <v>329.47089999999997</v>
      </c>
      <c r="O1627" s="2">
        <v>50.3</v>
      </c>
      <c r="P1627">
        <v>325</v>
      </c>
    </row>
    <row r="1628" spans="1:16" x14ac:dyDescent="0.35">
      <c r="A1628" s="4">
        <v>44986</v>
      </c>
      <c r="B1628" t="s">
        <v>21</v>
      </c>
      <c r="C1628" t="s">
        <v>10</v>
      </c>
      <c r="D1628">
        <v>1</v>
      </c>
      <c r="E1628" s="2">
        <f>(1866+2733+2500+1900)/4</f>
        <v>2249.75</v>
      </c>
      <c r="F1628" s="2">
        <f>(2460.38+2337.56+2472+2161.43)/4</f>
        <v>2357.8425000000002</v>
      </c>
      <c r="G1628" s="3">
        <v>0</v>
      </c>
      <c r="H1628">
        <v>0</v>
      </c>
      <c r="I1628">
        <v>1180.5999999999999</v>
      </c>
      <c r="J1628">
        <v>25552</v>
      </c>
      <c r="K1628">
        <v>19072</v>
      </c>
      <c r="L1628" s="2">
        <v>26.566874999999996</v>
      </c>
      <c r="M1628" s="5">
        <v>113.27299999999998</v>
      </c>
      <c r="N1628" s="1">
        <v>329.47089999999997</v>
      </c>
      <c r="O1628" s="2">
        <v>50.3</v>
      </c>
      <c r="P1628">
        <v>325</v>
      </c>
    </row>
    <row r="1629" spans="1:16" x14ac:dyDescent="0.35">
      <c r="A1629" s="4">
        <v>44986</v>
      </c>
      <c r="B1629" t="s">
        <v>21</v>
      </c>
      <c r="C1629" t="s">
        <v>11</v>
      </c>
      <c r="D1629">
        <v>1</v>
      </c>
      <c r="E1629" s="2">
        <f>(2800+2000+2600+2500)/4</f>
        <v>2475</v>
      </c>
      <c r="F1629" s="2">
        <f t="shared" ref="F1629:F1633" si="259">(2460.38+2337.56+2472+2161.43)/4</f>
        <v>2357.8425000000002</v>
      </c>
      <c r="G1629" s="3">
        <v>0</v>
      </c>
      <c r="H1629">
        <v>0</v>
      </c>
      <c r="I1629">
        <v>1180.5999999999999</v>
      </c>
      <c r="J1629">
        <v>25552</v>
      </c>
      <c r="K1629">
        <v>19072</v>
      </c>
      <c r="L1629" s="2">
        <v>26.566874999999996</v>
      </c>
      <c r="M1629" s="5">
        <v>113.27299999999998</v>
      </c>
      <c r="N1629" s="1">
        <v>329.47089999999997</v>
      </c>
      <c r="O1629" s="2">
        <v>50.3</v>
      </c>
      <c r="P1629">
        <v>325</v>
      </c>
    </row>
    <row r="1630" spans="1:16" x14ac:dyDescent="0.35">
      <c r="A1630" s="4">
        <v>44986</v>
      </c>
      <c r="B1630" t="s">
        <v>21</v>
      </c>
      <c r="C1630" t="s">
        <v>12</v>
      </c>
      <c r="D1630">
        <v>1</v>
      </c>
      <c r="E1630" s="2">
        <f>(1500+2700*3)/4</f>
        <v>2400</v>
      </c>
      <c r="F1630" s="2">
        <f t="shared" si="259"/>
        <v>2357.8425000000002</v>
      </c>
      <c r="G1630" s="3">
        <v>0</v>
      </c>
      <c r="H1630">
        <v>0</v>
      </c>
      <c r="I1630">
        <v>1180.5999999999999</v>
      </c>
      <c r="J1630">
        <v>25552</v>
      </c>
      <c r="K1630">
        <v>19072</v>
      </c>
      <c r="L1630" s="2">
        <v>26.566874999999996</v>
      </c>
      <c r="M1630" s="5">
        <v>113.27299999999998</v>
      </c>
      <c r="N1630" s="1">
        <v>329.47089999999997</v>
      </c>
      <c r="O1630" s="2">
        <v>50.3</v>
      </c>
      <c r="P1630">
        <v>325</v>
      </c>
    </row>
    <row r="1631" spans="1:16" x14ac:dyDescent="0.35">
      <c r="A1631" s="4">
        <v>44986</v>
      </c>
      <c r="B1631" t="s">
        <v>21</v>
      </c>
      <c r="C1631" t="s">
        <v>13</v>
      </c>
      <c r="D1631">
        <v>1</v>
      </c>
      <c r="E1631" s="2">
        <f>(2550+2350*2+2250)/4</f>
        <v>2375</v>
      </c>
      <c r="F1631" s="2">
        <f t="shared" si="259"/>
        <v>2357.8425000000002</v>
      </c>
      <c r="G1631" s="3">
        <v>0</v>
      </c>
      <c r="H1631">
        <v>0</v>
      </c>
      <c r="I1631">
        <v>1180.5999999999999</v>
      </c>
      <c r="J1631">
        <v>25552</v>
      </c>
      <c r="K1631">
        <v>19072</v>
      </c>
      <c r="L1631" s="2">
        <v>26.566874999999996</v>
      </c>
      <c r="M1631" s="5">
        <v>113.27299999999998</v>
      </c>
      <c r="N1631" s="1">
        <v>329.47089999999997</v>
      </c>
      <c r="O1631" s="2">
        <v>50.3</v>
      </c>
      <c r="P1631">
        <v>325</v>
      </c>
    </row>
    <row r="1632" spans="1:16" x14ac:dyDescent="0.35">
      <c r="A1632" s="4">
        <v>44986</v>
      </c>
      <c r="B1632" t="s">
        <v>21</v>
      </c>
      <c r="C1632" t="s">
        <v>14</v>
      </c>
      <c r="D1632">
        <v>1</v>
      </c>
      <c r="E1632" s="2">
        <f>(2614+2543+2338+2533)/4</f>
        <v>2507</v>
      </c>
      <c r="F1632" s="2">
        <f t="shared" si="259"/>
        <v>2357.8425000000002</v>
      </c>
      <c r="G1632" s="3">
        <v>0</v>
      </c>
      <c r="H1632">
        <v>0</v>
      </c>
      <c r="I1632">
        <v>1180.5999999999999</v>
      </c>
      <c r="J1632">
        <v>25552</v>
      </c>
      <c r="K1632">
        <v>19072</v>
      </c>
      <c r="L1632" s="2">
        <v>26.566874999999996</v>
      </c>
      <c r="M1632" s="5">
        <v>113.27299999999998</v>
      </c>
      <c r="N1632" s="1">
        <v>329.47089999999997</v>
      </c>
      <c r="O1632" s="2">
        <v>50.3</v>
      </c>
      <c r="P1632">
        <v>325</v>
      </c>
    </row>
    <row r="1633" spans="1:16" x14ac:dyDescent="0.35">
      <c r="A1633" s="4">
        <v>44986</v>
      </c>
      <c r="B1633" t="s">
        <v>21</v>
      </c>
      <c r="C1633" t="s">
        <v>15</v>
      </c>
      <c r="D1633">
        <v>1</v>
      </c>
      <c r="E1633" s="2">
        <f>(2450+2600+2450+2500)/4</f>
        <v>2500</v>
      </c>
      <c r="F1633" s="2">
        <f t="shared" si="259"/>
        <v>2357.8425000000002</v>
      </c>
      <c r="G1633" s="3">
        <v>0</v>
      </c>
      <c r="H1633">
        <v>0</v>
      </c>
      <c r="I1633">
        <v>1180.5999999999999</v>
      </c>
      <c r="J1633">
        <v>25552</v>
      </c>
      <c r="K1633">
        <v>19072</v>
      </c>
      <c r="L1633" s="2">
        <v>26.566874999999996</v>
      </c>
      <c r="M1633" s="5">
        <v>113.27299999999998</v>
      </c>
      <c r="N1633" s="1">
        <v>329.47089999999997</v>
      </c>
      <c r="O1633" s="2">
        <v>50.3</v>
      </c>
      <c r="P1633">
        <v>325</v>
      </c>
    </row>
    <row r="1634" spans="1:16" x14ac:dyDescent="0.35">
      <c r="A1634" s="4">
        <v>44986</v>
      </c>
      <c r="B1634" t="s">
        <v>22</v>
      </c>
      <c r="C1634" t="s">
        <v>10</v>
      </c>
      <c r="D1634">
        <v>0</v>
      </c>
      <c r="E1634" s="2" t="s">
        <v>27</v>
      </c>
      <c r="F1634" s="2">
        <f t="shared" ref="F1634:F1637" si="260">(2067+1767+1800+1867)/4</f>
        <v>1875.25</v>
      </c>
      <c r="G1634" s="3">
        <v>0</v>
      </c>
      <c r="H1634">
        <v>0</v>
      </c>
      <c r="I1634">
        <v>1180.5999999999999</v>
      </c>
      <c r="J1634">
        <v>25552</v>
      </c>
      <c r="K1634">
        <v>19072</v>
      </c>
      <c r="L1634" s="2">
        <v>26.566874999999996</v>
      </c>
      <c r="M1634" s="5">
        <v>113.27299999999998</v>
      </c>
      <c r="N1634" s="1">
        <v>329.47089999999997</v>
      </c>
      <c r="O1634" s="2">
        <v>50.3</v>
      </c>
      <c r="P1634">
        <v>325</v>
      </c>
    </row>
    <row r="1635" spans="1:16" x14ac:dyDescent="0.35">
      <c r="A1635" s="4">
        <v>44986</v>
      </c>
      <c r="B1635" t="s">
        <v>22</v>
      </c>
      <c r="C1635" t="s">
        <v>11</v>
      </c>
      <c r="D1635">
        <v>0</v>
      </c>
      <c r="E1635" s="2" t="s">
        <v>27</v>
      </c>
      <c r="F1635" s="2">
        <f t="shared" si="260"/>
        <v>1875.25</v>
      </c>
      <c r="G1635" s="3">
        <v>0</v>
      </c>
      <c r="H1635">
        <v>0</v>
      </c>
      <c r="I1635">
        <v>1180.5999999999999</v>
      </c>
      <c r="J1635">
        <v>25552</v>
      </c>
      <c r="K1635">
        <v>19072</v>
      </c>
      <c r="L1635" s="2">
        <v>26.566874999999996</v>
      </c>
      <c r="M1635" s="5">
        <v>113.27299999999998</v>
      </c>
      <c r="N1635" s="1">
        <v>329.47089999999997</v>
      </c>
      <c r="O1635" s="2">
        <v>50.3</v>
      </c>
      <c r="P1635">
        <v>325</v>
      </c>
    </row>
    <row r="1636" spans="1:16" x14ac:dyDescent="0.35">
      <c r="A1636" s="4">
        <v>44986</v>
      </c>
      <c r="B1636" t="s">
        <v>22</v>
      </c>
      <c r="C1636" t="s">
        <v>12</v>
      </c>
      <c r="D1636">
        <v>0</v>
      </c>
      <c r="E1636" s="2" t="s">
        <v>27</v>
      </c>
      <c r="F1636" s="2">
        <f t="shared" si="260"/>
        <v>1875.25</v>
      </c>
      <c r="G1636" s="3">
        <v>0</v>
      </c>
      <c r="H1636">
        <v>0</v>
      </c>
      <c r="I1636">
        <v>1180.5999999999999</v>
      </c>
      <c r="J1636">
        <v>25552</v>
      </c>
      <c r="K1636">
        <v>19072</v>
      </c>
      <c r="L1636" s="2">
        <v>26.566874999999996</v>
      </c>
      <c r="M1636" s="5">
        <v>113.27299999999998</v>
      </c>
      <c r="N1636" s="1">
        <v>329.47089999999997</v>
      </c>
      <c r="O1636" s="2">
        <v>50.3</v>
      </c>
      <c r="P1636">
        <v>325</v>
      </c>
    </row>
    <row r="1637" spans="1:16" x14ac:dyDescent="0.35">
      <c r="A1637" s="4">
        <v>44986</v>
      </c>
      <c r="B1637" t="s">
        <v>22</v>
      </c>
      <c r="C1637" t="s">
        <v>13</v>
      </c>
      <c r="D1637">
        <v>0</v>
      </c>
      <c r="E1637" s="2" t="s">
        <v>27</v>
      </c>
      <c r="F1637" s="2">
        <f t="shared" si="260"/>
        <v>1875.25</v>
      </c>
      <c r="G1637" s="3">
        <v>0</v>
      </c>
      <c r="H1637">
        <v>0</v>
      </c>
      <c r="I1637">
        <v>1180.5999999999999</v>
      </c>
      <c r="J1637">
        <v>25552</v>
      </c>
      <c r="K1637">
        <v>19072</v>
      </c>
      <c r="L1637" s="2">
        <v>26.566874999999996</v>
      </c>
      <c r="M1637" s="5">
        <v>113.27299999999998</v>
      </c>
      <c r="N1637" s="1">
        <v>329.47089999999997</v>
      </c>
      <c r="O1637" s="2">
        <v>50.3</v>
      </c>
      <c r="P1637">
        <v>325</v>
      </c>
    </row>
    <row r="1638" spans="1:16" x14ac:dyDescent="0.35">
      <c r="A1638" s="4">
        <v>44986</v>
      </c>
      <c r="B1638" t="s">
        <v>22</v>
      </c>
      <c r="C1638" t="s">
        <v>14</v>
      </c>
      <c r="D1638">
        <v>1</v>
      </c>
      <c r="E1638" s="2">
        <f>(2067+1767+1800+1867)/4</f>
        <v>1875.25</v>
      </c>
      <c r="F1638" s="2">
        <f>(2067+1767+1800+1867)/4</f>
        <v>1875.25</v>
      </c>
      <c r="G1638" s="3">
        <v>0</v>
      </c>
      <c r="H1638">
        <v>0</v>
      </c>
      <c r="I1638">
        <v>1180.5999999999999</v>
      </c>
      <c r="J1638">
        <v>25552</v>
      </c>
      <c r="K1638">
        <v>19072</v>
      </c>
      <c r="L1638" s="2">
        <v>26.566874999999996</v>
      </c>
      <c r="M1638" s="5">
        <v>113.27299999999998</v>
      </c>
      <c r="N1638" s="1">
        <v>329.47089999999997</v>
      </c>
      <c r="O1638" s="2">
        <v>50.3</v>
      </c>
      <c r="P1638">
        <v>325</v>
      </c>
    </row>
    <row r="1639" spans="1:16" x14ac:dyDescent="0.35">
      <c r="A1639" s="4">
        <v>44986</v>
      </c>
      <c r="B1639" t="s">
        <v>22</v>
      </c>
      <c r="C1639" t="s">
        <v>15</v>
      </c>
      <c r="D1639">
        <v>0</v>
      </c>
      <c r="E1639" s="2" t="s">
        <v>27</v>
      </c>
      <c r="F1639" s="2">
        <f>(2067+1767+1800+1867)/4</f>
        <v>1875.25</v>
      </c>
      <c r="G1639" s="3">
        <v>0</v>
      </c>
      <c r="H1639">
        <v>0</v>
      </c>
      <c r="I1639">
        <v>1180.5999999999999</v>
      </c>
      <c r="J1639">
        <v>25552</v>
      </c>
      <c r="K1639">
        <v>19072</v>
      </c>
      <c r="L1639" s="2">
        <v>26.566874999999996</v>
      </c>
      <c r="M1639" s="5">
        <v>113.27299999999998</v>
      </c>
      <c r="N1639" s="1">
        <v>329.47089999999997</v>
      </c>
      <c r="O1639" s="2">
        <v>50.3</v>
      </c>
      <c r="P1639">
        <v>325</v>
      </c>
    </row>
    <row r="1640" spans="1:16" x14ac:dyDescent="0.35">
      <c r="A1640" s="4">
        <v>45017</v>
      </c>
      <c r="B1640" t="s">
        <v>16</v>
      </c>
      <c r="C1640" t="s">
        <v>10</v>
      </c>
      <c r="D1640">
        <v>1</v>
      </c>
      <c r="E1640" s="2">
        <v>5350</v>
      </c>
      <c r="F1640" s="2">
        <f>(5200+5256.25+5158.33)/3</f>
        <v>5204.8599999999997</v>
      </c>
      <c r="G1640" s="3">
        <v>1</v>
      </c>
      <c r="H1640">
        <v>1120.5</v>
      </c>
      <c r="I1640">
        <v>787.1</v>
      </c>
      <c r="J1640">
        <v>21456</v>
      </c>
      <c r="K1640">
        <v>19072</v>
      </c>
      <c r="L1640" s="2">
        <v>27.605000000000004</v>
      </c>
      <c r="M1640" s="5">
        <v>161.42750000000001</v>
      </c>
      <c r="N1640" s="1">
        <v>321.42439999999999</v>
      </c>
      <c r="O1640" s="2">
        <v>35.299999999999997</v>
      </c>
      <c r="P1640">
        <v>310</v>
      </c>
    </row>
    <row r="1641" spans="1:16" x14ac:dyDescent="0.35">
      <c r="A1641" s="4">
        <v>45017</v>
      </c>
      <c r="B1641" t="s">
        <v>16</v>
      </c>
      <c r="C1641" t="s">
        <v>11</v>
      </c>
      <c r="D1641">
        <v>0</v>
      </c>
      <c r="E1641" s="2" t="s">
        <v>27</v>
      </c>
      <c r="F1641" s="2">
        <f t="shared" ref="F1641:F1645" si="261">(5200+5256.25+5158.33)/3</f>
        <v>5204.8599999999997</v>
      </c>
      <c r="G1641" s="3">
        <v>1</v>
      </c>
      <c r="H1641">
        <v>1120.5</v>
      </c>
      <c r="I1641">
        <v>787.1</v>
      </c>
      <c r="J1641">
        <v>21456</v>
      </c>
      <c r="K1641">
        <v>19072</v>
      </c>
      <c r="L1641" s="2">
        <v>27.605000000000004</v>
      </c>
      <c r="M1641" s="5">
        <v>161.42750000000001</v>
      </c>
      <c r="N1641" s="1">
        <v>321.42439999999999</v>
      </c>
      <c r="O1641" s="2">
        <v>35.299999999999997</v>
      </c>
      <c r="P1641">
        <v>310</v>
      </c>
    </row>
    <row r="1642" spans="1:16" x14ac:dyDescent="0.35">
      <c r="A1642" s="4">
        <v>45017</v>
      </c>
      <c r="B1642" t="s">
        <v>16</v>
      </c>
      <c r="C1642" t="s">
        <v>12</v>
      </c>
      <c r="D1642">
        <v>1</v>
      </c>
      <c r="E1642" s="2">
        <v>4633.33</v>
      </c>
      <c r="F1642" s="2">
        <f t="shared" si="261"/>
        <v>5204.8599999999997</v>
      </c>
      <c r="G1642" s="3">
        <v>1</v>
      </c>
      <c r="H1642">
        <v>1120.5</v>
      </c>
      <c r="I1642">
        <v>787.1</v>
      </c>
      <c r="J1642">
        <v>21456</v>
      </c>
      <c r="K1642">
        <v>19072</v>
      </c>
      <c r="L1642" s="2">
        <v>27.605000000000004</v>
      </c>
      <c r="M1642" s="5">
        <v>161.42750000000001</v>
      </c>
      <c r="N1642" s="1">
        <v>321.42439999999999</v>
      </c>
      <c r="O1642" s="2">
        <v>35.299999999999997</v>
      </c>
      <c r="P1642">
        <v>310</v>
      </c>
    </row>
    <row r="1643" spans="1:16" x14ac:dyDescent="0.35">
      <c r="A1643" s="4">
        <v>45017</v>
      </c>
      <c r="B1643" t="s">
        <v>16</v>
      </c>
      <c r="C1643" t="s">
        <v>13</v>
      </c>
      <c r="D1643">
        <v>1</v>
      </c>
      <c r="E1643" s="2">
        <v>5350</v>
      </c>
      <c r="F1643" s="2">
        <f t="shared" si="261"/>
        <v>5204.8599999999997</v>
      </c>
      <c r="G1643" s="3">
        <v>1</v>
      </c>
      <c r="H1643">
        <v>1120.5</v>
      </c>
      <c r="I1643">
        <v>787.1</v>
      </c>
      <c r="J1643">
        <v>21456</v>
      </c>
      <c r="K1643">
        <v>19072</v>
      </c>
      <c r="L1643" s="2">
        <v>27.605000000000004</v>
      </c>
      <c r="M1643" s="5">
        <v>161.42750000000001</v>
      </c>
      <c r="N1643" s="1">
        <v>321.42439999999999</v>
      </c>
      <c r="O1643" s="2">
        <v>35.299999999999997</v>
      </c>
      <c r="P1643">
        <v>310</v>
      </c>
    </row>
    <row r="1644" spans="1:16" x14ac:dyDescent="0.35">
      <c r="A1644" s="4">
        <v>45017</v>
      </c>
      <c r="B1644" t="s">
        <v>16</v>
      </c>
      <c r="C1644" t="s">
        <v>14</v>
      </c>
      <c r="D1644">
        <v>1</v>
      </c>
      <c r="E1644" s="2">
        <f>(5575+5625+5450)/3</f>
        <v>5550</v>
      </c>
      <c r="F1644" s="2">
        <f t="shared" si="261"/>
        <v>5204.8599999999997</v>
      </c>
      <c r="G1644" s="3">
        <v>1</v>
      </c>
      <c r="H1644">
        <v>1120.5</v>
      </c>
      <c r="I1644">
        <v>787.1</v>
      </c>
      <c r="J1644">
        <v>21456</v>
      </c>
      <c r="K1644">
        <v>19072</v>
      </c>
      <c r="L1644" s="2">
        <v>27.605000000000004</v>
      </c>
      <c r="M1644" s="5">
        <v>161.42750000000001</v>
      </c>
      <c r="N1644" s="1">
        <v>321.42439999999999</v>
      </c>
      <c r="O1644" s="2">
        <v>35.299999999999997</v>
      </c>
      <c r="P1644">
        <v>310</v>
      </c>
    </row>
    <row r="1645" spans="1:16" x14ac:dyDescent="0.35">
      <c r="A1645" s="4">
        <v>45017</v>
      </c>
      <c r="B1645" t="s">
        <v>16</v>
      </c>
      <c r="C1645" t="s">
        <v>15</v>
      </c>
      <c r="D1645">
        <v>0</v>
      </c>
      <c r="E1645" s="2" t="s">
        <v>27</v>
      </c>
      <c r="F1645" s="2">
        <f t="shared" si="261"/>
        <v>5204.8599999999997</v>
      </c>
      <c r="G1645" s="3">
        <v>1</v>
      </c>
      <c r="H1645">
        <v>1120.5</v>
      </c>
      <c r="I1645">
        <v>787.1</v>
      </c>
      <c r="J1645">
        <v>21456</v>
      </c>
      <c r="K1645">
        <v>19072</v>
      </c>
      <c r="L1645" s="2">
        <v>27.605000000000004</v>
      </c>
      <c r="M1645" s="5">
        <v>161.42750000000001</v>
      </c>
      <c r="N1645" s="1">
        <v>321.42439999999999</v>
      </c>
      <c r="O1645" s="2">
        <v>35.299999999999997</v>
      </c>
      <c r="P1645">
        <v>310</v>
      </c>
    </row>
    <row r="1646" spans="1:16" x14ac:dyDescent="0.35">
      <c r="A1646" s="4">
        <v>45017</v>
      </c>
      <c r="B1646" t="s">
        <v>17</v>
      </c>
      <c r="C1646" t="s">
        <v>10</v>
      </c>
      <c r="D1646">
        <v>1</v>
      </c>
      <c r="E1646" s="2">
        <v>4416.5</v>
      </c>
      <c r="F1646" s="2">
        <f>(4146.6+4186.6+4162.5)/3</f>
        <v>4165.2333333333336</v>
      </c>
      <c r="G1646" s="3">
        <v>1</v>
      </c>
      <c r="H1646">
        <v>1120.5</v>
      </c>
      <c r="I1646">
        <v>787.1</v>
      </c>
      <c r="J1646">
        <v>21456</v>
      </c>
      <c r="K1646">
        <v>19072</v>
      </c>
      <c r="L1646" s="2">
        <v>27.605000000000004</v>
      </c>
      <c r="M1646" s="5">
        <v>161.42750000000001</v>
      </c>
      <c r="N1646" s="1">
        <v>321.42439999999999</v>
      </c>
      <c r="O1646" s="2">
        <v>35.299999999999997</v>
      </c>
      <c r="P1646">
        <v>310</v>
      </c>
    </row>
    <row r="1647" spans="1:16" x14ac:dyDescent="0.35">
      <c r="A1647" s="4">
        <v>45017</v>
      </c>
      <c r="B1647" t="s">
        <v>17</v>
      </c>
      <c r="C1647" t="s">
        <v>11</v>
      </c>
      <c r="D1647">
        <v>1</v>
      </c>
      <c r="E1647" s="2">
        <v>4000</v>
      </c>
      <c r="F1647" s="2">
        <f t="shared" ref="F1647:F1651" si="262">(4146.6+4186.6+4162.5)/3</f>
        <v>4165.2333333333336</v>
      </c>
      <c r="G1647" s="3">
        <v>1</v>
      </c>
      <c r="H1647">
        <v>1120.5</v>
      </c>
      <c r="I1647">
        <v>787.1</v>
      </c>
      <c r="J1647">
        <v>21456</v>
      </c>
      <c r="K1647">
        <v>19072</v>
      </c>
      <c r="L1647" s="2">
        <v>27.605000000000004</v>
      </c>
      <c r="M1647" s="5">
        <v>161.42750000000001</v>
      </c>
      <c r="N1647" s="1">
        <v>321.42439999999999</v>
      </c>
      <c r="O1647" s="2">
        <v>35.299999999999997</v>
      </c>
      <c r="P1647">
        <v>310</v>
      </c>
    </row>
    <row r="1648" spans="1:16" x14ac:dyDescent="0.35">
      <c r="A1648" s="4">
        <v>45017</v>
      </c>
      <c r="B1648" t="s">
        <v>17</v>
      </c>
      <c r="C1648" t="s">
        <v>12</v>
      </c>
      <c r="D1648">
        <v>1</v>
      </c>
      <c r="E1648" s="2">
        <v>3500</v>
      </c>
      <c r="F1648" s="2">
        <f t="shared" si="262"/>
        <v>4165.2333333333336</v>
      </c>
      <c r="G1648" s="3">
        <v>1</v>
      </c>
      <c r="H1648">
        <v>1120.5</v>
      </c>
      <c r="I1648">
        <v>787.1</v>
      </c>
      <c r="J1648">
        <v>21456</v>
      </c>
      <c r="K1648">
        <v>19072</v>
      </c>
      <c r="L1648" s="2">
        <v>27.605000000000004</v>
      </c>
      <c r="M1648" s="5">
        <v>161.42750000000001</v>
      </c>
      <c r="N1648" s="1">
        <v>321.42439999999999</v>
      </c>
      <c r="O1648" s="2">
        <v>35.299999999999997</v>
      </c>
      <c r="P1648">
        <v>310</v>
      </c>
    </row>
    <row r="1649" spans="1:16" x14ac:dyDescent="0.35">
      <c r="A1649" s="4">
        <v>45017</v>
      </c>
      <c r="B1649" t="s">
        <v>17</v>
      </c>
      <c r="C1649" t="s">
        <v>13</v>
      </c>
      <c r="D1649">
        <v>1</v>
      </c>
      <c r="E1649" s="2">
        <v>4600</v>
      </c>
      <c r="F1649" s="2">
        <f t="shared" si="262"/>
        <v>4165.2333333333336</v>
      </c>
      <c r="G1649" s="3">
        <v>1</v>
      </c>
      <c r="H1649">
        <v>1120.5</v>
      </c>
      <c r="I1649">
        <v>787.1</v>
      </c>
      <c r="J1649">
        <v>21456</v>
      </c>
      <c r="K1649">
        <v>19072</v>
      </c>
      <c r="L1649" s="2">
        <v>27.605000000000004</v>
      </c>
      <c r="M1649" s="5">
        <v>161.42750000000001</v>
      </c>
      <c r="N1649" s="1">
        <v>321.42439999999999</v>
      </c>
      <c r="O1649" s="2">
        <v>35.299999999999997</v>
      </c>
      <c r="P1649">
        <v>310</v>
      </c>
    </row>
    <row r="1650" spans="1:16" x14ac:dyDescent="0.35">
      <c r="A1650" s="4">
        <v>45017</v>
      </c>
      <c r="B1650" t="s">
        <v>17</v>
      </c>
      <c r="C1650" t="s">
        <v>14</v>
      </c>
      <c r="D1650">
        <v>1</v>
      </c>
      <c r="E1650" s="2">
        <f>(4500+4800+4333)/3</f>
        <v>4544.333333333333</v>
      </c>
      <c r="F1650" s="2">
        <f t="shared" si="262"/>
        <v>4165.2333333333336</v>
      </c>
      <c r="G1650" s="3">
        <v>1</v>
      </c>
      <c r="H1650">
        <v>1120.5</v>
      </c>
      <c r="I1650">
        <v>787.1</v>
      </c>
      <c r="J1650">
        <v>21456</v>
      </c>
      <c r="K1650">
        <v>19072</v>
      </c>
      <c r="L1650" s="2">
        <v>27.605000000000004</v>
      </c>
      <c r="M1650" s="5">
        <v>161.42750000000001</v>
      </c>
      <c r="N1650" s="1">
        <v>321.42439999999999</v>
      </c>
      <c r="O1650" s="2">
        <v>35.299999999999997</v>
      </c>
      <c r="P1650">
        <v>310</v>
      </c>
    </row>
    <row r="1651" spans="1:16" x14ac:dyDescent="0.35">
      <c r="A1651" s="4">
        <v>45017</v>
      </c>
      <c r="B1651" t="s">
        <v>17</v>
      </c>
      <c r="C1651" t="s">
        <v>15</v>
      </c>
      <c r="D1651">
        <v>0</v>
      </c>
      <c r="E1651" s="2" t="s">
        <v>27</v>
      </c>
      <c r="F1651" s="2">
        <f t="shared" si="262"/>
        <v>4165.2333333333336</v>
      </c>
      <c r="G1651" s="3">
        <v>1</v>
      </c>
      <c r="H1651">
        <v>1120.5</v>
      </c>
      <c r="I1651">
        <v>787.1</v>
      </c>
      <c r="J1651">
        <v>21456</v>
      </c>
      <c r="K1651">
        <v>19072</v>
      </c>
      <c r="L1651" s="2">
        <v>27.605000000000004</v>
      </c>
      <c r="M1651" s="5">
        <v>161.42750000000001</v>
      </c>
      <c r="N1651" s="1">
        <v>321.42439999999999</v>
      </c>
      <c r="O1651" s="2">
        <v>35.299999999999997</v>
      </c>
      <c r="P1651">
        <v>310</v>
      </c>
    </row>
    <row r="1652" spans="1:16" x14ac:dyDescent="0.35">
      <c r="A1652" s="4">
        <v>45017</v>
      </c>
      <c r="B1652" t="s">
        <v>18</v>
      </c>
      <c r="C1652" t="s">
        <v>10</v>
      </c>
      <c r="D1652">
        <v>1</v>
      </c>
      <c r="E1652" s="2">
        <v>3758</v>
      </c>
      <c r="F1652" s="2">
        <f>(3620.14+3629.17+3575)/3</f>
        <v>3608.103333333333</v>
      </c>
      <c r="G1652" s="3">
        <v>1</v>
      </c>
      <c r="H1652">
        <v>1120.5</v>
      </c>
      <c r="I1652">
        <v>787.1</v>
      </c>
      <c r="J1652">
        <v>21456</v>
      </c>
      <c r="K1652">
        <v>19072</v>
      </c>
      <c r="L1652" s="2">
        <v>27.605000000000004</v>
      </c>
      <c r="M1652" s="5">
        <v>161.42750000000001</v>
      </c>
      <c r="N1652" s="1">
        <v>321.42439999999999</v>
      </c>
      <c r="O1652" s="2">
        <v>35.299999999999997</v>
      </c>
      <c r="P1652">
        <v>310</v>
      </c>
    </row>
    <row r="1653" spans="1:16" x14ac:dyDescent="0.35">
      <c r="A1653" s="4">
        <v>45017</v>
      </c>
      <c r="B1653" t="s">
        <v>18</v>
      </c>
      <c r="C1653" t="s">
        <v>11</v>
      </c>
      <c r="D1653">
        <v>1</v>
      </c>
      <c r="E1653" s="2">
        <v>3600</v>
      </c>
      <c r="F1653" s="2">
        <f t="shared" ref="F1653:F1657" si="263">(3620.14+3629.17+3575)/3</f>
        <v>3608.103333333333</v>
      </c>
      <c r="G1653" s="3">
        <v>1</v>
      </c>
      <c r="H1653">
        <v>1120.5</v>
      </c>
      <c r="I1653">
        <v>787.1</v>
      </c>
      <c r="J1653">
        <v>21456</v>
      </c>
      <c r="K1653">
        <v>19072</v>
      </c>
      <c r="L1653" s="2">
        <v>27.605000000000004</v>
      </c>
      <c r="M1653" s="5">
        <v>161.42750000000001</v>
      </c>
      <c r="N1653" s="1">
        <v>321.42439999999999</v>
      </c>
      <c r="O1653" s="2">
        <v>35.299999999999997</v>
      </c>
      <c r="P1653">
        <v>310</v>
      </c>
    </row>
    <row r="1654" spans="1:16" x14ac:dyDescent="0.35">
      <c r="A1654" s="4">
        <v>45017</v>
      </c>
      <c r="B1654" t="s">
        <v>18</v>
      </c>
      <c r="C1654" t="s">
        <v>12</v>
      </c>
      <c r="D1654">
        <v>1</v>
      </c>
      <c r="E1654" s="2">
        <f>(3725+3750+3500)/3</f>
        <v>3658.3333333333335</v>
      </c>
      <c r="F1654" s="2">
        <f t="shared" si="263"/>
        <v>3608.103333333333</v>
      </c>
      <c r="G1654" s="3">
        <v>1</v>
      </c>
      <c r="H1654">
        <v>1120.5</v>
      </c>
      <c r="I1654">
        <v>787.1</v>
      </c>
      <c r="J1654">
        <v>21456</v>
      </c>
      <c r="K1654">
        <v>19072</v>
      </c>
      <c r="L1654" s="2">
        <v>27.605000000000004</v>
      </c>
      <c r="M1654" s="5">
        <v>161.42750000000001</v>
      </c>
      <c r="N1654" s="1">
        <v>321.42439999999999</v>
      </c>
      <c r="O1654" s="2">
        <v>35.299999999999997</v>
      </c>
      <c r="P1654">
        <v>310</v>
      </c>
    </row>
    <row r="1655" spans="1:16" x14ac:dyDescent="0.35">
      <c r="A1655" s="4">
        <v>45017</v>
      </c>
      <c r="B1655" t="s">
        <v>18</v>
      </c>
      <c r="C1655" t="s">
        <v>13</v>
      </c>
      <c r="D1655">
        <v>1</v>
      </c>
      <c r="E1655" s="2">
        <f>(3675+3450*2)/3</f>
        <v>3525</v>
      </c>
      <c r="F1655" s="2">
        <f t="shared" si="263"/>
        <v>3608.103333333333</v>
      </c>
      <c r="G1655" s="3">
        <v>1</v>
      </c>
      <c r="H1655">
        <v>1120.5</v>
      </c>
      <c r="I1655">
        <v>787.1</v>
      </c>
      <c r="J1655">
        <v>21456</v>
      </c>
      <c r="K1655">
        <v>19072</v>
      </c>
      <c r="L1655" s="2">
        <v>27.605000000000004</v>
      </c>
      <c r="M1655" s="5">
        <v>161.42750000000001</v>
      </c>
      <c r="N1655" s="1">
        <v>321.42439999999999</v>
      </c>
      <c r="O1655" s="2">
        <v>35.299999999999997</v>
      </c>
      <c r="P1655">
        <v>310</v>
      </c>
    </row>
    <row r="1656" spans="1:16" x14ac:dyDescent="0.35">
      <c r="A1656" s="4">
        <v>45017</v>
      </c>
      <c r="B1656" t="s">
        <v>18</v>
      </c>
      <c r="C1656" t="s">
        <v>14</v>
      </c>
      <c r="D1656">
        <v>1</v>
      </c>
      <c r="E1656" s="2">
        <f>(3800+3700+3925)/3</f>
        <v>3808.3333333333335</v>
      </c>
      <c r="F1656" s="2">
        <f t="shared" si="263"/>
        <v>3608.103333333333</v>
      </c>
      <c r="G1656" s="3">
        <v>1</v>
      </c>
      <c r="H1656">
        <v>1120.5</v>
      </c>
      <c r="I1656">
        <v>787.1</v>
      </c>
      <c r="J1656">
        <v>21456</v>
      </c>
      <c r="K1656">
        <v>19072</v>
      </c>
      <c r="L1656" s="2">
        <v>27.605000000000004</v>
      </c>
      <c r="M1656" s="5">
        <v>161.42750000000001</v>
      </c>
      <c r="N1656" s="1">
        <v>321.42439999999999</v>
      </c>
      <c r="O1656" s="2">
        <v>35.299999999999997</v>
      </c>
      <c r="P1656">
        <v>310</v>
      </c>
    </row>
    <row r="1657" spans="1:16" x14ac:dyDescent="0.35">
      <c r="A1657" s="4">
        <v>45017</v>
      </c>
      <c r="B1657" t="s">
        <v>18</v>
      </c>
      <c r="C1657" t="s">
        <v>15</v>
      </c>
      <c r="D1657">
        <v>1</v>
      </c>
      <c r="E1657" s="2">
        <f>(3400+3500+3950)/3</f>
        <v>3616.6666666666665</v>
      </c>
      <c r="F1657" s="2">
        <f t="shared" si="263"/>
        <v>3608.103333333333</v>
      </c>
      <c r="G1657" s="3">
        <v>1</v>
      </c>
      <c r="H1657">
        <v>1120.5</v>
      </c>
      <c r="I1657">
        <v>787.1</v>
      </c>
      <c r="J1657">
        <v>21456</v>
      </c>
      <c r="K1657">
        <v>19072</v>
      </c>
      <c r="L1657" s="2">
        <v>27.605000000000004</v>
      </c>
      <c r="M1657" s="5">
        <v>161.42750000000001</v>
      </c>
      <c r="N1657" s="1">
        <v>321.42439999999999</v>
      </c>
      <c r="O1657" s="2">
        <v>35.299999999999997</v>
      </c>
      <c r="P1657">
        <v>310</v>
      </c>
    </row>
    <row r="1658" spans="1:16" x14ac:dyDescent="0.35">
      <c r="A1658" s="4">
        <v>45017</v>
      </c>
      <c r="B1658" t="s">
        <v>19</v>
      </c>
      <c r="C1658" t="s">
        <v>10</v>
      </c>
      <c r="D1658">
        <v>1</v>
      </c>
      <c r="E1658" s="2">
        <v>3275</v>
      </c>
      <c r="F1658" s="2">
        <f>(3158.75+3137.78+3146.78)/3</f>
        <v>3147.7700000000004</v>
      </c>
      <c r="G1658" s="3">
        <v>1</v>
      </c>
      <c r="H1658">
        <v>1120.5</v>
      </c>
      <c r="I1658">
        <v>787.1</v>
      </c>
      <c r="J1658">
        <v>21456</v>
      </c>
      <c r="K1658">
        <v>19072</v>
      </c>
      <c r="L1658" s="2">
        <v>27.605000000000004</v>
      </c>
      <c r="M1658" s="5">
        <v>161.42750000000001</v>
      </c>
      <c r="N1658" s="1">
        <v>321.42439999999999</v>
      </c>
      <c r="O1658" s="2">
        <v>35.299999999999997</v>
      </c>
      <c r="P1658">
        <v>310</v>
      </c>
    </row>
    <row r="1659" spans="1:16" x14ac:dyDescent="0.35">
      <c r="A1659" s="4">
        <v>45017</v>
      </c>
      <c r="B1659" t="s">
        <v>19</v>
      </c>
      <c r="C1659" t="s">
        <v>11</v>
      </c>
      <c r="D1659">
        <v>1</v>
      </c>
      <c r="E1659" s="2">
        <v>3133.33</v>
      </c>
      <c r="F1659" s="2">
        <f t="shared" ref="F1659:F1663" si="264">(3158.75+3137.78+3146.78)/3</f>
        <v>3147.7700000000004</v>
      </c>
      <c r="G1659" s="3">
        <v>1</v>
      </c>
      <c r="H1659">
        <v>1120.5</v>
      </c>
      <c r="I1659">
        <v>787.1</v>
      </c>
      <c r="J1659">
        <v>21456</v>
      </c>
      <c r="K1659">
        <v>19072</v>
      </c>
      <c r="L1659" s="2">
        <v>27.605000000000004</v>
      </c>
      <c r="M1659" s="5">
        <v>161.42750000000001</v>
      </c>
      <c r="N1659" s="1">
        <v>321.42439999999999</v>
      </c>
      <c r="O1659" s="2">
        <v>35.299999999999997</v>
      </c>
      <c r="P1659">
        <v>310</v>
      </c>
    </row>
    <row r="1660" spans="1:16" x14ac:dyDescent="0.35">
      <c r="A1660" s="4">
        <v>45017</v>
      </c>
      <c r="B1660" t="s">
        <v>19</v>
      </c>
      <c r="C1660" t="s">
        <v>12</v>
      </c>
      <c r="D1660">
        <v>1</v>
      </c>
      <c r="E1660" s="2">
        <f>9233/3</f>
        <v>3077.6666666666665</v>
      </c>
      <c r="F1660" s="2">
        <f t="shared" si="264"/>
        <v>3147.7700000000004</v>
      </c>
      <c r="G1660" s="3">
        <v>1</v>
      </c>
      <c r="H1660">
        <v>1120.5</v>
      </c>
      <c r="I1660">
        <v>787.1</v>
      </c>
      <c r="J1660">
        <v>21456</v>
      </c>
      <c r="K1660">
        <v>19072</v>
      </c>
      <c r="L1660" s="2">
        <v>27.605000000000004</v>
      </c>
      <c r="M1660" s="5">
        <v>161.42750000000001</v>
      </c>
      <c r="N1660" s="1">
        <v>321.42439999999999</v>
      </c>
      <c r="O1660" s="2">
        <v>35.299999999999997</v>
      </c>
      <c r="P1660">
        <v>310</v>
      </c>
    </row>
    <row r="1661" spans="1:16" x14ac:dyDescent="0.35">
      <c r="A1661" s="4">
        <v>45017</v>
      </c>
      <c r="B1661" t="s">
        <v>19</v>
      </c>
      <c r="C1661" t="s">
        <v>13</v>
      </c>
      <c r="D1661">
        <v>1</v>
      </c>
      <c r="E1661" s="2">
        <v>3250</v>
      </c>
      <c r="F1661" s="2">
        <f t="shared" si="264"/>
        <v>3147.7700000000004</v>
      </c>
      <c r="G1661" s="3">
        <v>1</v>
      </c>
      <c r="H1661">
        <v>1120.5</v>
      </c>
      <c r="I1661">
        <v>787.1</v>
      </c>
      <c r="J1661">
        <v>21456</v>
      </c>
      <c r="K1661">
        <v>19072</v>
      </c>
      <c r="L1661" s="2">
        <v>27.605000000000004</v>
      </c>
      <c r="M1661" s="5">
        <v>161.42750000000001</v>
      </c>
      <c r="N1661" s="1">
        <v>321.42439999999999</v>
      </c>
      <c r="O1661" s="2">
        <v>35.299999999999997</v>
      </c>
      <c r="P1661">
        <v>310</v>
      </c>
    </row>
    <row r="1662" spans="1:16" x14ac:dyDescent="0.35">
      <c r="A1662" s="4">
        <v>45017</v>
      </c>
      <c r="B1662" t="s">
        <v>19</v>
      </c>
      <c r="C1662" t="s">
        <v>14</v>
      </c>
      <c r="D1662">
        <v>1</v>
      </c>
      <c r="E1662" s="2">
        <f>(3421+3457+3520)/3</f>
        <v>3466</v>
      </c>
      <c r="F1662" s="2">
        <f t="shared" si="264"/>
        <v>3147.7700000000004</v>
      </c>
      <c r="G1662" s="3">
        <v>1</v>
      </c>
      <c r="H1662">
        <v>1120.5</v>
      </c>
      <c r="I1662">
        <v>787.1</v>
      </c>
      <c r="J1662">
        <v>21456</v>
      </c>
      <c r="K1662">
        <v>19072</v>
      </c>
      <c r="L1662" s="2">
        <v>27.605000000000004</v>
      </c>
      <c r="M1662" s="5">
        <v>161.42750000000001</v>
      </c>
      <c r="N1662" s="1">
        <v>321.42439999999999</v>
      </c>
      <c r="O1662" s="2">
        <v>35.299999999999997</v>
      </c>
      <c r="P1662">
        <v>310</v>
      </c>
    </row>
    <row r="1663" spans="1:16" x14ac:dyDescent="0.35">
      <c r="A1663" s="4">
        <v>45017</v>
      </c>
      <c r="B1663" t="s">
        <v>19</v>
      </c>
      <c r="C1663" t="s">
        <v>15</v>
      </c>
      <c r="D1663">
        <v>1</v>
      </c>
      <c r="E1663" s="2">
        <f>(3200+3500+3400)/3</f>
        <v>3366.6666666666665</v>
      </c>
      <c r="F1663" s="2">
        <f t="shared" si="264"/>
        <v>3147.7700000000004</v>
      </c>
      <c r="G1663" s="3">
        <v>1</v>
      </c>
      <c r="H1663">
        <v>1120.5</v>
      </c>
      <c r="I1663">
        <v>787.1</v>
      </c>
      <c r="J1663">
        <v>21456</v>
      </c>
      <c r="K1663">
        <v>19072</v>
      </c>
      <c r="L1663" s="2">
        <v>27.605000000000004</v>
      </c>
      <c r="M1663" s="5">
        <v>161.42750000000001</v>
      </c>
      <c r="N1663" s="1">
        <v>321.42439999999999</v>
      </c>
      <c r="O1663" s="2">
        <v>35.299999999999997</v>
      </c>
      <c r="P1663">
        <v>310</v>
      </c>
    </row>
    <row r="1664" spans="1:16" x14ac:dyDescent="0.35">
      <c r="A1664" s="4">
        <v>45017</v>
      </c>
      <c r="B1664" t="s">
        <v>20</v>
      </c>
      <c r="C1664" t="s">
        <v>10</v>
      </c>
      <c r="D1664">
        <v>1</v>
      </c>
      <c r="E1664" s="2">
        <v>2725</v>
      </c>
      <c r="F1664" s="2">
        <f>(2682.25+2753.57+2733.57)/3</f>
        <v>2723.1299999999997</v>
      </c>
      <c r="G1664" s="3">
        <v>1</v>
      </c>
      <c r="H1664">
        <v>1120.5</v>
      </c>
      <c r="I1664">
        <v>787.1</v>
      </c>
      <c r="J1664">
        <v>21456</v>
      </c>
      <c r="K1664">
        <v>19072</v>
      </c>
      <c r="L1664" s="2">
        <v>27.605000000000004</v>
      </c>
      <c r="M1664" s="5">
        <v>161.42750000000001</v>
      </c>
      <c r="N1664" s="1">
        <v>321.42439999999999</v>
      </c>
      <c r="O1664" s="2">
        <v>35.299999999999997</v>
      </c>
      <c r="P1664">
        <v>310</v>
      </c>
    </row>
    <row r="1665" spans="1:16" x14ac:dyDescent="0.35">
      <c r="A1665" s="4">
        <v>45017</v>
      </c>
      <c r="B1665" t="s">
        <v>20</v>
      </c>
      <c r="C1665" t="s">
        <v>11</v>
      </c>
      <c r="D1665">
        <v>1</v>
      </c>
      <c r="E1665" s="2">
        <f>(2800+2900+2300)/3</f>
        <v>2666.6666666666665</v>
      </c>
      <c r="F1665" s="2">
        <f t="shared" ref="F1665:F1669" si="265">(2682.25+2753.57+2733.57)/3</f>
        <v>2723.1299999999997</v>
      </c>
      <c r="G1665" s="3">
        <v>1</v>
      </c>
      <c r="H1665">
        <v>1120.5</v>
      </c>
      <c r="I1665">
        <v>787.1</v>
      </c>
      <c r="J1665">
        <v>21456</v>
      </c>
      <c r="K1665">
        <v>19072</v>
      </c>
      <c r="L1665" s="2">
        <v>27.605000000000004</v>
      </c>
      <c r="M1665" s="5">
        <v>161.42750000000001</v>
      </c>
      <c r="N1665" s="1">
        <v>321.42439999999999</v>
      </c>
      <c r="O1665" s="2">
        <v>35.299999999999997</v>
      </c>
      <c r="P1665">
        <v>310</v>
      </c>
    </row>
    <row r="1666" spans="1:16" x14ac:dyDescent="0.35">
      <c r="A1666" s="4">
        <v>45017</v>
      </c>
      <c r="B1666" t="s">
        <v>20</v>
      </c>
      <c r="C1666" t="s">
        <v>12</v>
      </c>
      <c r="D1666">
        <v>1</v>
      </c>
      <c r="E1666" s="2">
        <v>1950</v>
      </c>
      <c r="F1666" s="2">
        <f t="shared" si="265"/>
        <v>2723.1299999999997</v>
      </c>
      <c r="G1666" s="3">
        <v>1</v>
      </c>
      <c r="H1666">
        <v>1120.5</v>
      </c>
      <c r="I1666">
        <v>787.1</v>
      </c>
      <c r="J1666">
        <v>21456</v>
      </c>
      <c r="K1666">
        <v>19072</v>
      </c>
      <c r="L1666" s="2">
        <v>27.605000000000004</v>
      </c>
      <c r="M1666" s="5">
        <v>161.42750000000001</v>
      </c>
      <c r="N1666" s="1">
        <v>321.42439999999999</v>
      </c>
      <c r="O1666" s="2">
        <v>35.299999999999997</v>
      </c>
      <c r="P1666">
        <v>310</v>
      </c>
    </row>
    <row r="1667" spans="1:16" x14ac:dyDescent="0.35">
      <c r="A1667" s="4">
        <v>45017</v>
      </c>
      <c r="B1667" t="s">
        <v>20</v>
      </c>
      <c r="C1667" t="s">
        <v>13</v>
      </c>
      <c r="D1667">
        <v>1</v>
      </c>
      <c r="E1667" s="2">
        <v>3000</v>
      </c>
      <c r="F1667" s="2">
        <f t="shared" si="265"/>
        <v>2723.1299999999997</v>
      </c>
      <c r="G1667" s="3">
        <v>1</v>
      </c>
      <c r="H1667">
        <v>1120.5</v>
      </c>
      <c r="I1667">
        <v>787.1</v>
      </c>
      <c r="J1667">
        <v>21456</v>
      </c>
      <c r="K1667">
        <v>19072</v>
      </c>
      <c r="L1667" s="2">
        <v>27.605000000000004</v>
      </c>
      <c r="M1667" s="5">
        <v>161.42750000000001</v>
      </c>
      <c r="N1667" s="1">
        <v>321.42439999999999</v>
      </c>
      <c r="O1667" s="2">
        <v>35.299999999999997</v>
      </c>
      <c r="P1667">
        <v>310</v>
      </c>
    </row>
    <row r="1668" spans="1:16" x14ac:dyDescent="0.35">
      <c r="A1668" s="4">
        <v>45017</v>
      </c>
      <c r="B1668" t="s">
        <v>20</v>
      </c>
      <c r="C1668" t="s">
        <v>14</v>
      </c>
      <c r="D1668">
        <v>1</v>
      </c>
      <c r="E1668" s="2">
        <f>(2883+3100+3075)/3</f>
        <v>3019.3333333333335</v>
      </c>
      <c r="F1668" s="2">
        <f t="shared" si="265"/>
        <v>2723.1299999999997</v>
      </c>
      <c r="G1668" s="3">
        <v>1</v>
      </c>
      <c r="H1668">
        <v>1120.5</v>
      </c>
      <c r="I1668">
        <v>787.1</v>
      </c>
      <c r="J1668">
        <v>21456</v>
      </c>
      <c r="K1668">
        <v>19072</v>
      </c>
      <c r="L1668" s="2">
        <v>27.605000000000004</v>
      </c>
      <c r="M1668" s="5">
        <v>161.42750000000001</v>
      </c>
      <c r="N1668" s="1">
        <v>321.42439999999999</v>
      </c>
      <c r="O1668" s="2">
        <v>35.299999999999997</v>
      </c>
      <c r="P1668">
        <v>310</v>
      </c>
    </row>
    <row r="1669" spans="1:16" x14ac:dyDescent="0.35">
      <c r="A1669" s="4">
        <v>45017</v>
      </c>
      <c r="B1669" t="s">
        <v>20</v>
      </c>
      <c r="C1669" t="s">
        <v>15</v>
      </c>
      <c r="D1669">
        <v>1</v>
      </c>
      <c r="E1669" s="2">
        <v>3000</v>
      </c>
      <c r="F1669" s="2">
        <f t="shared" si="265"/>
        <v>2723.1299999999997</v>
      </c>
      <c r="G1669" s="3">
        <v>1</v>
      </c>
      <c r="H1669">
        <v>1120.5</v>
      </c>
      <c r="I1669">
        <v>787.1</v>
      </c>
      <c r="J1669">
        <v>21456</v>
      </c>
      <c r="K1669">
        <v>19072</v>
      </c>
      <c r="L1669" s="2">
        <v>27.605000000000004</v>
      </c>
      <c r="M1669" s="5">
        <v>161.42750000000001</v>
      </c>
      <c r="N1669" s="1">
        <v>321.42439999999999</v>
      </c>
      <c r="O1669" s="2">
        <v>35.299999999999997</v>
      </c>
      <c r="P1669">
        <v>310</v>
      </c>
    </row>
    <row r="1670" spans="1:16" x14ac:dyDescent="0.35">
      <c r="A1670" s="4">
        <v>45017</v>
      </c>
      <c r="B1670" t="s">
        <v>21</v>
      </c>
      <c r="C1670" t="s">
        <v>10</v>
      </c>
      <c r="D1670">
        <v>1</v>
      </c>
      <c r="E1670" s="2">
        <v>2483</v>
      </c>
      <c r="F1670" s="2">
        <f>(2394.75+2542+2504.29)/3</f>
        <v>2480.3466666666668</v>
      </c>
      <c r="G1670" s="3">
        <v>1</v>
      </c>
      <c r="H1670">
        <v>1120.5</v>
      </c>
      <c r="I1670">
        <v>787.1</v>
      </c>
      <c r="J1670">
        <v>21456</v>
      </c>
      <c r="K1670">
        <v>19072</v>
      </c>
      <c r="L1670" s="2">
        <v>27.605000000000004</v>
      </c>
      <c r="M1670" s="5">
        <v>161.42750000000001</v>
      </c>
      <c r="N1670" s="1">
        <v>321.42439999999999</v>
      </c>
      <c r="O1670" s="2">
        <v>35.299999999999997</v>
      </c>
      <c r="P1670">
        <v>310</v>
      </c>
    </row>
    <row r="1671" spans="1:16" x14ac:dyDescent="0.35">
      <c r="A1671" s="4">
        <v>45017</v>
      </c>
      <c r="B1671" t="s">
        <v>21</v>
      </c>
      <c r="C1671" t="s">
        <v>11</v>
      </c>
      <c r="D1671">
        <v>1</v>
      </c>
      <c r="E1671" s="2">
        <v>2433.33</v>
      </c>
      <c r="F1671" s="2">
        <f t="shared" ref="F1671:F1675" si="266">(2394.75+2542+2504.29)/3</f>
        <v>2480.3466666666668</v>
      </c>
      <c r="G1671" s="3">
        <v>1</v>
      </c>
      <c r="H1671">
        <v>1120.5</v>
      </c>
      <c r="I1671">
        <v>787.1</v>
      </c>
      <c r="J1671">
        <v>21456</v>
      </c>
      <c r="K1671">
        <v>19072</v>
      </c>
      <c r="L1671" s="2">
        <v>27.605000000000004</v>
      </c>
      <c r="M1671" s="5">
        <v>161.42750000000001</v>
      </c>
      <c r="N1671" s="1">
        <v>321.42439999999999</v>
      </c>
      <c r="O1671" s="2">
        <v>35.299999999999997</v>
      </c>
      <c r="P1671">
        <v>310</v>
      </c>
    </row>
    <row r="1672" spans="1:16" x14ac:dyDescent="0.35">
      <c r="A1672" s="4">
        <v>45017</v>
      </c>
      <c r="B1672" t="s">
        <v>21</v>
      </c>
      <c r="C1672" t="s">
        <v>12</v>
      </c>
      <c r="D1672">
        <v>1</v>
      </c>
      <c r="E1672" s="2">
        <v>1500</v>
      </c>
      <c r="F1672" s="2">
        <f t="shared" si="266"/>
        <v>2480.3466666666668</v>
      </c>
      <c r="G1672" s="3">
        <v>1</v>
      </c>
      <c r="H1672">
        <v>1120.5</v>
      </c>
      <c r="I1672">
        <v>787.1</v>
      </c>
      <c r="J1672">
        <v>21456</v>
      </c>
      <c r="K1672">
        <v>19072</v>
      </c>
      <c r="L1672" s="2">
        <v>27.605000000000004</v>
      </c>
      <c r="M1672" s="5">
        <v>161.42750000000001</v>
      </c>
      <c r="N1672" s="1">
        <v>321.42439999999999</v>
      </c>
      <c r="O1672" s="2">
        <v>35.299999999999997</v>
      </c>
      <c r="P1672">
        <v>310</v>
      </c>
    </row>
    <row r="1673" spans="1:16" x14ac:dyDescent="0.35">
      <c r="A1673" s="4">
        <v>45017</v>
      </c>
      <c r="B1673" t="s">
        <v>21</v>
      </c>
      <c r="C1673" t="s">
        <v>13</v>
      </c>
      <c r="D1673">
        <v>1</v>
      </c>
      <c r="E1673" s="2">
        <v>2750</v>
      </c>
      <c r="F1673" s="2">
        <f t="shared" si="266"/>
        <v>2480.3466666666668</v>
      </c>
      <c r="G1673" s="3">
        <v>1</v>
      </c>
      <c r="H1673">
        <v>1120.5</v>
      </c>
      <c r="I1673">
        <v>787.1</v>
      </c>
      <c r="J1673">
        <v>21456</v>
      </c>
      <c r="K1673">
        <v>19072</v>
      </c>
      <c r="L1673" s="2">
        <v>27.605000000000004</v>
      </c>
      <c r="M1673" s="5">
        <v>161.42750000000001</v>
      </c>
      <c r="N1673" s="1">
        <v>321.42439999999999</v>
      </c>
      <c r="O1673" s="2">
        <v>35.299999999999997</v>
      </c>
      <c r="P1673">
        <v>310</v>
      </c>
    </row>
    <row r="1674" spans="1:16" x14ac:dyDescent="0.35">
      <c r="A1674" s="4">
        <v>45017</v>
      </c>
      <c r="B1674" t="s">
        <v>21</v>
      </c>
      <c r="C1674" t="s">
        <v>14</v>
      </c>
      <c r="D1674">
        <v>1</v>
      </c>
      <c r="E1674" s="2">
        <f>(2836+2650+2900)/3</f>
        <v>2795.3333333333335</v>
      </c>
      <c r="F1674" s="2">
        <f t="shared" si="266"/>
        <v>2480.3466666666668</v>
      </c>
      <c r="G1674" s="3">
        <v>1</v>
      </c>
      <c r="H1674">
        <v>1120.5</v>
      </c>
      <c r="I1674">
        <v>787.1</v>
      </c>
      <c r="J1674">
        <v>21456</v>
      </c>
      <c r="K1674">
        <v>19072</v>
      </c>
      <c r="L1674" s="2">
        <v>27.605000000000004</v>
      </c>
      <c r="M1674" s="5">
        <v>161.42750000000001</v>
      </c>
      <c r="N1674" s="1">
        <v>321.42439999999999</v>
      </c>
      <c r="O1674" s="2">
        <v>35.299999999999997</v>
      </c>
      <c r="P1674">
        <v>310</v>
      </c>
    </row>
    <row r="1675" spans="1:16" x14ac:dyDescent="0.35">
      <c r="A1675" s="4">
        <v>45017</v>
      </c>
      <c r="B1675" t="s">
        <v>21</v>
      </c>
      <c r="C1675" t="s">
        <v>15</v>
      </c>
      <c r="D1675">
        <v>1</v>
      </c>
      <c r="E1675" s="2">
        <v>2866.67</v>
      </c>
      <c r="F1675" s="2">
        <f t="shared" si="266"/>
        <v>2480.3466666666668</v>
      </c>
      <c r="G1675" s="3">
        <v>1</v>
      </c>
      <c r="H1675">
        <v>1120.5</v>
      </c>
      <c r="I1675">
        <v>787.1</v>
      </c>
      <c r="J1675">
        <v>21456</v>
      </c>
      <c r="K1675">
        <v>19072</v>
      </c>
      <c r="L1675" s="2">
        <v>27.605000000000004</v>
      </c>
      <c r="M1675" s="5">
        <v>161.42750000000001</v>
      </c>
      <c r="N1675" s="1">
        <v>321.42439999999999</v>
      </c>
      <c r="O1675" s="2">
        <v>35.299999999999997</v>
      </c>
      <c r="P1675">
        <v>310</v>
      </c>
    </row>
    <row r="1676" spans="1:16" x14ac:dyDescent="0.35">
      <c r="A1676" s="4">
        <v>45017</v>
      </c>
      <c r="B1676" t="s">
        <v>22</v>
      </c>
      <c r="C1676" t="s">
        <v>10</v>
      </c>
      <c r="D1676">
        <v>0</v>
      </c>
      <c r="E1676" s="2" t="s">
        <v>27</v>
      </c>
      <c r="F1676" s="2">
        <f t="shared" ref="F1676:F1679" si="267">(2433+2025+2067)/3</f>
        <v>2175</v>
      </c>
      <c r="G1676" s="3">
        <v>1</v>
      </c>
      <c r="H1676">
        <v>1120.5</v>
      </c>
      <c r="I1676">
        <v>787.1</v>
      </c>
      <c r="J1676">
        <v>21456</v>
      </c>
      <c r="K1676">
        <v>19072</v>
      </c>
      <c r="L1676" s="2">
        <v>27.605000000000004</v>
      </c>
      <c r="M1676" s="5">
        <v>161.42750000000001</v>
      </c>
      <c r="N1676" s="1">
        <v>321.42439999999999</v>
      </c>
      <c r="O1676" s="2">
        <v>35.299999999999997</v>
      </c>
      <c r="P1676">
        <v>310</v>
      </c>
    </row>
    <row r="1677" spans="1:16" x14ac:dyDescent="0.35">
      <c r="A1677" s="4">
        <v>45017</v>
      </c>
      <c r="B1677" t="s">
        <v>22</v>
      </c>
      <c r="C1677" t="s">
        <v>11</v>
      </c>
      <c r="D1677">
        <v>0</v>
      </c>
      <c r="E1677" s="2" t="s">
        <v>27</v>
      </c>
      <c r="F1677" s="2">
        <f t="shared" si="267"/>
        <v>2175</v>
      </c>
      <c r="G1677" s="3">
        <v>1</v>
      </c>
      <c r="H1677">
        <v>1120.5</v>
      </c>
      <c r="I1677">
        <v>787.1</v>
      </c>
      <c r="J1677">
        <v>21456</v>
      </c>
      <c r="K1677">
        <v>19072</v>
      </c>
      <c r="L1677" s="2">
        <v>27.605000000000004</v>
      </c>
      <c r="M1677" s="5">
        <v>161.42750000000001</v>
      </c>
      <c r="N1677" s="1">
        <v>321.42439999999999</v>
      </c>
      <c r="O1677" s="2">
        <v>35.299999999999997</v>
      </c>
      <c r="P1677">
        <v>310</v>
      </c>
    </row>
    <row r="1678" spans="1:16" x14ac:dyDescent="0.35">
      <c r="A1678" s="4">
        <v>45017</v>
      </c>
      <c r="B1678" t="s">
        <v>22</v>
      </c>
      <c r="C1678" t="s">
        <v>12</v>
      </c>
      <c r="D1678">
        <v>0</v>
      </c>
      <c r="E1678" s="2" t="s">
        <v>27</v>
      </c>
      <c r="F1678" s="2">
        <f t="shared" si="267"/>
        <v>2175</v>
      </c>
      <c r="G1678" s="3">
        <v>1</v>
      </c>
      <c r="H1678">
        <v>1120.5</v>
      </c>
      <c r="I1678">
        <v>787.1</v>
      </c>
      <c r="J1678">
        <v>21456</v>
      </c>
      <c r="K1678">
        <v>19072</v>
      </c>
      <c r="L1678" s="2">
        <v>27.605000000000004</v>
      </c>
      <c r="M1678" s="5">
        <v>161.42750000000001</v>
      </c>
      <c r="N1678" s="1">
        <v>321.42439999999999</v>
      </c>
      <c r="O1678" s="2">
        <v>35.299999999999997</v>
      </c>
      <c r="P1678">
        <v>310</v>
      </c>
    </row>
    <row r="1679" spans="1:16" x14ac:dyDescent="0.35">
      <c r="A1679" s="4">
        <v>45017</v>
      </c>
      <c r="B1679" t="s">
        <v>22</v>
      </c>
      <c r="C1679" t="s">
        <v>13</v>
      </c>
      <c r="D1679">
        <v>0</v>
      </c>
      <c r="E1679" s="2" t="s">
        <v>27</v>
      </c>
      <c r="F1679" s="2">
        <f t="shared" si="267"/>
        <v>2175</v>
      </c>
      <c r="G1679" s="3">
        <v>1</v>
      </c>
      <c r="H1679">
        <v>1120.5</v>
      </c>
      <c r="I1679">
        <v>787.1</v>
      </c>
      <c r="J1679">
        <v>21456</v>
      </c>
      <c r="K1679">
        <v>19072</v>
      </c>
      <c r="L1679" s="2">
        <v>27.605000000000004</v>
      </c>
      <c r="M1679" s="5">
        <v>161.42750000000001</v>
      </c>
      <c r="N1679" s="1">
        <v>321.42439999999999</v>
      </c>
      <c r="O1679" s="2">
        <v>35.299999999999997</v>
      </c>
      <c r="P1679">
        <v>310</v>
      </c>
    </row>
    <row r="1680" spans="1:16" x14ac:dyDescent="0.35">
      <c r="A1680" s="4">
        <v>45017</v>
      </c>
      <c r="B1680" t="s">
        <v>22</v>
      </c>
      <c r="C1680" t="s">
        <v>14</v>
      </c>
      <c r="D1680">
        <v>1</v>
      </c>
      <c r="E1680" s="2">
        <f>(2433+2025+2067)/3</f>
        <v>2175</v>
      </c>
      <c r="F1680" s="2">
        <f>(2433+2025+2067)/3</f>
        <v>2175</v>
      </c>
      <c r="G1680" s="3">
        <v>1</v>
      </c>
      <c r="H1680">
        <v>1120.5</v>
      </c>
      <c r="I1680">
        <v>787.1</v>
      </c>
      <c r="J1680">
        <v>21456</v>
      </c>
      <c r="K1680">
        <v>19072</v>
      </c>
      <c r="L1680" s="2">
        <v>27.605000000000004</v>
      </c>
      <c r="M1680" s="5">
        <v>161.42750000000001</v>
      </c>
      <c r="N1680" s="1">
        <v>321.42439999999999</v>
      </c>
      <c r="O1680" s="2">
        <v>35.299999999999997</v>
      </c>
      <c r="P1680">
        <v>310</v>
      </c>
    </row>
    <row r="1681" spans="1:16" x14ac:dyDescent="0.35">
      <c r="A1681" s="4">
        <v>45017</v>
      </c>
      <c r="B1681" t="s">
        <v>22</v>
      </c>
      <c r="C1681" t="s">
        <v>15</v>
      </c>
      <c r="D1681">
        <v>0</v>
      </c>
      <c r="E1681" s="2" t="s">
        <v>27</v>
      </c>
      <c r="F1681" s="2">
        <f>(2433+2025+2067)/3</f>
        <v>2175</v>
      </c>
      <c r="G1681" s="3">
        <v>1</v>
      </c>
      <c r="H1681">
        <v>1120.5</v>
      </c>
      <c r="I1681">
        <v>787.1</v>
      </c>
      <c r="J1681">
        <v>21456</v>
      </c>
      <c r="K1681">
        <v>19072</v>
      </c>
      <c r="L1681" s="2">
        <v>27.605000000000004</v>
      </c>
      <c r="M1681" s="5">
        <v>161.42750000000001</v>
      </c>
      <c r="N1681" s="1">
        <v>321.42439999999999</v>
      </c>
      <c r="O1681" s="2">
        <v>35.299999999999997</v>
      </c>
      <c r="P1681">
        <v>310</v>
      </c>
    </row>
    <row r="1682" spans="1:16" x14ac:dyDescent="0.35">
      <c r="A1682" s="4">
        <v>45047</v>
      </c>
      <c r="B1682" t="s">
        <v>16</v>
      </c>
      <c r="C1682" t="s">
        <v>10</v>
      </c>
      <c r="D1682">
        <v>1</v>
      </c>
      <c r="E1682" s="2">
        <f>(4800+5450+5333+4950+5500)/5</f>
        <v>5206.6000000000004</v>
      </c>
      <c r="F1682" s="2">
        <f>(4948.75+5213.75+5203.25+5122.5+5238.75)/5</f>
        <v>5145.3999999999996</v>
      </c>
      <c r="G1682" s="3">
        <v>1</v>
      </c>
      <c r="H1682">
        <v>2241</v>
      </c>
      <c r="I1682">
        <v>983.9</v>
      </c>
      <c r="J1682">
        <v>19969</v>
      </c>
      <c r="K1682">
        <v>19072</v>
      </c>
      <c r="L1682" s="2">
        <v>27.372500000000002</v>
      </c>
      <c r="M1682" s="5">
        <v>198.88300000000001</v>
      </c>
      <c r="N1682" s="1">
        <v>310.16390000000001</v>
      </c>
      <c r="O1682" s="2">
        <v>25.2</v>
      </c>
      <c r="P1682">
        <v>310</v>
      </c>
    </row>
    <row r="1683" spans="1:16" x14ac:dyDescent="0.35">
      <c r="A1683" s="4">
        <v>45047</v>
      </c>
      <c r="B1683" t="s">
        <v>16</v>
      </c>
      <c r="C1683" t="s">
        <v>11</v>
      </c>
      <c r="D1683">
        <v>0</v>
      </c>
      <c r="E1683" s="2" t="s">
        <v>27</v>
      </c>
      <c r="F1683" s="2">
        <f t="shared" ref="F1683:F1687" si="268">(4948.75+5213.75+5203.25+5122.5+5238.75)/5</f>
        <v>5145.3999999999996</v>
      </c>
      <c r="G1683" s="3">
        <v>1</v>
      </c>
      <c r="H1683">
        <v>2241</v>
      </c>
      <c r="I1683">
        <v>983.9</v>
      </c>
      <c r="J1683">
        <v>19969</v>
      </c>
      <c r="K1683">
        <v>19072</v>
      </c>
      <c r="L1683" s="2">
        <v>27.372500000000002</v>
      </c>
      <c r="M1683" s="5">
        <v>198.88300000000001</v>
      </c>
      <c r="N1683" s="1">
        <v>310.16390000000001</v>
      </c>
      <c r="O1683" s="2">
        <v>25.2</v>
      </c>
      <c r="P1683">
        <v>310</v>
      </c>
    </row>
    <row r="1684" spans="1:16" x14ac:dyDescent="0.35">
      <c r="A1684" s="4">
        <v>45047</v>
      </c>
      <c r="B1684" t="s">
        <v>16</v>
      </c>
      <c r="C1684" t="s">
        <v>12</v>
      </c>
      <c r="D1684">
        <v>1</v>
      </c>
      <c r="E1684" s="2">
        <v>4985</v>
      </c>
      <c r="F1684" s="2">
        <f t="shared" si="268"/>
        <v>5145.3999999999996</v>
      </c>
      <c r="G1684" s="3">
        <v>1</v>
      </c>
      <c r="H1684">
        <v>2241</v>
      </c>
      <c r="I1684">
        <v>983.9</v>
      </c>
      <c r="J1684">
        <v>19969</v>
      </c>
      <c r="K1684">
        <v>19072</v>
      </c>
      <c r="L1684" s="2">
        <v>27.372500000000002</v>
      </c>
      <c r="M1684" s="5">
        <v>198.88300000000001</v>
      </c>
      <c r="N1684" s="1">
        <v>310.16390000000001</v>
      </c>
      <c r="O1684" s="2">
        <v>25.2</v>
      </c>
      <c r="P1684">
        <v>310</v>
      </c>
    </row>
    <row r="1685" spans="1:16" x14ac:dyDescent="0.35">
      <c r="A1685" s="4">
        <v>45047</v>
      </c>
      <c r="B1685" t="s">
        <v>16</v>
      </c>
      <c r="C1685" t="s">
        <v>13</v>
      </c>
      <c r="D1685">
        <v>1</v>
      </c>
      <c r="E1685" s="2">
        <v>5050</v>
      </c>
      <c r="F1685" s="2">
        <f t="shared" si="268"/>
        <v>5145.3999999999996</v>
      </c>
      <c r="G1685" s="3">
        <v>1</v>
      </c>
      <c r="H1685">
        <v>2241</v>
      </c>
      <c r="I1685">
        <v>983.9</v>
      </c>
      <c r="J1685">
        <v>19969</v>
      </c>
      <c r="K1685">
        <v>19072</v>
      </c>
      <c r="L1685" s="2">
        <v>27.372500000000002</v>
      </c>
      <c r="M1685" s="5">
        <v>198.88300000000001</v>
      </c>
      <c r="N1685" s="1">
        <v>310.16390000000001</v>
      </c>
      <c r="O1685" s="2">
        <v>25.2</v>
      </c>
      <c r="P1685">
        <v>310</v>
      </c>
    </row>
    <row r="1686" spans="1:16" x14ac:dyDescent="0.35">
      <c r="A1686" s="4">
        <v>45047</v>
      </c>
      <c r="B1686" t="s">
        <v>16</v>
      </c>
      <c r="C1686" t="s">
        <v>14</v>
      </c>
      <c r="D1686">
        <v>1</v>
      </c>
      <c r="E1686" s="2">
        <f>(5575+5500+5450+5325+5000)/5</f>
        <v>5370</v>
      </c>
      <c r="F1686" s="2">
        <f t="shared" si="268"/>
        <v>5145.3999999999996</v>
      </c>
      <c r="G1686" s="3">
        <v>1</v>
      </c>
      <c r="H1686">
        <v>2241</v>
      </c>
      <c r="I1686">
        <v>983.9</v>
      </c>
      <c r="J1686">
        <v>19969</v>
      </c>
      <c r="K1686">
        <v>19072</v>
      </c>
      <c r="L1686" s="2">
        <v>27.372500000000002</v>
      </c>
      <c r="M1686" s="5">
        <v>198.88300000000001</v>
      </c>
      <c r="N1686" s="1">
        <v>310.16390000000001</v>
      </c>
      <c r="O1686" s="2">
        <v>25.2</v>
      </c>
      <c r="P1686">
        <v>310</v>
      </c>
    </row>
    <row r="1687" spans="1:16" x14ac:dyDescent="0.35">
      <c r="A1687" s="4">
        <v>45047</v>
      </c>
      <c r="B1687" t="s">
        <v>16</v>
      </c>
      <c r="C1687" t="s">
        <v>15</v>
      </c>
      <c r="D1687">
        <v>0</v>
      </c>
      <c r="E1687" s="2" t="s">
        <v>27</v>
      </c>
      <c r="F1687" s="2">
        <f t="shared" si="268"/>
        <v>5145.3999999999996</v>
      </c>
      <c r="G1687" s="3">
        <v>1</v>
      </c>
      <c r="H1687">
        <v>2241</v>
      </c>
      <c r="I1687">
        <v>983.9</v>
      </c>
      <c r="J1687">
        <v>19969</v>
      </c>
      <c r="K1687">
        <v>19072</v>
      </c>
      <c r="L1687" s="2">
        <v>27.372500000000002</v>
      </c>
      <c r="M1687" s="5">
        <v>198.88300000000001</v>
      </c>
      <c r="N1687" s="1">
        <v>310.16390000000001</v>
      </c>
      <c r="O1687" s="2">
        <v>25.2</v>
      </c>
      <c r="P1687">
        <v>310</v>
      </c>
    </row>
    <row r="1688" spans="1:16" x14ac:dyDescent="0.35">
      <c r="A1688" s="4">
        <v>45047</v>
      </c>
      <c r="B1688" t="s">
        <v>17</v>
      </c>
      <c r="C1688" t="s">
        <v>10</v>
      </c>
      <c r="D1688">
        <v>1</v>
      </c>
      <c r="E1688" s="2">
        <f>(4533+4500+4283+4333+4200)/5</f>
        <v>4369.8</v>
      </c>
      <c r="F1688" s="2">
        <f>(4077.4+4139.6+4326.2+4403+4393)/5</f>
        <v>4267.84</v>
      </c>
      <c r="G1688" s="3">
        <v>1</v>
      </c>
      <c r="H1688">
        <v>2241</v>
      </c>
      <c r="I1688">
        <v>983.9</v>
      </c>
      <c r="J1688">
        <v>19969</v>
      </c>
      <c r="K1688">
        <v>19072</v>
      </c>
      <c r="L1688" s="2">
        <v>27.372500000000002</v>
      </c>
      <c r="M1688" s="5">
        <v>198.88300000000001</v>
      </c>
      <c r="N1688" s="1">
        <v>310.16390000000001</v>
      </c>
      <c r="O1688" s="2">
        <v>25.2</v>
      </c>
      <c r="P1688">
        <v>310</v>
      </c>
    </row>
    <row r="1689" spans="1:16" x14ac:dyDescent="0.35">
      <c r="A1689" s="4">
        <v>45047</v>
      </c>
      <c r="B1689" t="s">
        <v>17</v>
      </c>
      <c r="C1689" t="s">
        <v>11</v>
      </c>
      <c r="D1689">
        <v>1</v>
      </c>
      <c r="E1689" s="2">
        <f>(4100+3800+4400+4500+4100)/5</f>
        <v>4180</v>
      </c>
      <c r="F1689" s="2">
        <f t="shared" ref="F1689:F1693" si="269">(4077.4+4139.6+4326.2+4403+4393)/5</f>
        <v>4267.84</v>
      </c>
      <c r="G1689" s="3">
        <v>1</v>
      </c>
      <c r="H1689">
        <v>2241</v>
      </c>
      <c r="I1689">
        <v>983.9</v>
      </c>
      <c r="J1689">
        <v>19969</v>
      </c>
      <c r="K1689">
        <v>19072</v>
      </c>
      <c r="L1689" s="2">
        <v>27.372500000000002</v>
      </c>
      <c r="M1689" s="5">
        <v>198.88300000000001</v>
      </c>
      <c r="N1689" s="1">
        <v>310.16390000000001</v>
      </c>
      <c r="O1689" s="2">
        <v>25.2</v>
      </c>
      <c r="P1689">
        <v>310</v>
      </c>
    </row>
    <row r="1690" spans="1:16" x14ac:dyDescent="0.35">
      <c r="A1690" s="4">
        <v>45047</v>
      </c>
      <c r="B1690" t="s">
        <v>17</v>
      </c>
      <c r="C1690" t="s">
        <v>12</v>
      </c>
      <c r="D1690">
        <v>1</v>
      </c>
      <c r="E1690" s="2">
        <v>4465</v>
      </c>
      <c r="F1690" s="2">
        <f t="shared" si="269"/>
        <v>4267.84</v>
      </c>
      <c r="G1690" s="3">
        <v>1</v>
      </c>
      <c r="H1690">
        <v>2241</v>
      </c>
      <c r="I1690">
        <v>983.9</v>
      </c>
      <c r="J1690">
        <v>19969</v>
      </c>
      <c r="K1690">
        <v>19072</v>
      </c>
      <c r="L1690" s="2">
        <v>27.372500000000002</v>
      </c>
      <c r="M1690" s="5">
        <v>198.88300000000001</v>
      </c>
      <c r="N1690" s="1">
        <v>310.16390000000001</v>
      </c>
      <c r="O1690" s="2">
        <v>25.2</v>
      </c>
      <c r="P1690">
        <v>310</v>
      </c>
    </row>
    <row r="1691" spans="1:16" x14ac:dyDescent="0.35">
      <c r="A1691" s="4">
        <v>45047</v>
      </c>
      <c r="B1691" t="s">
        <v>17</v>
      </c>
      <c r="C1691" t="s">
        <v>13</v>
      </c>
      <c r="D1691">
        <v>1</v>
      </c>
      <c r="E1691" s="2">
        <f>(3750+3800+4150*2+4100)/5</f>
        <v>3990</v>
      </c>
      <c r="F1691" s="2">
        <f t="shared" si="269"/>
        <v>4267.84</v>
      </c>
      <c r="G1691" s="3">
        <v>1</v>
      </c>
      <c r="H1691">
        <v>2241</v>
      </c>
      <c r="I1691">
        <v>983.9</v>
      </c>
      <c r="J1691">
        <v>19969</v>
      </c>
      <c r="K1691">
        <v>19072</v>
      </c>
      <c r="L1691" s="2">
        <v>27.372500000000002</v>
      </c>
      <c r="M1691" s="5">
        <v>198.88300000000001</v>
      </c>
      <c r="N1691" s="1">
        <v>310.16390000000001</v>
      </c>
      <c r="O1691" s="2">
        <v>25.2</v>
      </c>
      <c r="P1691">
        <v>310</v>
      </c>
    </row>
    <row r="1692" spans="1:16" x14ac:dyDescent="0.35">
      <c r="A1692" s="4">
        <v>45047</v>
      </c>
      <c r="B1692" t="s">
        <v>17</v>
      </c>
      <c r="C1692" t="s">
        <v>14</v>
      </c>
      <c r="D1692">
        <v>1</v>
      </c>
      <c r="E1692" s="2">
        <f>(4767+4400+4333+4300+3867)/5</f>
        <v>4333.3999999999996</v>
      </c>
      <c r="F1692" s="2">
        <f t="shared" si="269"/>
        <v>4267.84</v>
      </c>
      <c r="G1692" s="3">
        <v>1</v>
      </c>
      <c r="H1692">
        <v>2241</v>
      </c>
      <c r="I1692">
        <v>983.9</v>
      </c>
      <c r="J1692">
        <v>19969</v>
      </c>
      <c r="K1692">
        <v>19072</v>
      </c>
      <c r="L1692" s="2">
        <v>27.372500000000002</v>
      </c>
      <c r="M1692" s="5">
        <v>198.88300000000001</v>
      </c>
      <c r="N1692" s="1">
        <v>310.16390000000001</v>
      </c>
      <c r="O1692" s="2">
        <v>25.2</v>
      </c>
      <c r="P1692">
        <v>310</v>
      </c>
    </row>
    <row r="1693" spans="1:16" x14ac:dyDescent="0.35">
      <c r="A1693" s="4">
        <v>45047</v>
      </c>
      <c r="B1693" t="s">
        <v>17</v>
      </c>
      <c r="C1693" t="s">
        <v>15</v>
      </c>
      <c r="D1693">
        <v>0</v>
      </c>
      <c r="E1693" s="2" t="s">
        <v>27</v>
      </c>
      <c r="F1693" s="2">
        <f t="shared" si="269"/>
        <v>4267.84</v>
      </c>
      <c r="G1693" s="3">
        <v>1</v>
      </c>
      <c r="H1693">
        <v>2241</v>
      </c>
      <c r="I1693">
        <v>983.9</v>
      </c>
      <c r="J1693">
        <v>19969</v>
      </c>
      <c r="K1693">
        <v>19072</v>
      </c>
      <c r="L1693" s="2">
        <v>27.372500000000002</v>
      </c>
      <c r="M1693" s="5">
        <v>198.88300000000001</v>
      </c>
      <c r="N1693" s="1">
        <v>310.16390000000001</v>
      </c>
      <c r="O1693" s="2">
        <v>25.2</v>
      </c>
      <c r="P1693">
        <v>310</v>
      </c>
    </row>
    <row r="1694" spans="1:16" x14ac:dyDescent="0.35">
      <c r="A1694" s="4">
        <v>45047</v>
      </c>
      <c r="B1694" t="s">
        <v>18</v>
      </c>
      <c r="C1694" t="s">
        <v>10</v>
      </c>
      <c r="D1694">
        <v>1</v>
      </c>
      <c r="E1694" s="2">
        <f>(3700+4000+3350+3716+3800)/5</f>
        <v>3713.2</v>
      </c>
      <c r="F1694" s="2">
        <f>(3527.14+3663.13+3706.25+3461.75+3336.14)/5</f>
        <v>3538.8820000000001</v>
      </c>
      <c r="G1694" s="3">
        <v>1</v>
      </c>
      <c r="H1694">
        <v>2241</v>
      </c>
      <c r="I1694">
        <v>983.9</v>
      </c>
      <c r="J1694">
        <v>19969</v>
      </c>
      <c r="K1694">
        <v>19072</v>
      </c>
      <c r="L1694" s="2">
        <v>27.372500000000002</v>
      </c>
      <c r="M1694" s="5">
        <v>198.88300000000001</v>
      </c>
      <c r="N1694" s="1">
        <v>310.16390000000001</v>
      </c>
      <c r="O1694" s="2">
        <v>25.2</v>
      </c>
      <c r="P1694">
        <v>310</v>
      </c>
    </row>
    <row r="1695" spans="1:16" x14ac:dyDescent="0.35">
      <c r="A1695" s="4">
        <v>45047</v>
      </c>
      <c r="B1695" t="s">
        <v>18</v>
      </c>
      <c r="C1695" t="s">
        <v>11</v>
      </c>
      <c r="D1695">
        <v>1</v>
      </c>
      <c r="E1695" s="2">
        <f>(3700+3400+3900+4200+3800)/5</f>
        <v>3800</v>
      </c>
      <c r="F1695" s="2">
        <f t="shared" ref="F1695:F1699" si="270">(3527.14+3663.13+3706.25+3461.75+3336.14)/5</f>
        <v>3538.8820000000001</v>
      </c>
      <c r="G1695" s="3">
        <v>1</v>
      </c>
      <c r="H1695">
        <v>2241</v>
      </c>
      <c r="I1695">
        <v>983.9</v>
      </c>
      <c r="J1695">
        <v>19969</v>
      </c>
      <c r="K1695">
        <v>19072</v>
      </c>
      <c r="L1695" s="2">
        <v>27.372500000000002</v>
      </c>
      <c r="M1695" s="5">
        <v>198.88300000000001</v>
      </c>
      <c r="N1695" s="1">
        <v>310.16390000000001</v>
      </c>
      <c r="O1695" s="2">
        <v>25.2</v>
      </c>
      <c r="P1695">
        <v>310</v>
      </c>
    </row>
    <row r="1696" spans="1:16" x14ac:dyDescent="0.35">
      <c r="A1696" s="4">
        <v>45047</v>
      </c>
      <c r="B1696" t="s">
        <v>18</v>
      </c>
      <c r="C1696" t="s">
        <v>12</v>
      </c>
      <c r="D1696">
        <v>1</v>
      </c>
      <c r="E1696" s="2">
        <f>(3590+3790*2+3940*2)/5</f>
        <v>3810</v>
      </c>
      <c r="F1696" s="2">
        <f t="shared" si="270"/>
        <v>3538.8820000000001</v>
      </c>
      <c r="G1696" s="3">
        <v>1</v>
      </c>
      <c r="H1696">
        <v>2241</v>
      </c>
      <c r="I1696">
        <v>983.9</v>
      </c>
      <c r="J1696">
        <v>19969</v>
      </c>
      <c r="K1696">
        <v>19072</v>
      </c>
      <c r="L1696" s="2">
        <v>27.372500000000002</v>
      </c>
      <c r="M1696" s="5">
        <v>198.88300000000001</v>
      </c>
      <c r="N1696" s="1">
        <v>310.16390000000001</v>
      </c>
      <c r="O1696" s="2">
        <v>25.2</v>
      </c>
      <c r="P1696">
        <v>310</v>
      </c>
    </row>
    <row r="1697" spans="1:16" x14ac:dyDescent="0.35">
      <c r="A1697" s="4">
        <v>45047</v>
      </c>
      <c r="B1697" t="s">
        <v>18</v>
      </c>
      <c r="C1697" t="s">
        <v>13</v>
      </c>
      <c r="D1697">
        <v>1</v>
      </c>
      <c r="E1697" s="2">
        <f>(3425+3450*3+2875)/5</f>
        <v>3330</v>
      </c>
      <c r="F1697" s="2">
        <f t="shared" si="270"/>
        <v>3538.8820000000001</v>
      </c>
      <c r="G1697" s="3">
        <v>1</v>
      </c>
      <c r="H1697">
        <v>2241</v>
      </c>
      <c r="I1697">
        <v>983.9</v>
      </c>
      <c r="J1697">
        <v>19969</v>
      </c>
      <c r="K1697">
        <v>19072</v>
      </c>
      <c r="L1697" s="2">
        <v>27.372500000000002</v>
      </c>
      <c r="M1697" s="5">
        <v>198.88300000000001</v>
      </c>
      <c r="N1697" s="1">
        <v>310.16390000000001</v>
      </c>
      <c r="O1697" s="2">
        <v>25.2</v>
      </c>
      <c r="P1697">
        <v>310</v>
      </c>
    </row>
    <row r="1698" spans="1:16" x14ac:dyDescent="0.35">
      <c r="A1698" s="4">
        <v>45047</v>
      </c>
      <c r="B1698" t="s">
        <v>18</v>
      </c>
      <c r="C1698" t="s">
        <v>14</v>
      </c>
      <c r="D1698">
        <v>1</v>
      </c>
      <c r="E1698" s="2">
        <f>(3238+3488+3450+3510+3840)/5</f>
        <v>3505.2</v>
      </c>
      <c r="F1698" s="2">
        <f t="shared" si="270"/>
        <v>3538.8820000000001</v>
      </c>
      <c r="G1698" s="3">
        <v>1</v>
      </c>
      <c r="H1698">
        <v>2241</v>
      </c>
      <c r="I1698">
        <v>983.9</v>
      </c>
      <c r="J1698">
        <v>19969</v>
      </c>
      <c r="K1698">
        <v>19072</v>
      </c>
      <c r="L1698" s="2">
        <v>27.372500000000002</v>
      </c>
      <c r="M1698" s="5">
        <v>198.88300000000001</v>
      </c>
      <c r="N1698" s="1">
        <v>310.16390000000001</v>
      </c>
      <c r="O1698" s="2">
        <v>25.2</v>
      </c>
      <c r="P1698">
        <v>310</v>
      </c>
    </row>
    <row r="1699" spans="1:16" x14ac:dyDescent="0.35">
      <c r="A1699" s="4">
        <v>45047</v>
      </c>
      <c r="B1699" t="s">
        <v>18</v>
      </c>
      <c r="C1699" t="s">
        <v>15</v>
      </c>
      <c r="D1699">
        <v>1</v>
      </c>
      <c r="E1699" s="2">
        <f>(3150+3300+3350+3500*2)/5</f>
        <v>3360</v>
      </c>
      <c r="F1699" s="2">
        <f t="shared" si="270"/>
        <v>3538.8820000000001</v>
      </c>
      <c r="G1699" s="3">
        <v>1</v>
      </c>
      <c r="H1699">
        <v>2241</v>
      </c>
      <c r="I1699">
        <v>983.9</v>
      </c>
      <c r="J1699">
        <v>19969</v>
      </c>
      <c r="K1699">
        <v>19072</v>
      </c>
      <c r="L1699" s="2">
        <v>27.372500000000002</v>
      </c>
      <c r="M1699" s="5">
        <v>198.88300000000001</v>
      </c>
      <c r="N1699" s="1">
        <v>310.16390000000001</v>
      </c>
      <c r="O1699" s="2">
        <v>25.2</v>
      </c>
      <c r="P1699">
        <v>310</v>
      </c>
    </row>
    <row r="1700" spans="1:16" x14ac:dyDescent="0.35">
      <c r="A1700" s="4">
        <v>45047</v>
      </c>
      <c r="B1700" t="s">
        <v>19</v>
      </c>
      <c r="C1700" t="s">
        <v>10</v>
      </c>
      <c r="D1700">
        <v>1</v>
      </c>
      <c r="E1700" s="2">
        <f>(3433+3800+3200+3250+3100)/5</f>
        <v>3356.6</v>
      </c>
      <c r="F1700" s="2">
        <f>(3330.67+3411.78+3220.13+3091.89+3020)/5</f>
        <v>3214.8940000000002</v>
      </c>
      <c r="G1700" s="3">
        <v>1</v>
      </c>
      <c r="H1700">
        <v>2241</v>
      </c>
      <c r="I1700">
        <v>983.9</v>
      </c>
      <c r="J1700">
        <v>19969</v>
      </c>
      <c r="K1700">
        <v>19072</v>
      </c>
      <c r="L1700" s="2">
        <v>27.372500000000002</v>
      </c>
      <c r="M1700" s="5">
        <v>198.88300000000001</v>
      </c>
      <c r="N1700" s="1">
        <v>310.16390000000001</v>
      </c>
      <c r="O1700" s="2">
        <v>25.2</v>
      </c>
      <c r="P1700">
        <v>310</v>
      </c>
    </row>
    <row r="1701" spans="1:16" x14ac:dyDescent="0.35">
      <c r="A1701" s="4">
        <v>45047</v>
      </c>
      <c r="B1701" t="s">
        <v>19</v>
      </c>
      <c r="C1701" t="s">
        <v>11</v>
      </c>
      <c r="D1701">
        <v>1</v>
      </c>
      <c r="E1701" s="2">
        <f>(3500+3200+3500+4000+3200)/5</f>
        <v>3480</v>
      </c>
      <c r="F1701" s="2">
        <f t="shared" ref="F1701:F1705" si="271">(3330.67+3411.78+3220.13+3091.89+3020)/5</f>
        <v>3214.8940000000002</v>
      </c>
      <c r="G1701" s="3">
        <v>1</v>
      </c>
      <c r="H1701">
        <v>2241</v>
      </c>
      <c r="I1701">
        <v>983.9</v>
      </c>
      <c r="J1701">
        <v>19969</v>
      </c>
      <c r="K1701">
        <v>19072</v>
      </c>
      <c r="L1701" s="2">
        <v>27.372500000000002</v>
      </c>
      <c r="M1701" s="5">
        <v>198.88300000000001</v>
      </c>
      <c r="N1701" s="1">
        <v>310.16390000000001</v>
      </c>
      <c r="O1701" s="2">
        <v>25.2</v>
      </c>
      <c r="P1701">
        <v>310</v>
      </c>
    </row>
    <row r="1702" spans="1:16" x14ac:dyDescent="0.35">
      <c r="A1702" s="4">
        <v>45047</v>
      </c>
      <c r="B1702" t="s">
        <v>19</v>
      </c>
      <c r="C1702" t="s">
        <v>12</v>
      </c>
      <c r="D1702">
        <v>1</v>
      </c>
      <c r="E1702" s="2">
        <v>3187</v>
      </c>
      <c r="F1702" s="2">
        <f t="shared" si="271"/>
        <v>3214.8940000000002</v>
      </c>
      <c r="G1702" s="3">
        <v>1</v>
      </c>
      <c r="H1702">
        <v>2241</v>
      </c>
      <c r="I1702">
        <v>983.9</v>
      </c>
      <c r="J1702">
        <v>19969</v>
      </c>
      <c r="K1702">
        <v>19072</v>
      </c>
      <c r="L1702" s="2">
        <v>27.372500000000002</v>
      </c>
      <c r="M1702" s="5">
        <v>198.88300000000001</v>
      </c>
      <c r="N1702" s="1">
        <v>310.16390000000001</v>
      </c>
      <c r="O1702" s="2">
        <v>25.2</v>
      </c>
      <c r="P1702">
        <v>310</v>
      </c>
    </row>
    <row r="1703" spans="1:16" x14ac:dyDescent="0.35">
      <c r="A1703" s="4">
        <v>45047</v>
      </c>
      <c r="B1703" t="s">
        <v>19</v>
      </c>
      <c r="C1703" t="s">
        <v>13</v>
      </c>
      <c r="D1703">
        <v>1</v>
      </c>
      <c r="E1703" s="2">
        <f>(2775+3250*3+3325)/5</f>
        <v>3170</v>
      </c>
      <c r="F1703" s="2">
        <f t="shared" si="271"/>
        <v>3214.8940000000002</v>
      </c>
      <c r="G1703" s="3">
        <v>1</v>
      </c>
      <c r="H1703">
        <v>2241</v>
      </c>
      <c r="I1703">
        <v>983.9</v>
      </c>
      <c r="J1703">
        <v>19969</v>
      </c>
      <c r="K1703">
        <v>19072</v>
      </c>
      <c r="L1703" s="2">
        <v>27.372500000000002</v>
      </c>
      <c r="M1703" s="5">
        <v>198.88300000000001</v>
      </c>
      <c r="N1703" s="1">
        <v>310.16390000000001</v>
      </c>
      <c r="O1703" s="2">
        <v>25.2</v>
      </c>
      <c r="P1703">
        <v>310</v>
      </c>
    </row>
    <row r="1704" spans="1:16" x14ac:dyDescent="0.35">
      <c r="A1704" s="4">
        <v>45047</v>
      </c>
      <c r="B1704" t="s">
        <v>19</v>
      </c>
      <c r="C1704" t="s">
        <v>14</v>
      </c>
      <c r="D1704">
        <v>1</v>
      </c>
      <c r="E1704" s="2">
        <f>(3533+3371+3316+3342+2900)/5</f>
        <v>3292.4</v>
      </c>
      <c r="F1704" s="2">
        <f t="shared" si="271"/>
        <v>3214.8940000000002</v>
      </c>
      <c r="G1704" s="3">
        <v>1</v>
      </c>
      <c r="H1704">
        <v>2241</v>
      </c>
      <c r="I1704">
        <v>983.9</v>
      </c>
      <c r="J1704">
        <v>19969</v>
      </c>
      <c r="K1704">
        <v>19072</v>
      </c>
      <c r="L1704" s="2">
        <v>27.372500000000002</v>
      </c>
      <c r="M1704" s="5">
        <v>198.88300000000001</v>
      </c>
      <c r="N1704" s="1">
        <v>310.16390000000001</v>
      </c>
      <c r="O1704" s="2">
        <v>25.2</v>
      </c>
      <c r="P1704">
        <v>310</v>
      </c>
    </row>
    <row r="1705" spans="1:16" x14ac:dyDescent="0.35">
      <c r="A1705" s="4">
        <v>45047</v>
      </c>
      <c r="B1705" t="s">
        <v>19</v>
      </c>
      <c r="C1705" t="s">
        <v>15</v>
      </c>
      <c r="D1705">
        <v>1</v>
      </c>
      <c r="E1705" s="2">
        <f>(2950+3075+3250+3400*2)/5</f>
        <v>3215</v>
      </c>
      <c r="F1705" s="2">
        <f t="shared" si="271"/>
        <v>3214.8940000000002</v>
      </c>
      <c r="G1705" s="3">
        <v>1</v>
      </c>
      <c r="H1705">
        <v>2241</v>
      </c>
      <c r="I1705">
        <v>983.9</v>
      </c>
      <c r="J1705">
        <v>19969</v>
      </c>
      <c r="K1705">
        <v>19072</v>
      </c>
      <c r="L1705" s="2">
        <v>27.372500000000002</v>
      </c>
      <c r="M1705" s="5">
        <v>198.88300000000001</v>
      </c>
      <c r="N1705" s="1">
        <v>310.16390000000001</v>
      </c>
      <c r="O1705" s="2">
        <v>25.2</v>
      </c>
      <c r="P1705">
        <v>310</v>
      </c>
    </row>
    <row r="1706" spans="1:16" x14ac:dyDescent="0.35">
      <c r="A1706" s="4">
        <v>45047</v>
      </c>
      <c r="B1706" t="s">
        <v>20</v>
      </c>
      <c r="C1706" t="s">
        <v>10</v>
      </c>
      <c r="D1706">
        <v>1</v>
      </c>
      <c r="E1706" s="2">
        <f>(2400+2800+2900+2600+2933)/5</f>
        <v>2726.6</v>
      </c>
      <c r="F1706" s="2">
        <f>(2801.88+2840.13+2815.71+2748.75+2573.57)/5</f>
        <v>2756.0080000000003</v>
      </c>
      <c r="G1706" s="3">
        <v>1</v>
      </c>
      <c r="H1706">
        <v>2241</v>
      </c>
      <c r="I1706">
        <v>983.9</v>
      </c>
      <c r="J1706">
        <v>19969</v>
      </c>
      <c r="K1706">
        <v>19072</v>
      </c>
      <c r="L1706" s="2">
        <v>27.372500000000002</v>
      </c>
      <c r="M1706" s="5">
        <v>198.88300000000001</v>
      </c>
      <c r="N1706" s="1">
        <v>310.16390000000001</v>
      </c>
      <c r="O1706" s="2">
        <v>25.2</v>
      </c>
      <c r="P1706">
        <v>310</v>
      </c>
    </row>
    <row r="1707" spans="1:16" x14ac:dyDescent="0.35">
      <c r="A1707" s="4">
        <v>45047</v>
      </c>
      <c r="B1707" t="s">
        <v>20</v>
      </c>
      <c r="C1707" t="s">
        <v>11</v>
      </c>
      <c r="D1707">
        <v>1</v>
      </c>
      <c r="E1707" s="2">
        <f>(2800+3000+2900*2+3100)/5</f>
        <v>2940</v>
      </c>
      <c r="F1707" s="2">
        <f t="shared" ref="F1707:F1711" si="272">(2801.88+2840.13+2815.71+2748.75+2573.57)/5</f>
        <v>2756.0080000000003</v>
      </c>
      <c r="G1707" s="3">
        <v>1</v>
      </c>
      <c r="H1707">
        <v>2241</v>
      </c>
      <c r="I1707">
        <v>983.9</v>
      </c>
      <c r="J1707">
        <v>19969</v>
      </c>
      <c r="K1707">
        <v>19072</v>
      </c>
      <c r="L1707" s="2">
        <v>27.372500000000002</v>
      </c>
      <c r="M1707" s="5">
        <v>198.88300000000001</v>
      </c>
      <c r="N1707" s="1">
        <v>310.16390000000001</v>
      </c>
      <c r="O1707" s="2">
        <v>25.2</v>
      </c>
      <c r="P1707">
        <v>310</v>
      </c>
    </row>
    <row r="1708" spans="1:16" x14ac:dyDescent="0.35">
      <c r="A1708" s="4">
        <v>45047</v>
      </c>
      <c r="B1708" t="s">
        <v>20</v>
      </c>
      <c r="C1708" t="s">
        <v>12</v>
      </c>
      <c r="D1708">
        <v>1</v>
      </c>
      <c r="E1708" s="2">
        <v>1990</v>
      </c>
      <c r="F1708" s="2">
        <f t="shared" si="272"/>
        <v>2756.0080000000003</v>
      </c>
      <c r="G1708" s="3">
        <v>1</v>
      </c>
      <c r="H1708">
        <v>2241</v>
      </c>
      <c r="I1708">
        <v>983.9</v>
      </c>
      <c r="J1708">
        <v>19969</v>
      </c>
      <c r="K1708">
        <v>19072</v>
      </c>
      <c r="L1708" s="2">
        <v>27.372500000000002</v>
      </c>
      <c r="M1708" s="5">
        <v>198.88300000000001</v>
      </c>
      <c r="N1708" s="1">
        <v>310.16390000000001</v>
      </c>
      <c r="O1708" s="2">
        <v>25.2</v>
      </c>
      <c r="P1708">
        <v>310</v>
      </c>
    </row>
    <row r="1709" spans="1:16" x14ac:dyDescent="0.35">
      <c r="A1709" s="4">
        <v>45047</v>
      </c>
      <c r="B1709" t="s">
        <v>20</v>
      </c>
      <c r="C1709" t="s">
        <v>13</v>
      </c>
      <c r="D1709">
        <v>1</v>
      </c>
      <c r="E1709" s="2">
        <f>(3025+3000*2+2950+2550)/5</f>
        <v>2905</v>
      </c>
      <c r="F1709" s="2">
        <f t="shared" si="272"/>
        <v>2756.0080000000003</v>
      </c>
      <c r="G1709" s="3">
        <v>1</v>
      </c>
      <c r="H1709">
        <v>2241</v>
      </c>
      <c r="I1709">
        <v>983.9</v>
      </c>
      <c r="J1709">
        <v>19969</v>
      </c>
      <c r="K1709">
        <v>19072</v>
      </c>
      <c r="L1709" s="2">
        <v>27.372500000000002</v>
      </c>
      <c r="M1709" s="5">
        <v>198.88300000000001</v>
      </c>
      <c r="N1709" s="1">
        <v>310.16390000000001</v>
      </c>
      <c r="O1709" s="2">
        <v>25.2</v>
      </c>
      <c r="P1709">
        <v>310</v>
      </c>
    </row>
    <row r="1710" spans="1:16" x14ac:dyDescent="0.35">
      <c r="A1710" s="4">
        <v>45047</v>
      </c>
      <c r="B1710" t="s">
        <v>20</v>
      </c>
      <c r="C1710" t="s">
        <v>14</v>
      </c>
      <c r="D1710">
        <v>1</v>
      </c>
      <c r="E1710" s="2">
        <f>(2625+3000+3070+3075+3140)/5</f>
        <v>2982</v>
      </c>
      <c r="F1710" s="2">
        <f t="shared" si="272"/>
        <v>2756.0080000000003</v>
      </c>
      <c r="G1710" s="3">
        <v>1</v>
      </c>
      <c r="H1710">
        <v>2241</v>
      </c>
      <c r="I1710">
        <v>983.9</v>
      </c>
      <c r="J1710">
        <v>19969</v>
      </c>
      <c r="K1710">
        <v>19072</v>
      </c>
      <c r="L1710" s="2">
        <v>27.372500000000002</v>
      </c>
      <c r="M1710" s="5">
        <v>198.88300000000001</v>
      </c>
      <c r="N1710" s="1">
        <v>310.16390000000001</v>
      </c>
      <c r="O1710" s="2">
        <v>25.2</v>
      </c>
      <c r="P1710">
        <v>310</v>
      </c>
    </row>
    <row r="1711" spans="1:16" x14ac:dyDescent="0.35">
      <c r="A1711" s="4">
        <v>45047</v>
      </c>
      <c r="B1711" t="s">
        <v>20</v>
      </c>
      <c r="C1711" t="s">
        <v>15</v>
      </c>
      <c r="D1711">
        <v>1</v>
      </c>
      <c r="E1711" s="2">
        <f>(2650+2950+3050+3000+3025)/5</f>
        <v>2935</v>
      </c>
      <c r="F1711" s="2">
        <f t="shared" si="272"/>
        <v>2756.0080000000003</v>
      </c>
      <c r="G1711" s="3">
        <v>1</v>
      </c>
      <c r="H1711">
        <v>2241</v>
      </c>
      <c r="I1711">
        <v>983.9</v>
      </c>
      <c r="J1711">
        <v>19969</v>
      </c>
      <c r="K1711">
        <v>19072</v>
      </c>
      <c r="L1711" s="2">
        <v>27.372500000000002</v>
      </c>
      <c r="M1711" s="5">
        <v>198.88300000000001</v>
      </c>
      <c r="N1711" s="1">
        <v>310.16390000000001</v>
      </c>
      <c r="O1711" s="2">
        <v>25.2</v>
      </c>
      <c r="P1711">
        <v>310</v>
      </c>
    </row>
    <row r="1712" spans="1:16" x14ac:dyDescent="0.35">
      <c r="A1712" s="4">
        <v>45047</v>
      </c>
      <c r="B1712" t="s">
        <v>21</v>
      </c>
      <c r="C1712" t="s">
        <v>10</v>
      </c>
      <c r="D1712">
        <v>1</v>
      </c>
      <c r="E1712" s="2">
        <f>(2050+2633*2+2225+2533)/5</f>
        <v>2414.8000000000002</v>
      </c>
      <c r="F1712" s="2">
        <f>(2346.43+2501.5+2589.43+2563.25+2613.5)/5</f>
        <v>2522.8220000000001</v>
      </c>
      <c r="G1712" s="3">
        <v>1</v>
      </c>
      <c r="H1712">
        <v>2241</v>
      </c>
      <c r="I1712">
        <v>983.9</v>
      </c>
      <c r="J1712">
        <v>19969</v>
      </c>
      <c r="K1712">
        <v>19072</v>
      </c>
      <c r="L1712" s="2">
        <v>27.372500000000002</v>
      </c>
      <c r="M1712" s="5">
        <v>198.88300000000001</v>
      </c>
      <c r="N1712" s="1">
        <v>310.16390000000001</v>
      </c>
      <c r="O1712" s="2">
        <v>25.2</v>
      </c>
      <c r="P1712">
        <v>310</v>
      </c>
    </row>
    <row r="1713" spans="1:16" x14ac:dyDescent="0.35">
      <c r="A1713" s="4">
        <v>45047</v>
      </c>
      <c r="B1713" t="s">
        <v>21</v>
      </c>
      <c r="C1713" t="s">
        <v>11</v>
      </c>
      <c r="D1713">
        <v>1</v>
      </c>
      <c r="E1713" s="2">
        <f>(2600+2900+2700*2+3000)/5</f>
        <v>2780</v>
      </c>
      <c r="F1713" s="2">
        <f t="shared" ref="F1713:F1717" si="273">(2346.43+2501.5+2589.43+2563.25+2613.5)/5</f>
        <v>2522.8220000000001</v>
      </c>
      <c r="G1713" s="3">
        <v>1</v>
      </c>
      <c r="H1713">
        <v>2241</v>
      </c>
      <c r="I1713">
        <v>983.9</v>
      </c>
      <c r="J1713">
        <v>19969</v>
      </c>
      <c r="K1713">
        <v>19072</v>
      </c>
      <c r="L1713" s="2">
        <v>27.372500000000002</v>
      </c>
      <c r="M1713" s="5">
        <v>198.88300000000001</v>
      </c>
      <c r="N1713" s="1">
        <v>310.16390000000001</v>
      </c>
      <c r="O1713" s="2">
        <v>25.2</v>
      </c>
      <c r="P1713">
        <v>310</v>
      </c>
    </row>
    <row r="1714" spans="1:16" x14ac:dyDescent="0.35">
      <c r="A1714" s="4">
        <v>45047</v>
      </c>
      <c r="B1714" t="s">
        <v>21</v>
      </c>
      <c r="C1714" t="s">
        <v>12</v>
      </c>
      <c r="D1714">
        <v>1</v>
      </c>
      <c r="E1714" s="2">
        <v>1500</v>
      </c>
      <c r="F1714" s="2">
        <f t="shared" si="273"/>
        <v>2522.8220000000001</v>
      </c>
      <c r="G1714" s="3">
        <v>1</v>
      </c>
      <c r="H1714">
        <v>2241</v>
      </c>
      <c r="I1714">
        <v>983.9</v>
      </c>
      <c r="J1714">
        <v>19969</v>
      </c>
      <c r="K1714">
        <v>19072</v>
      </c>
      <c r="L1714" s="2">
        <v>27.372500000000002</v>
      </c>
      <c r="M1714" s="5">
        <v>198.88300000000001</v>
      </c>
      <c r="N1714" s="1">
        <v>310.16390000000001</v>
      </c>
      <c r="O1714" s="2">
        <v>25.2</v>
      </c>
      <c r="P1714">
        <v>310</v>
      </c>
    </row>
    <row r="1715" spans="1:16" x14ac:dyDescent="0.35">
      <c r="A1715" s="4">
        <v>45047</v>
      </c>
      <c r="B1715" t="s">
        <v>21</v>
      </c>
      <c r="C1715" t="s">
        <v>13</v>
      </c>
      <c r="D1715">
        <v>1</v>
      </c>
      <c r="E1715" s="2">
        <f>(2925+2850*3+2475)/5</f>
        <v>2790</v>
      </c>
      <c r="F1715" s="2">
        <f t="shared" si="273"/>
        <v>2522.8220000000001</v>
      </c>
      <c r="G1715" s="3">
        <v>1</v>
      </c>
      <c r="H1715">
        <v>2241</v>
      </c>
      <c r="I1715">
        <v>983.9</v>
      </c>
      <c r="J1715">
        <v>19969</v>
      </c>
      <c r="K1715">
        <v>19072</v>
      </c>
      <c r="L1715" s="2">
        <v>27.372500000000002</v>
      </c>
      <c r="M1715" s="5">
        <v>198.88300000000001</v>
      </c>
      <c r="N1715" s="1">
        <v>310.16390000000001</v>
      </c>
      <c r="O1715" s="2">
        <v>25.2</v>
      </c>
      <c r="P1715">
        <v>310</v>
      </c>
    </row>
    <row r="1716" spans="1:16" x14ac:dyDescent="0.35">
      <c r="A1716" s="4">
        <v>45047</v>
      </c>
      <c r="B1716" t="s">
        <v>21</v>
      </c>
      <c r="C1716" t="s">
        <v>14</v>
      </c>
      <c r="D1716">
        <v>1</v>
      </c>
      <c r="E1716" s="2">
        <f>(2500+2729+2843+2831+3000)/5</f>
        <v>2780.6</v>
      </c>
      <c r="F1716" s="2">
        <f t="shared" si="273"/>
        <v>2522.8220000000001</v>
      </c>
      <c r="G1716" s="3">
        <v>1</v>
      </c>
      <c r="H1716">
        <v>2241</v>
      </c>
      <c r="I1716">
        <v>983.9</v>
      </c>
      <c r="J1716">
        <v>19969</v>
      </c>
      <c r="K1716">
        <v>19072</v>
      </c>
      <c r="L1716" s="2">
        <v>27.372500000000002</v>
      </c>
      <c r="M1716" s="5">
        <v>198.88300000000001</v>
      </c>
      <c r="N1716" s="1">
        <v>310.16390000000001</v>
      </c>
      <c r="O1716" s="2">
        <v>25.2</v>
      </c>
      <c r="P1716">
        <v>310</v>
      </c>
    </row>
    <row r="1717" spans="1:16" x14ac:dyDescent="0.35">
      <c r="A1717" s="4">
        <v>45047</v>
      </c>
      <c r="B1717" t="s">
        <v>21</v>
      </c>
      <c r="C1717" t="s">
        <v>15</v>
      </c>
      <c r="D1717">
        <v>1</v>
      </c>
      <c r="E1717" s="2">
        <f>(3000+2900+2950+2800+2500)/5</f>
        <v>2830</v>
      </c>
      <c r="F1717" s="2">
        <f t="shared" si="273"/>
        <v>2522.8220000000001</v>
      </c>
      <c r="G1717" s="3">
        <v>1</v>
      </c>
      <c r="H1717">
        <v>2241</v>
      </c>
      <c r="I1717">
        <v>983.9</v>
      </c>
      <c r="J1717">
        <v>19969</v>
      </c>
      <c r="K1717">
        <v>19072</v>
      </c>
      <c r="L1717" s="2">
        <v>27.372500000000002</v>
      </c>
      <c r="M1717" s="5">
        <v>198.88300000000001</v>
      </c>
      <c r="N1717" s="1">
        <v>310.16390000000001</v>
      </c>
      <c r="O1717" s="2">
        <v>25.2</v>
      </c>
      <c r="P1717">
        <v>310</v>
      </c>
    </row>
    <row r="1718" spans="1:16" x14ac:dyDescent="0.35">
      <c r="A1718" s="4">
        <v>45047</v>
      </c>
      <c r="B1718" t="s">
        <v>22</v>
      </c>
      <c r="C1718" t="s">
        <v>10</v>
      </c>
      <c r="D1718">
        <v>0</v>
      </c>
      <c r="E1718" s="2" t="s">
        <v>27</v>
      </c>
      <c r="F1718" s="2">
        <f t="shared" ref="F1718:F1721" si="274">(2000*2+2367+1933)/4</f>
        <v>2075</v>
      </c>
      <c r="G1718" s="3">
        <v>1</v>
      </c>
      <c r="H1718">
        <v>2241</v>
      </c>
      <c r="I1718">
        <v>983.9</v>
      </c>
      <c r="J1718">
        <v>19969</v>
      </c>
      <c r="K1718">
        <v>19072</v>
      </c>
      <c r="L1718" s="2">
        <v>27.372500000000002</v>
      </c>
      <c r="M1718" s="5">
        <v>198.88300000000001</v>
      </c>
      <c r="N1718" s="1">
        <v>310.16390000000001</v>
      </c>
      <c r="O1718" s="2">
        <v>25.2</v>
      </c>
      <c r="P1718">
        <v>310</v>
      </c>
    </row>
    <row r="1719" spans="1:16" x14ac:dyDescent="0.35">
      <c r="A1719" s="4">
        <v>45047</v>
      </c>
      <c r="B1719" t="s">
        <v>22</v>
      </c>
      <c r="C1719" t="s">
        <v>11</v>
      </c>
      <c r="D1719">
        <v>0</v>
      </c>
      <c r="E1719" s="2" t="s">
        <v>27</v>
      </c>
      <c r="F1719" s="2">
        <f t="shared" si="274"/>
        <v>2075</v>
      </c>
      <c r="G1719" s="3">
        <v>1</v>
      </c>
      <c r="H1719">
        <v>2241</v>
      </c>
      <c r="I1719">
        <v>983.9</v>
      </c>
      <c r="J1719">
        <v>19969</v>
      </c>
      <c r="K1719">
        <v>19072</v>
      </c>
      <c r="L1719" s="2">
        <v>27.372500000000002</v>
      </c>
      <c r="M1719" s="5">
        <v>198.88300000000001</v>
      </c>
      <c r="N1719" s="1">
        <v>310.16390000000001</v>
      </c>
      <c r="O1719" s="2">
        <v>25.2</v>
      </c>
      <c r="P1719">
        <v>310</v>
      </c>
    </row>
    <row r="1720" spans="1:16" x14ac:dyDescent="0.35">
      <c r="A1720" s="4">
        <v>45047</v>
      </c>
      <c r="B1720" t="s">
        <v>22</v>
      </c>
      <c r="C1720" t="s">
        <v>12</v>
      </c>
      <c r="D1720">
        <v>0</v>
      </c>
      <c r="E1720" s="2" t="s">
        <v>27</v>
      </c>
      <c r="F1720" s="2">
        <f t="shared" si="274"/>
        <v>2075</v>
      </c>
      <c r="G1720" s="3">
        <v>1</v>
      </c>
      <c r="H1720">
        <v>2241</v>
      </c>
      <c r="I1720">
        <v>983.9</v>
      </c>
      <c r="J1720">
        <v>19969</v>
      </c>
      <c r="K1720">
        <v>19072</v>
      </c>
      <c r="L1720" s="2">
        <v>27.372500000000002</v>
      </c>
      <c r="M1720" s="5">
        <v>198.88300000000001</v>
      </c>
      <c r="N1720" s="1">
        <v>310.16390000000001</v>
      </c>
      <c r="O1720" s="2">
        <v>25.2</v>
      </c>
      <c r="P1720">
        <v>310</v>
      </c>
    </row>
    <row r="1721" spans="1:16" x14ac:dyDescent="0.35">
      <c r="A1721" s="4">
        <v>45047</v>
      </c>
      <c r="B1721" t="s">
        <v>22</v>
      </c>
      <c r="C1721" t="s">
        <v>13</v>
      </c>
      <c r="D1721">
        <v>0</v>
      </c>
      <c r="E1721" s="2" t="s">
        <v>27</v>
      </c>
      <c r="F1721" s="2">
        <f t="shared" si="274"/>
        <v>2075</v>
      </c>
      <c r="G1721" s="3">
        <v>1</v>
      </c>
      <c r="H1721">
        <v>2241</v>
      </c>
      <c r="I1721">
        <v>983.9</v>
      </c>
      <c r="J1721">
        <v>19969</v>
      </c>
      <c r="K1721">
        <v>19072</v>
      </c>
      <c r="L1721" s="2">
        <v>27.372500000000002</v>
      </c>
      <c r="M1721" s="5">
        <v>198.88300000000001</v>
      </c>
      <c r="N1721" s="1">
        <v>310.16390000000001</v>
      </c>
      <c r="O1721" s="2">
        <v>25.2</v>
      </c>
      <c r="P1721">
        <v>310</v>
      </c>
    </row>
    <row r="1722" spans="1:16" x14ac:dyDescent="0.35">
      <c r="A1722" s="4">
        <v>45047</v>
      </c>
      <c r="B1722" t="s">
        <v>22</v>
      </c>
      <c r="C1722" t="s">
        <v>14</v>
      </c>
      <c r="D1722">
        <v>1</v>
      </c>
      <c r="E1722" s="2">
        <f>(2000*2+2367+1933)/4</f>
        <v>2075</v>
      </c>
      <c r="F1722" s="2">
        <f>(2000*2+2367+1933)/4</f>
        <v>2075</v>
      </c>
      <c r="G1722" s="3">
        <v>1</v>
      </c>
      <c r="H1722">
        <v>2241</v>
      </c>
      <c r="I1722">
        <v>983.9</v>
      </c>
      <c r="J1722">
        <v>19969</v>
      </c>
      <c r="K1722">
        <v>19072</v>
      </c>
      <c r="L1722" s="2">
        <v>27.372500000000002</v>
      </c>
      <c r="M1722" s="5">
        <v>198.88300000000001</v>
      </c>
      <c r="N1722" s="1">
        <v>310.16390000000001</v>
      </c>
      <c r="O1722" s="2">
        <v>25.2</v>
      </c>
      <c r="P1722">
        <v>310</v>
      </c>
    </row>
    <row r="1723" spans="1:16" x14ac:dyDescent="0.35">
      <c r="A1723" s="4">
        <v>45047</v>
      </c>
      <c r="B1723" t="s">
        <v>22</v>
      </c>
      <c r="C1723" t="s">
        <v>15</v>
      </c>
      <c r="D1723">
        <v>0</v>
      </c>
      <c r="E1723" s="2" t="s">
        <v>27</v>
      </c>
      <c r="F1723" s="2">
        <f>(2000*2+2367+1933)/4</f>
        <v>2075</v>
      </c>
      <c r="G1723" s="3">
        <v>1</v>
      </c>
      <c r="H1723">
        <v>2241</v>
      </c>
      <c r="I1723">
        <v>983.9</v>
      </c>
      <c r="J1723">
        <v>19969</v>
      </c>
      <c r="K1723">
        <v>19072</v>
      </c>
      <c r="L1723" s="2">
        <v>27.372500000000002</v>
      </c>
      <c r="M1723" s="5">
        <v>198.88300000000001</v>
      </c>
      <c r="N1723" s="1">
        <v>310.16390000000001</v>
      </c>
      <c r="O1723" s="2">
        <v>25.2</v>
      </c>
      <c r="P1723">
        <v>310</v>
      </c>
    </row>
    <row r="1724" spans="1:16" x14ac:dyDescent="0.35">
      <c r="A1724" s="4">
        <v>45078</v>
      </c>
      <c r="B1724" t="s">
        <v>16</v>
      </c>
      <c r="C1724" t="s">
        <v>10</v>
      </c>
      <c r="D1724">
        <v>1</v>
      </c>
      <c r="E1724" s="2">
        <f>(4866+4975+4900+4800)/4</f>
        <v>4885.25</v>
      </c>
      <c r="F1724" s="2">
        <f>(4895.25+4968.75+4878.75+4935)/4</f>
        <v>4919.4375</v>
      </c>
      <c r="G1724" s="3">
        <v>1</v>
      </c>
      <c r="H1724">
        <v>3361.5</v>
      </c>
      <c r="I1724">
        <v>983.9</v>
      </c>
      <c r="J1724">
        <v>13489</v>
      </c>
      <c r="K1724">
        <v>14304</v>
      </c>
      <c r="L1724" s="2">
        <v>27.287499999999994</v>
      </c>
      <c r="M1724" s="5">
        <v>101.35849999999999</v>
      </c>
      <c r="N1724" s="1">
        <v>301.26119999999997</v>
      </c>
      <c r="O1724" s="2">
        <v>12</v>
      </c>
      <c r="P1724">
        <v>308</v>
      </c>
    </row>
    <row r="1725" spans="1:16" x14ac:dyDescent="0.35">
      <c r="A1725" s="4">
        <v>45078</v>
      </c>
      <c r="B1725" t="s">
        <v>16</v>
      </c>
      <c r="C1725" t="s">
        <v>11</v>
      </c>
      <c r="D1725">
        <v>0</v>
      </c>
      <c r="E1725" s="2" t="s">
        <v>27</v>
      </c>
      <c r="F1725" s="2">
        <f t="shared" ref="F1725:F1729" si="275">(4895.25+4968.75+4878.75+4935)/4</f>
        <v>4919.4375</v>
      </c>
      <c r="G1725" s="3">
        <v>1</v>
      </c>
      <c r="H1725">
        <v>3361.5</v>
      </c>
      <c r="I1725">
        <v>983.9</v>
      </c>
      <c r="J1725">
        <v>13489</v>
      </c>
      <c r="K1725">
        <v>14304</v>
      </c>
      <c r="L1725" s="2">
        <v>27.287499999999994</v>
      </c>
      <c r="M1725" s="5">
        <v>101.35849999999999</v>
      </c>
      <c r="N1725" s="1">
        <v>301.26119999999997</v>
      </c>
      <c r="O1725" s="2">
        <v>12</v>
      </c>
      <c r="P1725">
        <v>308</v>
      </c>
    </row>
    <row r="1726" spans="1:16" x14ac:dyDescent="0.35">
      <c r="A1726" s="4">
        <v>45078</v>
      </c>
      <c r="B1726" t="s">
        <v>16</v>
      </c>
      <c r="C1726" t="s">
        <v>12</v>
      </c>
      <c r="D1726">
        <v>1</v>
      </c>
      <c r="E1726" s="2">
        <v>4790</v>
      </c>
      <c r="F1726" s="2">
        <f t="shared" si="275"/>
        <v>4919.4375</v>
      </c>
      <c r="G1726" s="3">
        <v>1</v>
      </c>
      <c r="H1726">
        <v>3361.5</v>
      </c>
      <c r="I1726">
        <v>983.9</v>
      </c>
      <c r="J1726">
        <v>13489</v>
      </c>
      <c r="K1726">
        <v>14304</v>
      </c>
      <c r="L1726" s="2">
        <v>27.287499999999994</v>
      </c>
      <c r="M1726" s="5">
        <v>101.35849999999999</v>
      </c>
      <c r="N1726" s="1">
        <v>301.26119999999997</v>
      </c>
      <c r="O1726" s="2">
        <v>12</v>
      </c>
      <c r="P1726">
        <v>308</v>
      </c>
    </row>
    <row r="1727" spans="1:16" x14ac:dyDescent="0.35">
      <c r="A1727" s="4">
        <v>45078</v>
      </c>
      <c r="B1727" t="s">
        <v>16</v>
      </c>
      <c r="C1727" t="s">
        <v>13</v>
      </c>
      <c r="D1727">
        <v>1</v>
      </c>
      <c r="E1727" s="2">
        <v>4950</v>
      </c>
      <c r="F1727" s="2">
        <f t="shared" si="275"/>
        <v>4919.4375</v>
      </c>
      <c r="G1727" s="3">
        <v>1</v>
      </c>
      <c r="H1727">
        <v>3361.5</v>
      </c>
      <c r="I1727">
        <v>983.9</v>
      </c>
      <c r="J1727">
        <v>13489</v>
      </c>
      <c r="K1727">
        <v>14304</v>
      </c>
      <c r="L1727" s="2">
        <v>27.287499999999994</v>
      </c>
      <c r="M1727" s="5">
        <v>101.35849999999999</v>
      </c>
      <c r="N1727" s="1">
        <v>301.26119999999997</v>
      </c>
      <c r="O1727" s="2">
        <v>12</v>
      </c>
      <c r="P1727">
        <v>308</v>
      </c>
    </row>
    <row r="1728" spans="1:16" x14ac:dyDescent="0.35">
      <c r="A1728" s="4">
        <v>45078</v>
      </c>
      <c r="B1728" t="s">
        <v>16</v>
      </c>
      <c r="C1728" t="s">
        <v>14</v>
      </c>
      <c r="D1728">
        <v>1</v>
      </c>
      <c r="E1728" s="2">
        <f>(5100+5075+5110+4925)/4</f>
        <v>5052.5</v>
      </c>
      <c r="F1728" s="2">
        <f t="shared" si="275"/>
        <v>4919.4375</v>
      </c>
      <c r="G1728" s="3">
        <v>1</v>
      </c>
      <c r="H1728">
        <v>3361.5</v>
      </c>
      <c r="I1728">
        <v>983.9</v>
      </c>
      <c r="J1728">
        <v>13489</v>
      </c>
      <c r="K1728">
        <v>14304</v>
      </c>
      <c r="L1728" s="2">
        <v>27.287499999999994</v>
      </c>
      <c r="M1728" s="5">
        <v>101.35849999999999</v>
      </c>
      <c r="N1728" s="1">
        <v>301.26119999999997</v>
      </c>
      <c r="O1728" s="2">
        <v>12</v>
      </c>
      <c r="P1728">
        <v>308</v>
      </c>
    </row>
    <row r="1729" spans="1:16" x14ac:dyDescent="0.35">
      <c r="A1729" s="4">
        <v>45078</v>
      </c>
      <c r="B1729" t="s">
        <v>16</v>
      </c>
      <c r="C1729" t="s">
        <v>15</v>
      </c>
      <c r="D1729">
        <v>0</v>
      </c>
      <c r="E1729" s="2" t="s">
        <v>27</v>
      </c>
      <c r="F1729" s="2">
        <f t="shared" si="275"/>
        <v>4919.4375</v>
      </c>
      <c r="G1729" s="3">
        <v>1</v>
      </c>
      <c r="H1729">
        <v>3361.5</v>
      </c>
      <c r="I1729">
        <v>983.9</v>
      </c>
      <c r="J1729">
        <v>13489</v>
      </c>
      <c r="K1729">
        <v>14304</v>
      </c>
      <c r="L1729" s="2">
        <v>27.287499999999994</v>
      </c>
      <c r="M1729" s="5">
        <v>101.35849999999999</v>
      </c>
      <c r="N1729" s="1">
        <v>301.26119999999997</v>
      </c>
      <c r="O1729" s="2">
        <v>12</v>
      </c>
      <c r="P1729">
        <v>308</v>
      </c>
    </row>
    <row r="1730" spans="1:16" x14ac:dyDescent="0.35">
      <c r="A1730" s="4">
        <v>45078</v>
      </c>
      <c r="B1730" t="s">
        <v>17</v>
      </c>
      <c r="C1730" t="s">
        <v>10</v>
      </c>
      <c r="D1730">
        <v>1</v>
      </c>
      <c r="E1730" s="2">
        <f>(4100+4133+4250+4066)/4</f>
        <v>4137.25</v>
      </c>
      <c r="F1730" s="2">
        <f>(3977.8+4080.4+4083.6+4140.2)/4</f>
        <v>4070.5</v>
      </c>
      <c r="G1730" s="3">
        <v>1</v>
      </c>
      <c r="H1730">
        <v>3361.5</v>
      </c>
      <c r="I1730">
        <v>983.9</v>
      </c>
      <c r="J1730">
        <v>13489</v>
      </c>
      <c r="K1730">
        <v>14304</v>
      </c>
      <c r="L1730" s="2">
        <v>27.287499999999994</v>
      </c>
      <c r="M1730" s="5">
        <v>101.35849999999999</v>
      </c>
      <c r="N1730" s="1">
        <v>301.26119999999997</v>
      </c>
      <c r="O1730" s="2">
        <v>12</v>
      </c>
      <c r="P1730">
        <v>308</v>
      </c>
    </row>
    <row r="1731" spans="1:16" x14ac:dyDescent="0.35">
      <c r="A1731" s="4">
        <v>45078</v>
      </c>
      <c r="B1731" t="s">
        <v>17</v>
      </c>
      <c r="C1731" t="s">
        <v>11</v>
      </c>
      <c r="D1731">
        <v>1</v>
      </c>
      <c r="E1731" s="2">
        <f>(4000*2+3700+3600)/4</f>
        <v>3825</v>
      </c>
      <c r="F1731" s="2">
        <f t="shared" ref="F1731:F1735" si="276">(3977.8+4080.4+4083.6+4140.2)/4</f>
        <v>4070.5</v>
      </c>
      <c r="G1731" s="3">
        <v>1</v>
      </c>
      <c r="H1731">
        <v>3361.5</v>
      </c>
      <c r="I1731">
        <v>983.9</v>
      </c>
      <c r="J1731">
        <v>13489</v>
      </c>
      <c r="K1731">
        <v>14304</v>
      </c>
      <c r="L1731" s="2">
        <v>27.287499999999994</v>
      </c>
      <c r="M1731" s="5">
        <v>101.35849999999999</v>
      </c>
      <c r="N1731" s="1">
        <v>301.26119999999997</v>
      </c>
      <c r="O1731" s="2">
        <v>12</v>
      </c>
      <c r="P1731">
        <v>308</v>
      </c>
    </row>
    <row r="1732" spans="1:16" x14ac:dyDescent="0.35">
      <c r="A1732" s="4">
        <v>45078</v>
      </c>
      <c r="B1732" t="s">
        <v>17</v>
      </c>
      <c r="C1732" t="s">
        <v>12</v>
      </c>
      <c r="D1732">
        <v>1</v>
      </c>
      <c r="E1732" s="2">
        <v>4385</v>
      </c>
      <c r="F1732" s="2">
        <f t="shared" si="276"/>
        <v>4070.5</v>
      </c>
      <c r="G1732" s="3">
        <v>1</v>
      </c>
      <c r="H1732">
        <v>3361.5</v>
      </c>
      <c r="I1732">
        <v>983.9</v>
      </c>
      <c r="J1732">
        <v>13489</v>
      </c>
      <c r="K1732">
        <v>14304</v>
      </c>
      <c r="L1732" s="2">
        <v>27.287499999999994</v>
      </c>
      <c r="M1732" s="5">
        <v>101.35849999999999</v>
      </c>
      <c r="N1732" s="1">
        <v>301.26119999999997</v>
      </c>
      <c r="O1732" s="2">
        <v>12</v>
      </c>
      <c r="P1732">
        <v>308</v>
      </c>
    </row>
    <row r="1733" spans="1:16" x14ac:dyDescent="0.35">
      <c r="A1733" s="4">
        <v>45078</v>
      </c>
      <c r="B1733" t="s">
        <v>17</v>
      </c>
      <c r="C1733" t="s">
        <v>13</v>
      </c>
      <c r="D1733">
        <v>1</v>
      </c>
      <c r="E1733" s="2">
        <f>(3900*2+4000+4150)/4</f>
        <v>3987.5</v>
      </c>
      <c r="F1733" s="2">
        <f t="shared" si="276"/>
        <v>4070.5</v>
      </c>
      <c r="G1733" s="3">
        <v>1</v>
      </c>
      <c r="H1733">
        <v>3361.5</v>
      </c>
      <c r="I1733">
        <v>983.9</v>
      </c>
      <c r="J1733">
        <v>13489</v>
      </c>
      <c r="K1733">
        <v>14304</v>
      </c>
      <c r="L1733" s="2">
        <v>27.287499999999994</v>
      </c>
      <c r="M1733" s="5">
        <v>101.35849999999999</v>
      </c>
      <c r="N1733" s="1">
        <v>301.26119999999997</v>
      </c>
      <c r="O1733" s="2">
        <v>12</v>
      </c>
      <c r="P1733">
        <v>308</v>
      </c>
    </row>
    <row r="1734" spans="1:16" x14ac:dyDescent="0.35">
      <c r="A1734" s="4">
        <v>45078</v>
      </c>
      <c r="B1734" t="s">
        <v>17</v>
      </c>
      <c r="C1734" t="s">
        <v>14</v>
      </c>
      <c r="D1734">
        <v>1</v>
      </c>
      <c r="E1734" s="2">
        <f>(4033+3933+4167+3933)/4</f>
        <v>4016.5</v>
      </c>
      <c r="F1734" s="2">
        <f t="shared" si="276"/>
        <v>4070.5</v>
      </c>
      <c r="G1734" s="3">
        <v>1</v>
      </c>
      <c r="H1734">
        <v>3361.5</v>
      </c>
      <c r="I1734">
        <v>983.9</v>
      </c>
      <c r="J1734">
        <v>13489</v>
      </c>
      <c r="K1734">
        <v>14304</v>
      </c>
      <c r="L1734" s="2">
        <v>27.287499999999994</v>
      </c>
      <c r="M1734" s="5">
        <v>101.35849999999999</v>
      </c>
      <c r="N1734" s="1">
        <v>301.26119999999997</v>
      </c>
      <c r="O1734" s="2">
        <v>12</v>
      </c>
      <c r="P1734">
        <v>308</v>
      </c>
    </row>
    <row r="1735" spans="1:16" x14ac:dyDescent="0.35">
      <c r="A1735" s="4">
        <v>45078</v>
      </c>
      <c r="B1735" t="s">
        <v>17</v>
      </c>
      <c r="C1735" t="s">
        <v>15</v>
      </c>
      <c r="D1735">
        <v>0</v>
      </c>
      <c r="E1735" s="2" t="s">
        <v>27</v>
      </c>
      <c r="F1735" s="2">
        <f t="shared" si="276"/>
        <v>4070.5</v>
      </c>
      <c r="G1735" s="3">
        <v>1</v>
      </c>
      <c r="H1735">
        <v>3361.5</v>
      </c>
      <c r="I1735">
        <v>983.9</v>
      </c>
      <c r="J1735">
        <v>13489</v>
      </c>
      <c r="K1735">
        <v>14304</v>
      </c>
      <c r="L1735" s="2">
        <v>27.287499999999994</v>
      </c>
      <c r="M1735" s="5">
        <v>101.35849999999999</v>
      </c>
      <c r="N1735" s="1">
        <v>301.26119999999997</v>
      </c>
      <c r="O1735" s="2">
        <v>12</v>
      </c>
      <c r="P1735">
        <v>308</v>
      </c>
    </row>
    <row r="1736" spans="1:16" x14ac:dyDescent="0.35">
      <c r="A1736" s="4">
        <v>45078</v>
      </c>
      <c r="B1736" t="s">
        <v>18</v>
      </c>
      <c r="C1736" t="s">
        <v>10</v>
      </c>
      <c r="D1736">
        <v>1</v>
      </c>
      <c r="E1736" s="2">
        <f>(3550+3575+3300+3283)/4</f>
        <v>3427</v>
      </c>
      <c r="F1736" s="2">
        <f>(3294.5+3306.63+3264.38+3425.88)/4</f>
        <v>3322.8474999999999</v>
      </c>
      <c r="G1736" s="3">
        <v>1</v>
      </c>
      <c r="H1736">
        <v>3361.5</v>
      </c>
      <c r="I1736">
        <v>983.9</v>
      </c>
      <c r="J1736">
        <v>13489</v>
      </c>
      <c r="K1736">
        <v>14304</v>
      </c>
      <c r="L1736" s="2">
        <v>27.287499999999994</v>
      </c>
      <c r="M1736" s="5">
        <v>101.35849999999999</v>
      </c>
      <c r="N1736" s="1">
        <v>301.26119999999997</v>
      </c>
      <c r="O1736" s="2">
        <v>12</v>
      </c>
      <c r="P1736">
        <v>308</v>
      </c>
    </row>
    <row r="1737" spans="1:16" x14ac:dyDescent="0.35">
      <c r="A1737" s="4">
        <v>45078</v>
      </c>
      <c r="B1737" t="s">
        <v>18</v>
      </c>
      <c r="C1737" t="s">
        <v>11</v>
      </c>
      <c r="D1737">
        <v>1</v>
      </c>
      <c r="E1737" s="2">
        <v>3425</v>
      </c>
      <c r="F1737" s="2">
        <f t="shared" ref="F1737:F1741" si="277">(3294.5+3306.63+3264.38+3425.88)/4</f>
        <v>3322.8474999999999</v>
      </c>
      <c r="G1737" s="3">
        <v>1</v>
      </c>
      <c r="H1737">
        <v>3361.5</v>
      </c>
      <c r="I1737">
        <v>983.9</v>
      </c>
      <c r="J1737">
        <v>13489</v>
      </c>
      <c r="K1737">
        <v>14304</v>
      </c>
      <c r="L1737" s="2">
        <v>27.287499999999994</v>
      </c>
      <c r="M1737" s="5">
        <v>101.35849999999999</v>
      </c>
      <c r="N1737" s="1">
        <v>301.26119999999997</v>
      </c>
      <c r="O1737" s="2">
        <v>12</v>
      </c>
      <c r="P1737">
        <v>308</v>
      </c>
    </row>
    <row r="1738" spans="1:16" x14ac:dyDescent="0.35">
      <c r="A1738" s="4">
        <v>45078</v>
      </c>
      <c r="B1738" t="s">
        <v>18</v>
      </c>
      <c r="C1738" t="s">
        <v>12</v>
      </c>
      <c r="D1738">
        <v>1</v>
      </c>
      <c r="E1738" s="2">
        <v>3390</v>
      </c>
      <c r="F1738" s="2">
        <f t="shared" si="277"/>
        <v>3322.8474999999999</v>
      </c>
      <c r="G1738" s="3">
        <v>1</v>
      </c>
      <c r="H1738">
        <v>3361.5</v>
      </c>
      <c r="I1738">
        <v>983.9</v>
      </c>
      <c r="J1738">
        <v>13489</v>
      </c>
      <c r="K1738">
        <v>14304</v>
      </c>
      <c r="L1738" s="2">
        <v>27.287499999999994</v>
      </c>
      <c r="M1738" s="5">
        <v>101.35850000000001</v>
      </c>
      <c r="N1738" s="1">
        <v>301.26119999999997</v>
      </c>
      <c r="O1738" s="2">
        <v>12</v>
      </c>
      <c r="P1738">
        <v>308</v>
      </c>
    </row>
    <row r="1739" spans="1:16" x14ac:dyDescent="0.35">
      <c r="A1739" s="4">
        <v>45078</v>
      </c>
      <c r="B1739" t="s">
        <v>18</v>
      </c>
      <c r="C1739" t="s">
        <v>13</v>
      </c>
      <c r="D1739">
        <v>1</v>
      </c>
      <c r="E1739" s="2">
        <f>(3500+3750+3300+3400)/4</f>
        <v>3487.5</v>
      </c>
      <c r="F1739" s="2">
        <f t="shared" si="277"/>
        <v>3322.8474999999999</v>
      </c>
      <c r="G1739" s="3">
        <v>1</v>
      </c>
      <c r="H1739">
        <v>3361.5</v>
      </c>
      <c r="I1739">
        <v>983.9</v>
      </c>
      <c r="J1739">
        <v>13489</v>
      </c>
      <c r="K1739">
        <v>14304</v>
      </c>
      <c r="L1739" s="2">
        <v>27.287499999999994</v>
      </c>
      <c r="M1739" s="5">
        <v>101.35850000000001</v>
      </c>
      <c r="N1739" s="1">
        <v>301.26119999999997</v>
      </c>
      <c r="O1739" s="2">
        <v>12</v>
      </c>
      <c r="P1739">
        <v>308</v>
      </c>
    </row>
    <row r="1740" spans="1:16" x14ac:dyDescent="0.35">
      <c r="A1740" s="4">
        <v>45078</v>
      </c>
      <c r="B1740" t="s">
        <v>18</v>
      </c>
      <c r="C1740" t="s">
        <v>14</v>
      </c>
      <c r="D1740">
        <v>1</v>
      </c>
      <c r="E1740" s="2">
        <f>(3238+3338+3525+3317)/4</f>
        <v>3354.5</v>
      </c>
      <c r="F1740" s="2">
        <f t="shared" si="277"/>
        <v>3322.8474999999999</v>
      </c>
      <c r="G1740" s="3">
        <v>1</v>
      </c>
      <c r="H1740">
        <v>3361.5</v>
      </c>
      <c r="I1740">
        <v>983.9</v>
      </c>
      <c r="J1740">
        <v>13489</v>
      </c>
      <c r="K1740">
        <v>14304</v>
      </c>
      <c r="L1740" s="2">
        <v>27.287499999999994</v>
      </c>
      <c r="M1740" s="5">
        <v>101.35850000000001</v>
      </c>
      <c r="N1740" s="1">
        <v>301.26119999999997</v>
      </c>
      <c r="O1740" s="2">
        <v>12</v>
      </c>
      <c r="P1740">
        <v>308</v>
      </c>
    </row>
    <row r="1741" spans="1:16" x14ac:dyDescent="0.35">
      <c r="A1741" s="4">
        <v>45078</v>
      </c>
      <c r="B1741" t="s">
        <v>18</v>
      </c>
      <c r="C1741" t="s">
        <v>15</v>
      </c>
      <c r="D1741">
        <v>1</v>
      </c>
      <c r="E1741" s="2">
        <v>3375</v>
      </c>
      <c r="F1741" s="2">
        <f t="shared" si="277"/>
        <v>3322.8474999999999</v>
      </c>
      <c r="G1741" s="3">
        <v>1</v>
      </c>
      <c r="H1741">
        <v>3361.5</v>
      </c>
      <c r="I1741">
        <v>983.9</v>
      </c>
      <c r="J1741">
        <v>13489</v>
      </c>
      <c r="K1741">
        <v>14304</v>
      </c>
      <c r="L1741" s="2">
        <v>27.287499999999994</v>
      </c>
      <c r="M1741" s="5">
        <v>101.35850000000001</v>
      </c>
      <c r="N1741" s="1">
        <v>301.26119999999997</v>
      </c>
      <c r="O1741" s="2">
        <v>12</v>
      </c>
      <c r="P1741">
        <v>308</v>
      </c>
    </row>
    <row r="1742" spans="1:16" x14ac:dyDescent="0.35">
      <c r="A1742" s="4">
        <v>45078</v>
      </c>
      <c r="B1742" t="s">
        <v>19</v>
      </c>
      <c r="C1742" t="s">
        <v>10</v>
      </c>
      <c r="D1742">
        <v>1</v>
      </c>
      <c r="E1742" s="2">
        <f>(2900+3066+3000+3025)/4</f>
        <v>2997.75</v>
      </c>
      <c r="F1742" s="2">
        <f>(2962.78+2926.67+3078.67+3021.44)/4</f>
        <v>2997.3900000000003</v>
      </c>
      <c r="G1742" s="3">
        <v>1</v>
      </c>
      <c r="H1742">
        <v>3361.5</v>
      </c>
      <c r="I1742">
        <v>983.9</v>
      </c>
      <c r="J1742">
        <v>13489</v>
      </c>
      <c r="K1742">
        <v>14304</v>
      </c>
      <c r="L1742" s="2">
        <v>27.287499999999994</v>
      </c>
      <c r="M1742" s="5">
        <v>101.35850000000001</v>
      </c>
      <c r="N1742" s="1">
        <v>301.26119999999997</v>
      </c>
      <c r="O1742" s="2">
        <v>12</v>
      </c>
      <c r="P1742">
        <v>308</v>
      </c>
    </row>
    <row r="1743" spans="1:16" x14ac:dyDescent="0.35">
      <c r="A1743" s="4">
        <v>45078</v>
      </c>
      <c r="B1743" t="s">
        <v>19</v>
      </c>
      <c r="C1743" t="s">
        <v>11</v>
      </c>
      <c r="D1743">
        <v>1</v>
      </c>
      <c r="E1743" s="2">
        <v>3175</v>
      </c>
      <c r="F1743" s="2">
        <f t="shared" ref="F1743:F1747" si="278">(2962.78+2926.67+3078.67+3021.44)/4</f>
        <v>2997.3900000000003</v>
      </c>
      <c r="G1743" s="3">
        <v>1</v>
      </c>
      <c r="H1743">
        <v>3361.5</v>
      </c>
      <c r="I1743">
        <v>983.9</v>
      </c>
      <c r="J1743">
        <v>13489</v>
      </c>
      <c r="K1743">
        <v>14304</v>
      </c>
      <c r="L1743" s="2">
        <v>27.287499999999994</v>
      </c>
      <c r="M1743" s="5">
        <v>101.35850000000001</v>
      </c>
      <c r="N1743" s="1">
        <v>301.26119999999997</v>
      </c>
      <c r="O1743" s="2">
        <v>12</v>
      </c>
      <c r="P1743">
        <v>308</v>
      </c>
    </row>
    <row r="1744" spans="1:16" x14ac:dyDescent="0.35">
      <c r="A1744" s="4">
        <v>45078</v>
      </c>
      <c r="B1744" t="s">
        <v>19</v>
      </c>
      <c r="C1744" t="s">
        <v>12</v>
      </c>
      <c r="D1744">
        <v>1</v>
      </c>
      <c r="E1744" s="2">
        <f>(3090+2995+2985*2)/4</f>
        <v>3013.75</v>
      </c>
      <c r="F1744" s="2">
        <f t="shared" si="278"/>
        <v>2997.3900000000003</v>
      </c>
      <c r="G1744" s="3">
        <v>1</v>
      </c>
      <c r="H1744">
        <v>3361.5</v>
      </c>
      <c r="I1744">
        <v>983.9</v>
      </c>
      <c r="J1744">
        <v>13489</v>
      </c>
      <c r="K1744">
        <v>14304</v>
      </c>
      <c r="L1744" s="2">
        <v>27.287499999999994</v>
      </c>
      <c r="M1744" s="5">
        <v>101.35850000000001</v>
      </c>
      <c r="N1744" s="1">
        <v>301.26119999999997</v>
      </c>
      <c r="O1744" s="2">
        <v>12</v>
      </c>
      <c r="P1744">
        <v>308</v>
      </c>
    </row>
    <row r="1745" spans="1:16" x14ac:dyDescent="0.35">
      <c r="A1745" s="4">
        <v>45078</v>
      </c>
      <c r="B1745" t="s">
        <v>19</v>
      </c>
      <c r="C1745" t="s">
        <v>13</v>
      </c>
      <c r="D1745">
        <v>1</v>
      </c>
      <c r="E1745" s="2">
        <v>3050</v>
      </c>
      <c r="F1745" s="2">
        <f t="shared" si="278"/>
        <v>2997.3900000000003</v>
      </c>
      <c r="G1745" s="3">
        <v>1</v>
      </c>
      <c r="H1745">
        <v>3361.5</v>
      </c>
      <c r="I1745">
        <v>983.9</v>
      </c>
      <c r="J1745">
        <v>13489</v>
      </c>
      <c r="K1745">
        <v>14304</v>
      </c>
      <c r="L1745" s="2">
        <v>27.287499999999994</v>
      </c>
      <c r="M1745" s="5">
        <v>101.35850000000001</v>
      </c>
      <c r="N1745" s="1">
        <v>301.26119999999997</v>
      </c>
      <c r="O1745" s="2">
        <v>12</v>
      </c>
      <c r="P1745">
        <v>308</v>
      </c>
    </row>
    <row r="1746" spans="1:16" x14ac:dyDescent="0.35">
      <c r="A1746" s="4">
        <v>45078</v>
      </c>
      <c r="B1746" t="s">
        <v>19</v>
      </c>
      <c r="C1746" t="s">
        <v>14</v>
      </c>
      <c r="D1746">
        <v>1</v>
      </c>
      <c r="E1746" s="2">
        <f>(2975+3170+3157+3158)/4</f>
        <v>3115</v>
      </c>
      <c r="F1746" s="2">
        <f t="shared" si="278"/>
        <v>2997.3900000000003</v>
      </c>
      <c r="G1746" s="3">
        <v>1</v>
      </c>
      <c r="H1746">
        <v>3361.5</v>
      </c>
      <c r="I1746">
        <v>983.9</v>
      </c>
      <c r="J1746">
        <v>13489</v>
      </c>
      <c r="K1746">
        <v>14304</v>
      </c>
      <c r="L1746" s="2">
        <v>27.287499999999994</v>
      </c>
      <c r="M1746" s="5">
        <v>101.35850000000001</v>
      </c>
      <c r="N1746" s="1">
        <v>301.26119999999997</v>
      </c>
      <c r="O1746" s="2">
        <v>12</v>
      </c>
      <c r="P1746">
        <v>308</v>
      </c>
    </row>
    <row r="1747" spans="1:16" x14ac:dyDescent="0.35">
      <c r="A1747" s="4">
        <v>45078</v>
      </c>
      <c r="B1747" t="s">
        <v>19</v>
      </c>
      <c r="C1747" t="s">
        <v>15</v>
      </c>
      <c r="D1747">
        <v>1</v>
      </c>
      <c r="E1747" s="2">
        <v>3150</v>
      </c>
      <c r="F1747" s="2">
        <f t="shared" si="278"/>
        <v>2997.3900000000003</v>
      </c>
      <c r="G1747" s="3">
        <v>1</v>
      </c>
      <c r="H1747">
        <v>3361.5</v>
      </c>
      <c r="I1747">
        <v>983.9</v>
      </c>
      <c r="J1747">
        <v>13489</v>
      </c>
      <c r="K1747">
        <v>14304</v>
      </c>
      <c r="L1747" s="2">
        <v>27.287499999999994</v>
      </c>
      <c r="M1747" s="5">
        <v>101.35850000000001</v>
      </c>
      <c r="N1747" s="1">
        <v>301.26119999999997</v>
      </c>
      <c r="O1747" s="2">
        <v>12</v>
      </c>
      <c r="P1747">
        <v>308</v>
      </c>
    </row>
    <row r="1748" spans="1:16" x14ac:dyDescent="0.35">
      <c r="A1748" s="4">
        <v>45078</v>
      </c>
      <c r="B1748" t="s">
        <v>20</v>
      </c>
      <c r="C1748" t="s">
        <v>10</v>
      </c>
      <c r="D1748">
        <v>1</v>
      </c>
      <c r="E1748" s="2">
        <f>(2550+2566+2625+2600)/4</f>
        <v>2585.25</v>
      </c>
      <c r="F1748" s="2">
        <f>(2496.25+2583.38+2655.13+2665.63)/4</f>
        <v>2600.0974999999999</v>
      </c>
      <c r="G1748" s="3">
        <v>1</v>
      </c>
      <c r="H1748">
        <v>3361.5</v>
      </c>
      <c r="I1748">
        <v>983.9</v>
      </c>
      <c r="J1748">
        <v>13489</v>
      </c>
      <c r="K1748">
        <v>14304</v>
      </c>
      <c r="L1748" s="2">
        <v>27.287499999999994</v>
      </c>
      <c r="M1748" s="5">
        <v>101.35850000000001</v>
      </c>
      <c r="N1748" s="1">
        <v>301.26119999999997</v>
      </c>
      <c r="O1748" s="2">
        <v>12</v>
      </c>
      <c r="P1748">
        <v>308</v>
      </c>
    </row>
    <row r="1749" spans="1:16" x14ac:dyDescent="0.35">
      <c r="A1749" s="4">
        <v>45078</v>
      </c>
      <c r="B1749" t="s">
        <v>20</v>
      </c>
      <c r="C1749" t="s">
        <v>11</v>
      </c>
      <c r="D1749">
        <v>1</v>
      </c>
      <c r="E1749" s="2">
        <f>(3000+2500+2700+2800)/4</f>
        <v>2750</v>
      </c>
      <c r="F1749" s="2">
        <f t="shared" ref="F1749:F1753" si="279">(2496.25+2583.38+2655.13+2665.63)/4</f>
        <v>2600.0974999999999</v>
      </c>
      <c r="G1749" s="3">
        <v>1</v>
      </c>
      <c r="H1749">
        <v>3361.5</v>
      </c>
      <c r="I1749">
        <v>983.9</v>
      </c>
      <c r="J1749">
        <v>13489</v>
      </c>
      <c r="K1749">
        <v>14304</v>
      </c>
      <c r="L1749" s="2">
        <v>27.287499999999994</v>
      </c>
      <c r="M1749" s="5">
        <v>101.35850000000001</v>
      </c>
      <c r="N1749" s="1">
        <v>301.26119999999997</v>
      </c>
      <c r="O1749" s="2">
        <v>12</v>
      </c>
      <c r="P1749">
        <v>308</v>
      </c>
    </row>
    <row r="1750" spans="1:16" x14ac:dyDescent="0.35">
      <c r="A1750" s="4">
        <v>45078</v>
      </c>
      <c r="B1750" t="s">
        <v>20</v>
      </c>
      <c r="C1750" t="s">
        <v>12</v>
      </c>
      <c r="D1750">
        <v>1</v>
      </c>
      <c r="E1750" s="2">
        <v>2225</v>
      </c>
      <c r="F1750" s="2">
        <f t="shared" si="279"/>
        <v>2600.0974999999999</v>
      </c>
      <c r="G1750" s="3">
        <v>1</v>
      </c>
      <c r="H1750">
        <v>3361.5</v>
      </c>
      <c r="I1750">
        <v>983.9</v>
      </c>
      <c r="J1750">
        <v>13489</v>
      </c>
      <c r="K1750">
        <v>14304</v>
      </c>
      <c r="L1750" s="2">
        <v>27.287499999999994</v>
      </c>
      <c r="M1750" s="5">
        <v>101.35850000000001</v>
      </c>
      <c r="N1750" s="1">
        <v>301.26119999999997</v>
      </c>
      <c r="O1750" s="2">
        <v>12</v>
      </c>
      <c r="P1750">
        <v>308</v>
      </c>
    </row>
    <row r="1751" spans="1:16" x14ac:dyDescent="0.35">
      <c r="A1751" s="4">
        <v>45078</v>
      </c>
      <c r="B1751" t="s">
        <v>20</v>
      </c>
      <c r="C1751" t="s">
        <v>13</v>
      </c>
      <c r="D1751">
        <v>1</v>
      </c>
      <c r="E1751" s="2">
        <f>(2825+2950+2550*2)/4</f>
        <v>2718.75</v>
      </c>
      <c r="F1751" s="2">
        <f t="shared" si="279"/>
        <v>2600.0974999999999</v>
      </c>
      <c r="G1751" s="3">
        <v>1</v>
      </c>
      <c r="H1751">
        <v>3361.5</v>
      </c>
      <c r="I1751">
        <v>983.9</v>
      </c>
      <c r="J1751">
        <v>13489</v>
      </c>
      <c r="K1751">
        <v>14304</v>
      </c>
      <c r="L1751" s="2">
        <v>27.287499999999994</v>
      </c>
      <c r="M1751" s="5">
        <v>101.35850000000001</v>
      </c>
      <c r="N1751" s="1">
        <v>301.26119999999997</v>
      </c>
      <c r="O1751" s="2">
        <v>12</v>
      </c>
      <c r="P1751">
        <v>308</v>
      </c>
    </row>
    <row r="1752" spans="1:16" x14ac:dyDescent="0.35">
      <c r="A1752" s="4">
        <v>45078</v>
      </c>
      <c r="B1752" t="s">
        <v>20</v>
      </c>
      <c r="C1752" t="s">
        <v>14</v>
      </c>
      <c r="D1752">
        <v>1</v>
      </c>
      <c r="E1752" s="2">
        <f>(2670+2867+2900+2875)/4</f>
        <v>2828</v>
      </c>
      <c r="F1752" s="2">
        <f t="shared" si="279"/>
        <v>2600.0974999999999</v>
      </c>
      <c r="G1752" s="3">
        <v>1</v>
      </c>
      <c r="H1752">
        <v>3361.5</v>
      </c>
      <c r="I1752">
        <v>983.9</v>
      </c>
      <c r="J1752">
        <v>13489</v>
      </c>
      <c r="K1752">
        <v>14304</v>
      </c>
      <c r="L1752" s="2">
        <v>27.287499999999994</v>
      </c>
      <c r="M1752" s="5">
        <v>101.35850000000001</v>
      </c>
      <c r="N1752" s="1">
        <v>301.26119999999997</v>
      </c>
      <c r="O1752" s="2">
        <v>12</v>
      </c>
      <c r="P1752">
        <v>308</v>
      </c>
    </row>
    <row r="1753" spans="1:16" x14ac:dyDescent="0.35">
      <c r="A1753" s="4">
        <v>45078</v>
      </c>
      <c r="B1753" t="s">
        <v>20</v>
      </c>
      <c r="C1753" t="s">
        <v>15</v>
      </c>
      <c r="D1753">
        <v>1</v>
      </c>
      <c r="E1753" s="2">
        <f>(2900+2950+2850+2775)/4</f>
        <v>2868.75</v>
      </c>
      <c r="F1753" s="2">
        <f t="shared" si="279"/>
        <v>2600.0974999999999</v>
      </c>
      <c r="G1753" s="3">
        <v>1</v>
      </c>
      <c r="H1753">
        <v>3361.5</v>
      </c>
      <c r="I1753">
        <v>983.9</v>
      </c>
      <c r="J1753">
        <v>13489</v>
      </c>
      <c r="K1753">
        <v>14304</v>
      </c>
      <c r="L1753" s="2">
        <v>27.287499999999994</v>
      </c>
      <c r="M1753" s="5">
        <v>101.35850000000001</v>
      </c>
      <c r="N1753" s="1">
        <v>301.26119999999997</v>
      </c>
      <c r="O1753" s="2">
        <v>12</v>
      </c>
      <c r="P1753">
        <v>308</v>
      </c>
    </row>
    <row r="1754" spans="1:16" x14ac:dyDescent="0.35">
      <c r="A1754" s="4">
        <v>45078</v>
      </c>
      <c r="B1754" t="s">
        <v>21</v>
      </c>
      <c r="C1754" t="s">
        <v>10</v>
      </c>
      <c r="D1754">
        <v>1</v>
      </c>
      <c r="E1754" s="2">
        <f>(2100+2250+2550+2300)/4</f>
        <v>2300</v>
      </c>
      <c r="F1754" s="2">
        <f>(2393.75+2368.75+2295.13+2268.75)/4</f>
        <v>2331.5950000000003</v>
      </c>
      <c r="G1754" s="3">
        <v>1</v>
      </c>
      <c r="H1754">
        <v>3361.5</v>
      </c>
      <c r="I1754">
        <v>983.9</v>
      </c>
      <c r="J1754">
        <v>13489</v>
      </c>
      <c r="K1754">
        <v>14304</v>
      </c>
      <c r="L1754" s="2">
        <v>27.287499999999994</v>
      </c>
      <c r="M1754" s="5">
        <v>101.35850000000001</v>
      </c>
      <c r="N1754" s="1">
        <v>301.26119999999997</v>
      </c>
      <c r="O1754" s="2">
        <v>12</v>
      </c>
      <c r="P1754">
        <v>308</v>
      </c>
    </row>
    <row r="1755" spans="1:16" x14ac:dyDescent="0.35">
      <c r="A1755" s="4">
        <v>45078</v>
      </c>
      <c r="B1755" t="s">
        <v>21</v>
      </c>
      <c r="C1755" t="s">
        <v>11</v>
      </c>
      <c r="D1755">
        <v>1</v>
      </c>
      <c r="E1755" s="2">
        <v>2550</v>
      </c>
      <c r="F1755" s="2">
        <f t="shared" ref="F1755:F1759" si="280">(2393.75+2368.75+2295.13+2268.75)/4</f>
        <v>2331.5950000000003</v>
      </c>
      <c r="G1755" s="3">
        <v>1</v>
      </c>
      <c r="H1755">
        <v>3361.5</v>
      </c>
      <c r="I1755">
        <v>983.9</v>
      </c>
      <c r="J1755">
        <v>13489</v>
      </c>
      <c r="K1755">
        <v>14304</v>
      </c>
      <c r="L1755" s="2">
        <v>27.287499999999994</v>
      </c>
      <c r="M1755" s="5">
        <v>101.35850000000001</v>
      </c>
      <c r="N1755" s="1">
        <v>301.26119999999997</v>
      </c>
      <c r="O1755" s="2">
        <v>12</v>
      </c>
      <c r="P1755">
        <v>308</v>
      </c>
    </row>
    <row r="1756" spans="1:16" x14ac:dyDescent="0.35">
      <c r="A1756" s="4">
        <v>45078</v>
      </c>
      <c r="B1756" t="s">
        <v>21</v>
      </c>
      <c r="C1756" t="s">
        <v>12</v>
      </c>
      <c r="D1756">
        <v>1</v>
      </c>
      <c r="E1756" s="2">
        <v>1500</v>
      </c>
      <c r="F1756" s="2">
        <f t="shared" si="280"/>
        <v>2331.5950000000003</v>
      </c>
      <c r="G1756" s="3">
        <v>1</v>
      </c>
      <c r="H1756">
        <v>3361.5</v>
      </c>
      <c r="I1756">
        <v>983.9</v>
      </c>
      <c r="J1756">
        <v>13489</v>
      </c>
      <c r="K1756">
        <v>14304</v>
      </c>
      <c r="L1756" s="2">
        <v>27.287499999999994</v>
      </c>
      <c r="M1756" s="5">
        <v>101.35850000000001</v>
      </c>
      <c r="N1756" s="1">
        <v>301.26119999999997</v>
      </c>
      <c r="O1756" s="2">
        <v>12</v>
      </c>
      <c r="P1756">
        <v>308</v>
      </c>
    </row>
    <row r="1757" spans="1:16" x14ac:dyDescent="0.35">
      <c r="A1757" s="4">
        <v>45078</v>
      </c>
      <c r="B1757" t="s">
        <v>21</v>
      </c>
      <c r="C1757" t="s">
        <v>13</v>
      </c>
      <c r="D1757">
        <v>1</v>
      </c>
      <c r="E1757" s="2">
        <f>(2475*2+2700+2850)/4</f>
        <v>2625</v>
      </c>
      <c r="F1757" s="2">
        <f t="shared" si="280"/>
        <v>2331.5950000000003</v>
      </c>
      <c r="G1757" s="3">
        <v>1</v>
      </c>
      <c r="H1757">
        <v>3361.5</v>
      </c>
      <c r="I1757">
        <v>983.9</v>
      </c>
      <c r="J1757">
        <v>13489</v>
      </c>
      <c r="K1757">
        <v>14304</v>
      </c>
      <c r="L1757" s="2">
        <v>27.287499999999994</v>
      </c>
      <c r="M1757" s="5">
        <v>101.35850000000001</v>
      </c>
      <c r="N1757" s="1">
        <v>301.26119999999997</v>
      </c>
      <c r="O1757" s="2">
        <v>12</v>
      </c>
      <c r="P1757">
        <v>308</v>
      </c>
    </row>
    <row r="1758" spans="1:16" x14ac:dyDescent="0.35">
      <c r="A1758" s="4">
        <v>45078</v>
      </c>
      <c r="B1758" t="s">
        <v>21</v>
      </c>
      <c r="C1758" t="s">
        <v>14</v>
      </c>
      <c r="D1758">
        <v>1</v>
      </c>
      <c r="E1758" s="2">
        <f>(2650*2+2586+2500)/4</f>
        <v>2596.5</v>
      </c>
      <c r="F1758" s="2">
        <f t="shared" si="280"/>
        <v>2331.5950000000003</v>
      </c>
      <c r="G1758" s="3">
        <v>1</v>
      </c>
      <c r="H1758">
        <v>3361.5</v>
      </c>
      <c r="I1758">
        <v>983.9</v>
      </c>
      <c r="J1758">
        <v>13489</v>
      </c>
      <c r="K1758">
        <v>14304</v>
      </c>
      <c r="L1758" s="2">
        <v>27.287499999999994</v>
      </c>
      <c r="M1758" s="5">
        <v>101.35850000000001</v>
      </c>
      <c r="N1758" s="1">
        <v>301.26119999999997</v>
      </c>
      <c r="O1758" s="2">
        <v>12</v>
      </c>
      <c r="P1758">
        <v>308</v>
      </c>
    </row>
    <row r="1759" spans="1:16" x14ac:dyDescent="0.35">
      <c r="A1759" s="4">
        <v>45078</v>
      </c>
      <c r="B1759" t="s">
        <v>21</v>
      </c>
      <c r="C1759" t="s">
        <v>15</v>
      </c>
      <c r="D1759">
        <v>1</v>
      </c>
      <c r="E1759" s="2">
        <f>(2675+2750*2+2800)/4</f>
        <v>2743.75</v>
      </c>
      <c r="F1759" s="2">
        <f t="shared" si="280"/>
        <v>2331.5950000000003</v>
      </c>
      <c r="G1759" s="3">
        <v>1</v>
      </c>
      <c r="H1759">
        <v>3361.5</v>
      </c>
      <c r="I1759">
        <v>983.9</v>
      </c>
      <c r="J1759">
        <v>13489</v>
      </c>
      <c r="K1759">
        <v>14304</v>
      </c>
      <c r="L1759" s="2">
        <v>27.287499999999994</v>
      </c>
      <c r="M1759" s="5">
        <v>101.35850000000001</v>
      </c>
      <c r="N1759" s="1">
        <v>301.26119999999997</v>
      </c>
      <c r="O1759" s="2">
        <v>12</v>
      </c>
      <c r="P1759">
        <v>308</v>
      </c>
    </row>
    <row r="1760" spans="1:16" x14ac:dyDescent="0.35">
      <c r="A1760" s="4">
        <v>45078</v>
      </c>
      <c r="B1760" t="s">
        <v>22</v>
      </c>
      <c r="C1760" t="s">
        <v>10</v>
      </c>
      <c r="D1760">
        <v>0</v>
      </c>
      <c r="E1760" s="2" t="s">
        <v>27</v>
      </c>
      <c r="F1760" s="2">
        <f t="shared" ref="F1760:F1763" si="281">(2067+2250+2075+2100)/4</f>
        <v>2123</v>
      </c>
      <c r="G1760" s="3">
        <v>1</v>
      </c>
      <c r="H1760">
        <v>3361.5</v>
      </c>
      <c r="I1760">
        <v>983.9</v>
      </c>
      <c r="J1760">
        <v>13489</v>
      </c>
      <c r="K1760">
        <v>14304</v>
      </c>
      <c r="L1760" s="2">
        <v>27.287499999999994</v>
      </c>
      <c r="M1760" s="5">
        <v>101.35850000000001</v>
      </c>
      <c r="N1760" s="1">
        <v>301.26119999999997</v>
      </c>
      <c r="O1760" s="2">
        <v>12</v>
      </c>
      <c r="P1760">
        <v>308</v>
      </c>
    </row>
    <row r="1761" spans="1:16" x14ac:dyDescent="0.35">
      <c r="A1761" s="4">
        <v>45078</v>
      </c>
      <c r="B1761" t="s">
        <v>22</v>
      </c>
      <c r="C1761" t="s">
        <v>11</v>
      </c>
      <c r="D1761">
        <v>0</v>
      </c>
      <c r="E1761" s="2" t="s">
        <v>27</v>
      </c>
      <c r="F1761" s="2">
        <f t="shared" si="281"/>
        <v>2123</v>
      </c>
      <c r="G1761" s="3">
        <v>1</v>
      </c>
      <c r="H1761">
        <v>3361.5</v>
      </c>
      <c r="I1761">
        <v>983.9</v>
      </c>
      <c r="J1761">
        <v>13489</v>
      </c>
      <c r="K1761">
        <v>14304</v>
      </c>
      <c r="L1761" s="2">
        <v>27.287499999999994</v>
      </c>
      <c r="M1761" s="5">
        <v>101.35850000000001</v>
      </c>
      <c r="N1761" s="1">
        <v>301.26119999999997</v>
      </c>
      <c r="O1761" s="2">
        <v>12</v>
      </c>
      <c r="P1761">
        <v>308</v>
      </c>
    </row>
    <row r="1762" spans="1:16" x14ac:dyDescent="0.35">
      <c r="A1762" s="4">
        <v>45078</v>
      </c>
      <c r="B1762" t="s">
        <v>22</v>
      </c>
      <c r="C1762" t="s">
        <v>12</v>
      </c>
      <c r="D1762">
        <v>0</v>
      </c>
      <c r="E1762" s="2" t="s">
        <v>27</v>
      </c>
      <c r="F1762" s="2">
        <f t="shared" si="281"/>
        <v>2123</v>
      </c>
      <c r="G1762" s="3">
        <v>1</v>
      </c>
      <c r="H1762">
        <v>3361.5</v>
      </c>
      <c r="I1762">
        <v>983.9</v>
      </c>
      <c r="J1762">
        <v>13489</v>
      </c>
      <c r="K1762">
        <v>14304</v>
      </c>
      <c r="L1762" s="2">
        <v>27.287499999999994</v>
      </c>
      <c r="M1762" s="5">
        <v>101.35850000000001</v>
      </c>
      <c r="N1762" s="1">
        <v>301.26119999999997</v>
      </c>
      <c r="O1762" s="2">
        <v>12</v>
      </c>
      <c r="P1762">
        <v>308</v>
      </c>
    </row>
    <row r="1763" spans="1:16" x14ac:dyDescent="0.35">
      <c r="A1763" s="4">
        <v>45078</v>
      </c>
      <c r="B1763" t="s">
        <v>22</v>
      </c>
      <c r="C1763" t="s">
        <v>13</v>
      </c>
      <c r="D1763">
        <v>0</v>
      </c>
      <c r="E1763" s="2" t="s">
        <v>27</v>
      </c>
      <c r="F1763" s="2">
        <f t="shared" si="281"/>
        <v>2123</v>
      </c>
      <c r="G1763" s="3">
        <v>1</v>
      </c>
      <c r="H1763">
        <v>3361.5</v>
      </c>
      <c r="I1763">
        <v>983.9</v>
      </c>
      <c r="J1763">
        <v>13489</v>
      </c>
      <c r="K1763">
        <v>14304</v>
      </c>
      <c r="L1763" s="2">
        <v>27.287499999999994</v>
      </c>
      <c r="M1763" s="5">
        <v>101.35850000000001</v>
      </c>
      <c r="N1763" s="1">
        <v>301.26119999999997</v>
      </c>
      <c r="O1763" s="2">
        <v>12</v>
      </c>
      <c r="P1763">
        <v>308</v>
      </c>
    </row>
    <row r="1764" spans="1:16" x14ac:dyDescent="0.35">
      <c r="A1764" s="4">
        <v>45078</v>
      </c>
      <c r="B1764" t="s">
        <v>22</v>
      </c>
      <c r="C1764" t="s">
        <v>14</v>
      </c>
      <c r="D1764">
        <v>1</v>
      </c>
      <c r="E1764" s="2">
        <f>(2067+2250+2075+2100)/4</f>
        <v>2123</v>
      </c>
      <c r="F1764" s="2">
        <f>(2067+2250+2075+2100)/4</f>
        <v>2123</v>
      </c>
      <c r="G1764" s="3">
        <v>1</v>
      </c>
      <c r="H1764">
        <v>3361.5</v>
      </c>
      <c r="I1764">
        <v>983.9</v>
      </c>
      <c r="J1764">
        <v>13489</v>
      </c>
      <c r="K1764">
        <v>14304</v>
      </c>
      <c r="L1764" s="2">
        <v>27.287499999999994</v>
      </c>
      <c r="M1764" s="5">
        <v>101.35850000000001</v>
      </c>
      <c r="N1764" s="1">
        <v>301.26119999999997</v>
      </c>
      <c r="O1764" s="2">
        <v>12</v>
      </c>
      <c r="P1764">
        <v>308</v>
      </c>
    </row>
    <row r="1765" spans="1:16" x14ac:dyDescent="0.35">
      <c r="A1765" s="4">
        <v>45078</v>
      </c>
      <c r="B1765" t="s">
        <v>22</v>
      </c>
      <c r="C1765" t="s">
        <v>15</v>
      </c>
      <c r="D1765">
        <v>0</v>
      </c>
      <c r="E1765" s="2" t="s">
        <v>27</v>
      </c>
      <c r="F1765" s="2">
        <f>(2067+2250+2075+2100)/4</f>
        <v>2123</v>
      </c>
      <c r="G1765" s="3">
        <v>1</v>
      </c>
      <c r="H1765">
        <v>3361.5</v>
      </c>
      <c r="I1765">
        <v>983.9</v>
      </c>
      <c r="J1765">
        <v>13489</v>
      </c>
      <c r="K1765">
        <v>14304</v>
      </c>
      <c r="L1765" s="2">
        <v>27.287499999999994</v>
      </c>
      <c r="M1765" s="5">
        <v>101.35850000000001</v>
      </c>
      <c r="N1765" s="1">
        <v>301.26119999999997</v>
      </c>
      <c r="O1765" s="2">
        <v>12</v>
      </c>
      <c r="P1765">
        <v>308</v>
      </c>
    </row>
    <row r="1766" spans="1:16" x14ac:dyDescent="0.35">
      <c r="A1766" s="4">
        <v>45108</v>
      </c>
      <c r="B1766" t="s">
        <v>16</v>
      </c>
      <c r="C1766" t="s">
        <v>10</v>
      </c>
      <c r="D1766">
        <v>1</v>
      </c>
      <c r="E1766" s="2">
        <f>(4600+4700+4466+4766+4600)/5</f>
        <v>4626.3999999999996</v>
      </c>
      <c r="F1766" s="2">
        <f>(4860+4864+4676.5+4747.5*2)/5</f>
        <v>4779.1000000000004</v>
      </c>
      <c r="G1766" s="3">
        <v>1</v>
      </c>
      <c r="H1766">
        <v>3361.5</v>
      </c>
      <c r="I1766">
        <v>787.1</v>
      </c>
      <c r="J1766">
        <v>12592</v>
      </c>
      <c r="K1766">
        <v>14304</v>
      </c>
      <c r="L1766" s="2">
        <v>26.892499999999995</v>
      </c>
      <c r="M1766" s="5">
        <v>65.556499999999971</v>
      </c>
      <c r="N1766" s="1">
        <v>319.2903</v>
      </c>
      <c r="O1766" s="2">
        <v>6.3</v>
      </c>
      <c r="P1766">
        <v>306</v>
      </c>
    </row>
    <row r="1767" spans="1:16" x14ac:dyDescent="0.35">
      <c r="A1767" s="4">
        <v>45108</v>
      </c>
      <c r="B1767" t="s">
        <v>16</v>
      </c>
      <c r="C1767" t="s">
        <v>11</v>
      </c>
      <c r="D1767">
        <v>0</v>
      </c>
      <c r="E1767" s="2" t="s">
        <v>27</v>
      </c>
      <c r="F1767" s="2">
        <f t="shared" ref="F1767:F1771" si="282">(4860+4864+4676.5+4747.5*2)/5</f>
        <v>4779.1000000000004</v>
      </c>
      <c r="G1767" s="3">
        <v>1</v>
      </c>
      <c r="H1767">
        <v>3361.5</v>
      </c>
      <c r="I1767">
        <v>787.1</v>
      </c>
      <c r="J1767">
        <v>12592</v>
      </c>
      <c r="K1767">
        <v>14304</v>
      </c>
      <c r="L1767" s="2">
        <v>26.892499999999995</v>
      </c>
      <c r="M1767" s="5">
        <v>65.556499999999971</v>
      </c>
      <c r="N1767" s="1">
        <v>319.2903</v>
      </c>
      <c r="O1767" s="2">
        <v>6.3</v>
      </c>
      <c r="P1767">
        <v>306</v>
      </c>
    </row>
    <row r="1768" spans="1:16" x14ac:dyDescent="0.35">
      <c r="A1768" s="4">
        <v>45108</v>
      </c>
      <c r="B1768" t="s">
        <v>16</v>
      </c>
      <c r="C1768" t="s">
        <v>12</v>
      </c>
      <c r="D1768">
        <v>1</v>
      </c>
      <c r="E1768" s="2">
        <v>4790</v>
      </c>
      <c r="F1768" s="2">
        <f t="shared" si="282"/>
        <v>4779.1000000000004</v>
      </c>
      <c r="G1768" s="3">
        <v>1</v>
      </c>
      <c r="H1768">
        <v>3361.5</v>
      </c>
      <c r="I1768">
        <v>787.1</v>
      </c>
      <c r="J1768">
        <v>12592</v>
      </c>
      <c r="K1768">
        <v>14304</v>
      </c>
      <c r="L1768" s="2">
        <v>26.892499999999995</v>
      </c>
      <c r="M1768" s="5">
        <v>65.556499999999971</v>
      </c>
      <c r="N1768" s="1">
        <v>319.2903</v>
      </c>
      <c r="O1768" s="2">
        <v>6.3</v>
      </c>
      <c r="P1768">
        <v>306</v>
      </c>
    </row>
    <row r="1769" spans="1:16" x14ac:dyDescent="0.35">
      <c r="A1769" s="4">
        <v>45108</v>
      </c>
      <c r="B1769" t="s">
        <v>16</v>
      </c>
      <c r="C1769" t="s">
        <v>13</v>
      </c>
      <c r="D1769">
        <v>1</v>
      </c>
      <c r="E1769" s="2">
        <f>(5000+5050+4550*2+4750)/5</f>
        <v>4780</v>
      </c>
      <c r="F1769" s="2">
        <f t="shared" si="282"/>
        <v>4779.1000000000004</v>
      </c>
      <c r="G1769" s="3">
        <v>1</v>
      </c>
      <c r="H1769">
        <v>3361.5</v>
      </c>
      <c r="I1769">
        <v>787.1</v>
      </c>
      <c r="J1769">
        <v>12592</v>
      </c>
      <c r="K1769">
        <v>14304</v>
      </c>
      <c r="L1769" s="2">
        <v>26.892499999999995</v>
      </c>
      <c r="M1769" s="5">
        <v>65.556499999999971</v>
      </c>
      <c r="N1769" s="1">
        <v>319.2903</v>
      </c>
      <c r="O1769" s="2">
        <v>6.3</v>
      </c>
      <c r="P1769">
        <v>306</v>
      </c>
    </row>
    <row r="1770" spans="1:16" x14ac:dyDescent="0.35">
      <c r="A1770" s="4">
        <v>45108</v>
      </c>
      <c r="B1770" t="s">
        <v>16</v>
      </c>
      <c r="C1770" t="s">
        <v>14</v>
      </c>
      <c r="D1770">
        <v>1</v>
      </c>
      <c r="E1770" s="2">
        <f>(4850+4950+4900*2+5000)/5</f>
        <v>4920</v>
      </c>
      <c r="F1770" s="2">
        <f t="shared" si="282"/>
        <v>4779.1000000000004</v>
      </c>
      <c r="G1770" s="3">
        <v>1</v>
      </c>
      <c r="H1770">
        <v>3361.5</v>
      </c>
      <c r="I1770">
        <v>787.1</v>
      </c>
      <c r="J1770">
        <v>12592</v>
      </c>
      <c r="K1770">
        <v>14304</v>
      </c>
      <c r="L1770" s="2">
        <v>26.892499999999995</v>
      </c>
      <c r="M1770" s="5">
        <v>65.556499999999971</v>
      </c>
      <c r="N1770" s="1">
        <v>319.2903</v>
      </c>
      <c r="O1770" s="2">
        <v>6.3</v>
      </c>
      <c r="P1770">
        <v>306</v>
      </c>
    </row>
    <row r="1771" spans="1:16" x14ac:dyDescent="0.35">
      <c r="A1771" s="4">
        <v>45108</v>
      </c>
      <c r="B1771" t="s">
        <v>16</v>
      </c>
      <c r="C1771" t="s">
        <v>15</v>
      </c>
      <c r="D1771">
        <v>0</v>
      </c>
      <c r="E1771" s="2" t="s">
        <v>27</v>
      </c>
      <c r="F1771" s="2">
        <f t="shared" si="282"/>
        <v>4779.1000000000004</v>
      </c>
      <c r="G1771" s="3">
        <v>1</v>
      </c>
      <c r="H1771">
        <v>3361.5</v>
      </c>
      <c r="I1771">
        <v>787.1</v>
      </c>
      <c r="J1771">
        <v>12592</v>
      </c>
      <c r="K1771">
        <v>14304</v>
      </c>
      <c r="L1771" s="2">
        <v>26.892499999999995</v>
      </c>
      <c r="M1771" s="5">
        <v>65.556499999999971</v>
      </c>
      <c r="N1771" s="1">
        <v>319.2903</v>
      </c>
      <c r="O1771" s="2">
        <v>6.3</v>
      </c>
      <c r="P1771">
        <v>306</v>
      </c>
    </row>
    <row r="1772" spans="1:16" x14ac:dyDescent="0.35">
      <c r="A1772" s="4">
        <v>45108</v>
      </c>
      <c r="B1772" t="s">
        <v>17</v>
      </c>
      <c r="C1772" t="s">
        <v>10</v>
      </c>
      <c r="D1772">
        <v>1</v>
      </c>
      <c r="E1772" s="2">
        <f>(3700+3600+3933+4000*2)/5</f>
        <v>3846.6</v>
      </c>
      <c r="F1772" s="2">
        <f>(3939+3754.6+3925.6+4057+4110.4)/5</f>
        <v>3957.3199999999997</v>
      </c>
      <c r="G1772" s="3">
        <v>1</v>
      </c>
      <c r="H1772">
        <v>3361.5</v>
      </c>
      <c r="I1772">
        <v>787.1</v>
      </c>
      <c r="J1772">
        <v>12592</v>
      </c>
      <c r="K1772">
        <v>14304</v>
      </c>
      <c r="L1772" s="2">
        <v>26.892499999999995</v>
      </c>
      <c r="M1772" s="5">
        <v>65.556499999999971</v>
      </c>
      <c r="N1772" s="1">
        <v>319.2903</v>
      </c>
      <c r="O1772" s="2">
        <v>6.3</v>
      </c>
      <c r="P1772">
        <v>306</v>
      </c>
    </row>
    <row r="1773" spans="1:16" x14ac:dyDescent="0.35">
      <c r="A1773" s="4">
        <v>45108</v>
      </c>
      <c r="B1773" t="s">
        <v>17</v>
      </c>
      <c r="C1773" t="s">
        <v>11</v>
      </c>
      <c r="D1773">
        <v>1</v>
      </c>
      <c r="E1773" s="2">
        <f>(4000*2+3500+3600+3800)/5</f>
        <v>3780</v>
      </c>
      <c r="F1773" s="2">
        <f t="shared" ref="F1773:F1777" si="283">(3939+3754.6+3925.6+4057+4110.4)/5</f>
        <v>3957.3199999999997</v>
      </c>
      <c r="G1773" s="3">
        <v>1</v>
      </c>
      <c r="H1773">
        <v>3361.5</v>
      </c>
      <c r="I1773">
        <v>787.1</v>
      </c>
      <c r="J1773">
        <v>12592</v>
      </c>
      <c r="K1773">
        <v>14304</v>
      </c>
      <c r="L1773" s="2">
        <v>26.892499999999995</v>
      </c>
      <c r="M1773" s="5">
        <v>65.556499999999971</v>
      </c>
      <c r="N1773" s="1">
        <v>319.2903</v>
      </c>
      <c r="O1773" s="2">
        <v>6.3</v>
      </c>
      <c r="P1773">
        <v>306</v>
      </c>
    </row>
    <row r="1774" spans="1:16" x14ac:dyDescent="0.35">
      <c r="A1774" s="4">
        <v>45108</v>
      </c>
      <c r="B1774" t="s">
        <v>17</v>
      </c>
      <c r="C1774" t="s">
        <v>12</v>
      </c>
      <c r="D1774">
        <v>1</v>
      </c>
      <c r="E1774" s="2">
        <v>4395</v>
      </c>
      <c r="F1774" s="2">
        <f t="shared" si="283"/>
        <v>3957.3199999999997</v>
      </c>
      <c r="G1774" s="3">
        <v>1</v>
      </c>
      <c r="H1774">
        <v>3361.5</v>
      </c>
      <c r="I1774">
        <v>787.1</v>
      </c>
      <c r="J1774">
        <v>12592</v>
      </c>
      <c r="K1774">
        <v>14304</v>
      </c>
      <c r="L1774" s="2">
        <v>26.892499999999995</v>
      </c>
      <c r="M1774" s="5">
        <v>65.556499999999971</v>
      </c>
      <c r="N1774" s="1">
        <v>319.2903</v>
      </c>
      <c r="O1774" s="2">
        <v>6.3</v>
      </c>
      <c r="P1774">
        <v>306</v>
      </c>
    </row>
    <row r="1775" spans="1:16" x14ac:dyDescent="0.35">
      <c r="A1775" s="4">
        <v>45108</v>
      </c>
      <c r="B1775" t="s">
        <v>17</v>
      </c>
      <c r="C1775" t="s">
        <v>13</v>
      </c>
      <c r="D1775">
        <v>1</v>
      </c>
      <c r="E1775" s="2">
        <v>3980</v>
      </c>
      <c r="F1775" s="2">
        <f t="shared" si="283"/>
        <v>3957.3199999999997</v>
      </c>
      <c r="G1775" s="3">
        <v>1</v>
      </c>
      <c r="H1775">
        <v>3361.5</v>
      </c>
      <c r="I1775">
        <v>787.1</v>
      </c>
      <c r="J1775">
        <v>12592</v>
      </c>
      <c r="K1775">
        <v>14304</v>
      </c>
      <c r="L1775" s="2">
        <v>26.892499999999995</v>
      </c>
      <c r="M1775" s="5">
        <v>65.556499999999971</v>
      </c>
      <c r="N1775" s="1">
        <v>319.2903</v>
      </c>
      <c r="O1775" s="2">
        <v>6.3</v>
      </c>
      <c r="P1775">
        <v>306</v>
      </c>
    </row>
    <row r="1776" spans="1:16" x14ac:dyDescent="0.35">
      <c r="A1776" s="4">
        <v>45108</v>
      </c>
      <c r="B1776" t="s">
        <v>17</v>
      </c>
      <c r="C1776" t="s">
        <v>14</v>
      </c>
      <c r="D1776">
        <v>1</v>
      </c>
      <c r="E1776" s="2">
        <f>(3967+3900*2+3278+3900)/5</f>
        <v>3789</v>
      </c>
      <c r="F1776" s="2">
        <f t="shared" si="283"/>
        <v>3957.3199999999997</v>
      </c>
      <c r="G1776" s="3">
        <v>1</v>
      </c>
      <c r="H1776">
        <v>3361.5</v>
      </c>
      <c r="I1776">
        <v>787.1</v>
      </c>
      <c r="J1776">
        <v>12592</v>
      </c>
      <c r="K1776">
        <v>14304</v>
      </c>
      <c r="L1776" s="2">
        <v>26.892499999999995</v>
      </c>
      <c r="M1776" s="5">
        <v>65.556499999999971</v>
      </c>
      <c r="N1776" s="1">
        <v>319.2903</v>
      </c>
      <c r="O1776" s="2">
        <v>6.3</v>
      </c>
      <c r="P1776">
        <v>306</v>
      </c>
    </row>
    <row r="1777" spans="1:16" x14ac:dyDescent="0.35">
      <c r="A1777" s="4">
        <v>45108</v>
      </c>
      <c r="B1777" t="s">
        <v>17</v>
      </c>
      <c r="C1777" t="s">
        <v>15</v>
      </c>
      <c r="D1777">
        <v>0</v>
      </c>
      <c r="E1777" s="2" t="s">
        <v>27</v>
      </c>
      <c r="F1777" s="2">
        <f t="shared" si="283"/>
        <v>3957.3199999999997</v>
      </c>
      <c r="G1777" s="3">
        <v>1</v>
      </c>
      <c r="H1777">
        <v>3361.5</v>
      </c>
      <c r="I1777">
        <v>787.1</v>
      </c>
      <c r="J1777">
        <v>12592</v>
      </c>
      <c r="K1777">
        <v>14304</v>
      </c>
      <c r="L1777" s="2">
        <v>26.892499999999995</v>
      </c>
      <c r="M1777" s="5">
        <v>65.556499999999971</v>
      </c>
      <c r="N1777" s="1">
        <v>319.2903</v>
      </c>
      <c r="O1777" s="2">
        <v>6.3</v>
      </c>
      <c r="P1777">
        <v>306</v>
      </c>
    </row>
    <row r="1778" spans="1:16" x14ac:dyDescent="0.35">
      <c r="A1778" s="4">
        <v>45108</v>
      </c>
      <c r="B1778" t="s">
        <v>18</v>
      </c>
      <c r="C1778" t="s">
        <v>10</v>
      </c>
      <c r="D1778">
        <v>1</v>
      </c>
      <c r="E1778" s="2">
        <f>(3733+3250+3433+3216+3500)/5</f>
        <v>3426.4</v>
      </c>
      <c r="F1778" s="2">
        <f>(3386.25+3352.88+3388.25+3389.38+3373)/5</f>
        <v>3377.9520000000002</v>
      </c>
      <c r="G1778" s="3">
        <v>1</v>
      </c>
      <c r="H1778">
        <v>3361.5</v>
      </c>
      <c r="I1778">
        <v>787.1</v>
      </c>
      <c r="J1778">
        <v>12592</v>
      </c>
      <c r="K1778">
        <v>14304</v>
      </c>
      <c r="L1778" s="2">
        <v>26.892499999999995</v>
      </c>
      <c r="M1778" s="5">
        <v>65.556499999999971</v>
      </c>
      <c r="N1778" s="1">
        <v>319.2903</v>
      </c>
      <c r="O1778" s="2">
        <v>6.3</v>
      </c>
      <c r="P1778">
        <v>306</v>
      </c>
    </row>
    <row r="1779" spans="1:16" x14ac:dyDescent="0.35">
      <c r="A1779" s="4">
        <v>45108</v>
      </c>
      <c r="B1779" t="s">
        <v>18</v>
      </c>
      <c r="C1779" t="s">
        <v>11</v>
      </c>
      <c r="D1779">
        <v>1</v>
      </c>
      <c r="E1779" s="2">
        <v>3260</v>
      </c>
      <c r="F1779" s="2">
        <f t="shared" ref="F1779:F1783" si="284">(3386.25+3352.88+3388.25+3389.38+3373)/5</f>
        <v>3377.9520000000002</v>
      </c>
      <c r="G1779" s="3">
        <v>1</v>
      </c>
      <c r="H1779">
        <v>3361.5</v>
      </c>
      <c r="I1779">
        <v>787.1</v>
      </c>
      <c r="J1779">
        <v>12592</v>
      </c>
      <c r="K1779">
        <v>14304</v>
      </c>
      <c r="L1779" s="2">
        <v>26.892499999999995</v>
      </c>
      <c r="M1779" s="5">
        <v>65.556499999999971</v>
      </c>
      <c r="N1779" s="1">
        <v>319.2903</v>
      </c>
      <c r="O1779" s="2">
        <v>6.3</v>
      </c>
      <c r="P1779">
        <v>306</v>
      </c>
    </row>
    <row r="1780" spans="1:16" x14ac:dyDescent="0.35">
      <c r="A1780" s="4">
        <v>45108</v>
      </c>
      <c r="B1780" t="s">
        <v>18</v>
      </c>
      <c r="C1780" t="s">
        <v>12</v>
      </c>
      <c r="D1780">
        <v>1</v>
      </c>
      <c r="E1780" s="2">
        <v>3390</v>
      </c>
      <c r="F1780" s="2">
        <f t="shared" si="284"/>
        <v>3377.9520000000002</v>
      </c>
      <c r="G1780" s="3">
        <v>1</v>
      </c>
      <c r="H1780">
        <v>3361.5</v>
      </c>
      <c r="I1780">
        <v>787.1</v>
      </c>
      <c r="J1780">
        <v>12592</v>
      </c>
      <c r="K1780">
        <v>14304</v>
      </c>
      <c r="L1780" s="2">
        <v>26.892499999999995</v>
      </c>
      <c r="M1780" s="5">
        <v>65.556499999999971</v>
      </c>
      <c r="N1780" s="1">
        <v>319.2903</v>
      </c>
      <c r="O1780" s="2">
        <v>6.3</v>
      </c>
      <c r="P1780">
        <v>306</v>
      </c>
    </row>
    <row r="1781" spans="1:16" x14ac:dyDescent="0.35">
      <c r="A1781" s="4">
        <v>45108</v>
      </c>
      <c r="B1781" t="s">
        <v>18</v>
      </c>
      <c r="C1781" t="s">
        <v>13</v>
      </c>
      <c r="D1781">
        <v>1</v>
      </c>
      <c r="E1781" s="2">
        <v>3350</v>
      </c>
      <c r="F1781" s="2">
        <f t="shared" si="284"/>
        <v>3377.9520000000002</v>
      </c>
      <c r="G1781" s="3">
        <v>1</v>
      </c>
      <c r="H1781">
        <v>3361.5</v>
      </c>
      <c r="I1781">
        <v>787.1</v>
      </c>
      <c r="J1781">
        <v>12592</v>
      </c>
      <c r="K1781">
        <v>14304</v>
      </c>
      <c r="L1781" s="2">
        <v>26.892499999999995</v>
      </c>
      <c r="M1781" s="5">
        <v>65.556499999999971</v>
      </c>
      <c r="N1781" s="1">
        <v>319.2903</v>
      </c>
      <c r="O1781" s="2">
        <v>6.3</v>
      </c>
      <c r="P1781">
        <v>306</v>
      </c>
    </row>
    <row r="1782" spans="1:16" x14ac:dyDescent="0.35">
      <c r="A1782" s="4">
        <v>45108</v>
      </c>
      <c r="B1782" t="s">
        <v>18</v>
      </c>
      <c r="C1782" t="s">
        <v>14</v>
      </c>
      <c r="D1782">
        <v>1</v>
      </c>
      <c r="E1782" s="2">
        <f>(3200+3367+3333+3275+3338)/5</f>
        <v>3302.6</v>
      </c>
      <c r="F1782" s="2">
        <f t="shared" si="284"/>
        <v>3377.9520000000002</v>
      </c>
      <c r="G1782" s="3">
        <v>1</v>
      </c>
      <c r="H1782">
        <v>3361.5</v>
      </c>
      <c r="I1782">
        <v>787.1</v>
      </c>
      <c r="J1782">
        <v>12592</v>
      </c>
      <c r="K1782">
        <v>14304</v>
      </c>
      <c r="L1782" s="2">
        <v>26.892499999999995</v>
      </c>
      <c r="M1782" s="5">
        <v>65.556499999999971</v>
      </c>
      <c r="N1782" s="1">
        <v>319.2903</v>
      </c>
      <c r="O1782" s="2">
        <v>6.3</v>
      </c>
      <c r="P1782">
        <v>306</v>
      </c>
    </row>
    <row r="1783" spans="1:16" x14ac:dyDescent="0.35">
      <c r="A1783" s="4">
        <v>45108</v>
      </c>
      <c r="B1783" t="s">
        <v>18</v>
      </c>
      <c r="C1783" t="s">
        <v>15</v>
      </c>
      <c r="D1783">
        <v>1</v>
      </c>
      <c r="E1783" s="2">
        <v>3290</v>
      </c>
      <c r="F1783" s="2">
        <f t="shared" si="284"/>
        <v>3377.9520000000002</v>
      </c>
      <c r="G1783" s="3">
        <v>1</v>
      </c>
      <c r="H1783">
        <v>3361.5</v>
      </c>
      <c r="I1783">
        <v>787.1</v>
      </c>
      <c r="J1783">
        <v>12592</v>
      </c>
      <c r="K1783">
        <v>14304</v>
      </c>
      <c r="L1783" s="2">
        <v>26.892499999999995</v>
      </c>
      <c r="M1783" s="5">
        <v>65.556499999999971</v>
      </c>
      <c r="N1783" s="1">
        <v>319.2903</v>
      </c>
      <c r="O1783" s="2">
        <v>6.3</v>
      </c>
      <c r="P1783">
        <v>306</v>
      </c>
    </row>
    <row r="1784" spans="1:16" x14ac:dyDescent="0.35">
      <c r="A1784" s="4">
        <v>45108</v>
      </c>
      <c r="B1784" t="s">
        <v>19</v>
      </c>
      <c r="C1784" t="s">
        <v>10</v>
      </c>
      <c r="D1784">
        <v>1</v>
      </c>
      <c r="E1784" s="2">
        <f>(2933+3016+2866+2983+2900)/5</f>
        <v>2939.6</v>
      </c>
      <c r="F1784" s="2">
        <f>(3074.88+3058.5+3044.75+3003.78+3052.25)/5</f>
        <v>3046.8320000000003</v>
      </c>
      <c r="G1784" s="3">
        <v>1</v>
      </c>
      <c r="H1784">
        <v>3361.5</v>
      </c>
      <c r="I1784">
        <v>787.1</v>
      </c>
      <c r="J1784">
        <v>12592</v>
      </c>
      <c r="K1784">
        <v>14304</v>
      </c>
      <c r="L1784" s="2">
        <v>26.892499999999995</v>
      </c>
      <c r="M1784" s="5">
        <v>65.556499999999971</v>
      </c>
      <c r="N1784" s="1">
        <v>319.2903</v>
      </c>
      <c r="O1784" s="2">
        <v>6.3</v>
      </c>
      <c r="P1784">
        <v>306</v>
      </c>
    </row>
    <row r="1785" spans="1:16" x14ac:dyDescent="0.35">
      <c r="A1785" s="4">
        <v>45108</v>
      </c>
      <c r="B1785" t="s">
        <v>19</v>
      </c>
      <c r="C1785" t="s">
        <v>11</v>
      </c>
      <c r="D1785">
        <v>1</v>
      </c>
      <c r="E1785" s="2">
        <v>3000</v>
      </c>
      <c r="F1785" s="2">
        <f t="shared" ref="F1785:F1789" si="285">(3074.88+3058.5+3044.75+3003.78+3052.25)/5</f>
        <v>3046.8320000000003</v>
      </c>
      <c r="G1785" s="3">
        <v>1</v>
      </c>
      <c r="H1785">
        <v>3361.5</v>
      </c>
      <c r="I1785">
        <v>787.1</v>
      </c>
      <c r="J1785">
        <v>12592</v>
      </c>
      <c r="K1785">
        <v>14304</v>
      </c>
      <c r="L1785" s="2">
        <v>26.892499999999995</v>
      </c>
      <c r="M1785" s="5">
        <v>65.556499999999971</v>
      </c>
      <c r="N1785" s="1">
        <v>319.2903</v>
      </c>
      <c r="O1785" s="2">
        <v>6.3</v>
      </c>
      <c r="P1785">
        <v>306</v>
      </c>
    </row>
    <row r="1786" spans="1:16" x14ac:dyDescent="0.35">
      <c r="A1786" s="4">
        <v>45108</v>
      </c>
      <c r="B1786" t="s">
        <v>19</v>
      </c>
      <c r="C1786" t="s">
        <v>12</v>
      </c>
      <c r="D1786">
        <v>1</v>
      </c>
      <c r="E1786" s="2">
        <v>2985</v>
      </c>
      <c r="F1786" s="2">
        <f t="shared" si="285"/>
        <v>3046.8320000000003</v>
      </c>
      <c r="G1786" s="3">
        <v>1</v>
      </c>
      <c r="H1786">
        <v>3361.5</v>
      </c>
      <c r="I1786">
        <v>787.1</v>
      </c>
      <c r="J1786">
        <v>12592</v>
      </c>
      <c r="K1786">
        <v>14304</v>
      </c>
      <c r="L1786" s="2">
        <v>26.892499999999995</v>
      </c>
      <c r="M1786" s="5">
        <v>65.556499999999971</v>
      </c>
      <c r="N1786" s="1">
        <v>319.2903</v>
      </c>
      <c r="O1786" s="2">
        <v>6.3</v>
      </c>
      <c r="P1786">
        <v>306</v>
      </c>
    </row>
    <row r="1787" spans="1:16" x14ac:dyDescent="0.35">
      <c r="A1787" s="4">
        <v>45108</v>
      </c>
      <c r="B1787" t="s">
        <v>19</v>
      </c>
      <c r="C1787" t="s">
        <v>13</v>
      </c>
      <c r="D1787">
        <v>1</v>
      </c>
      <c r="E1787" s="2">
        <f>(3100*2+3050*2+3025)/5</f>
        <v>3065</v>
      </c>
      <c r="F1787" s="2">
        <f t="shared" si="285"/>
        <v>3046.8320000000003</v>
      </c>
      <c r="G1787" s="3">
        <v>1</v>
      </c>
      <c r="H1787">
        <v>3361.5</v>
      </c>
      <c r="I1787">
        <v>787.1</v>
      </c>
      <c r="J1787">
        <v>12592</v>
      </c>
      <c r="K1787">
        <v>14304</v>
      </c>
      <c r="L1787" s="2">
        <v>26.892499999999995</v>
      </c>
      <c r="M1787" s="5">
        <v>65.556499999999971</v>
      </c>
      <c r="N1787" s="1">
        <v>319.2903</v>
      </c>
      <c r="O1787" s="2">
        <v>6.3</v>
      </c>
      <c r="P1787">
        <v>306</v>
      </c>
    </row>
    <row r="1788" spans="1:16" x14ac:dyDescent="0.35">
      <c r="A1788" s="4">
        <v>45108</v>
      </c>
      <c r="B1788" t="s">
        <v>19</v>
      </c>
      <c r="C1788" t="s">
        <v>14</v>
      </c>
      <c r="D1788">
        <v>1</v>
      </c>
      <c r="E1788" s="2">
        <f>(3079+3100+3107+3108+3150)/5</f>
        <v>3108.8</v>
      </c>
      <c r="F1788" s="2">
        <f t="shared" si="285"/>
        <v>3046.8320000000003</v>
      </c>
      <c r="G1788" s="3">
        <v>1</v>
      </c>
      <c r="H1788">
        <v>3361.5</v>
      </c>
      <c r="I1788">
        <v>787.1</v>
      </c>
      <c r="J1788">
        <v>12592</v>
      </c>
      <c r="K1788">
        <v>14304</v>
      </c>
      <c r="L1788" s="2">
        <v>26.892499999999995</v>
      </c>
      <c r="M1788" s="5">
        <v>65.556499999999971</v>
      </c>
      <c r="N1788" s="1">
        <v>319.2903</v>
      </c>
      <c r="O1788" s="2">
        <v>6.3</v>
      </c>
      <c r="P1788">
        <v>306</v>
      </c>
    </row>
    <row r="1789" spans="1:16" x14ac:dyDescent="0.35">
      <c r="A1789" s="4">
        <v>45108</v>
      </c>
      <c r="B1789" t="s">
        <v>19</v>
      </c>
      <c r="C1789" t="s">
        <v>15</v>
      </c>
      <c r="D1789">
        <v>1</v>
      </c>
      <c r="E1789" s="2">
        <v>3100</v>
      </c>
      <c r="F1789" s="2">
        <f t="shared" si="285"/>
        <v>3046.8320000000003</v>
      </c>
      <c r="G1789" s="3">
        <v>1</v>
      </c>
      <c r="H1789">
        <v>3361.5</v>
      </c>
      <c r="I1789">
        <v>787.1</v>
      </c>
      <c r="J1789">
        <v>12592</v>
      </c>
      <c r="K1789">
        <v>14304</v>
      </c>
      <c r="L1789" s="2">
        <v>26.892499999999995</v>
      </c>
      <c r="M1789" s="5">
        <v>65.556499999999971</v>
      </c>
      <c r="N1789" s="1">
        <v>319.2903</v>
      </c>
      <c r="O1789" s="2">
        <v>6.3</v>
      </c>
      <c r="P1789">
        <v>306</v>
      </c>
    </row>
    <row r="1790" spans="1:16" x14ac:dyDescent="0.35">
      <c r="A1790" s="4">
        <v>45108</v>
      </c>
      <c r="B1790" t="s">
        <v>20</v>
      </c>
      <c r="C1790" t="s">
        <v>10</v>
      </c>
      <c r="D1790">
        <v>1</v>
      </c>
      <c r="E1790" s="2">
        <f>(2533+2600+2133+2733+2200)/5</f>
        <v>2439.8000000000002</v>
      </c>
      <c r="F1790" s="2">
        <f>(2678.75+2652.88+2625+2656.88+2696.63)/5</f>
        <v>2662.0279999999998</v>
      </c>
      <c r="G1790" s="3">
        <v>1</v>
      </c>
      <c r="H1790">
        <v>3361.5</v>
      </c>
      <c r="I1790">
        <v>787.1</v>
      </c>
      <c r="J1790">
        <v>12592</v>
      </c>
      <c r="K1790">
        <v>14304</v>
      </c>
      <c r="L1790" s="2">
        <v>26.892499999999995</v>
      </c>
      <c r="M1790" s="5">
        <v>65.556499999999971</v>
      </c>
      <c r="N1790" s="1">
        <v>319.2903</v>
      </c>
      <c r="O1790" s="2">
        <v>6.3</v>
      </c>
      <c r="P1790">
        <v>306</v>
      </c>
    </row>
    <row r="1791" spans="1:16" x14ac:dyDescent="0.35">
      <c r="A1791" s="4">
        <v>45108</v>
      </c>
      <c r="B1791" t="s">
        <v>20</v>
      </c>
      <c r="C1791" t="s">
        <v>11</v>
      </c>
      <c r="D1791">
        <v>1</v>
      </c>
      <c r="E1791" s="2">
        <f>(2900*2+2800+2600)/4</f>
        <v>2800</v>
      </c>
      <c r="F1791" s="2">
        <f t="shared" ref="F1791:F1795" si="286">(2678.75+2652.88+2625+2656.88+2696.63)/5</f>
        <v>2662.0279999999998</v>
      </c>
      <c r="G1791" s="3">
        <v>1</v>
      </c>
      <c r="H1791">
        <v>3361.5</v>
      </c>
      <c r="I1791">
        <v>787.1</v>
      </c>
      <c r="J1791">
        <v>12592</v>
      </c>
      <c r="K1791">
        <v>14304</v>
      </c>
      <c r="L1791" s="2">
        <v>26.892499999999995</v>
      </c>
      <c r="M1791" s="5">
        <v>65.556499999999971</v>
      </c>
      <c r="N1791" s="1">
        <v>319.2903</v>
      </c>
      <c r="O1791" s="2">
        <v>6.3</v>
      </c>
      <c r="P1791">
        <v>306</v>
      </c>
    </row>
    <row r="1792" spans="1:16" x14ac:dyDescent="0.35">
      <c r="A1792" s="4">
        <v>45108</v>
      </c>
      <c r="B1792" t="s">
        <v>20</v>
      </c>
      <c r="C1792" t="s">
        <v>12</v>
      </c>
      <c r="D1792">
        <v>1</v>
      </c>
      <c r="E1792" s="2">
        <v>1975</v>
      </c>
      <c r="F1792" s="2">
        <f t="shared" si="286"/>
        <v>2662.0279999999998</v>
      </c>
      <c r="G1792" s="3">
        <v>1</v>
      </c>
      <c r="H1792">
        <v>3361.5</v>
      </c>
      <c r="I1792">
        <v>787.1</v>
      </c>
      <c r="J1792">
        <v>12592</v>
      </c>
      <c r="K1792">
        <v>14304</v>
      </c>
      <c r="L1792" s="2">
        <v>26.892499999999995</v>
      </c>
      <c r="M1792" s="5">
        <v>65.556499999999971</v>
      </c>
      <c r="N1792" s="1">
        <v>319.2903</v>
      </c>
      <c r="O1792" s="2">
        <v>6.3</v>
      </c>
      <c r="P1792">
        <v>306</v>
      </c>
    </row>
    <row r="1793" spans="1:16" x14ac:dyDescent="0.35">
      <c r="A1793" s="4">
        <v>45108</v>
      </c>
      <c r="B1793" t="s">
        <v>20</v>
      </c>
      <c r="C1793" t="s">
        <v>13</v>
      </c>
      <c r="D1793">
        <v>1</v>
      </c>
      <c r="E1793" s="2">
        <v>2825</v>
      </c>
      <c r="F1793" s="2">
        <f t="shared" si="286"/>
        <v>2662.0279999999998</v>
      </c>
      <c r="G1793" s="3">
        <v>1</v>
      </c>
      <c r="H1793">
        <v>3361.5</v>
      </c>
      <c r="I1793">
        <v>787.1</v>
      </c>
      <c r="J1793">
        <v>12592</v>
      </c>
      <c r="K1793">
        <v>14304</v>
      </c>
      <c r="L1793" s="2">
        <v>26.892499999999995</v>
      </c>
      <c r="M1793" s="5">
        <v>65.556499999999971</v>
      </c>
      <c r="N1793" s="1">
        <v>319.2903</v>
      </c>
      <c r="O1793" s="2">
        <v>6.3</v>
      </c>
      <c r="P1793">
        <v>306</v>
      </c>
    </row>
    <row r="1794" spans="1:16" x14ac:dyDescent="0.35">
      <c r="A1794" s="4">
        <v>45108</v>
      </c>
      <c r="B1794" t="s">
        <v>20</v>
      </c>
      <c r="C1794" t="s">
        <v>14</v>
      </c>
      <c r="D1794">
        <v>1</v>
      </c>
      <c r="E1794" s="2">
        <f>(2830+2840+2817+2830+2840)/5</f>
        <v>2831.4</v>
      </c>
      <c r="F1794" s="2">
        <f t="shared" si="286"/>
        <v>2662.0279999999998</v>
      </c>
      <c r="G1794" s="3">
        <v>1</v>
      </c>
      <c r="H1794">
        <v>3361.5</v>
      </c>
      <c r="I1794">
        <v>787.1</v>
      </c>
      <c r="J1794">
        <v>12592</v>
      </c>
      <c r="K1794">
        <v>14304</v>
      </c>
      <c r="L1794" s="2">
        <v>26.892499999999995</v>
      </c>
      <c r="M1794" s="5">
        <v>65.556499999999971</v>
      </c>
      <c r="N1794" s="1">
        <v>319.2903</v>
      </c>
      <c r="O1794" s="2">
        <v>6.3</v>
      </c>
      <c r="P1794">
        <v>306</v>
      </c>
    </row>
    <row r="1795" spans="1:16" x14ac:dyDescent="0.35">
      <c r="A1795" s="4">
        <v>45108</v>
      </c>
      <c r="B1795" t="s">
        <v>20</v>
      </c>
      <c r="C1795" t="s">
        <v>15</v>
      </c>
      <c r="D1795">
        <v>1</v>
      </c>
      <c r="E1795" s="2">
        <f>(2900+2825+2800+2850*2)/5</f>
        <v>2845</v>
      </c>
      <c r="F1795" s="2">
        <f t="shared" si="286"/>
        <v>2662.0279999999998</v>
      </c>
      <c r="G1795" s="3">
        <v>1</v>
      </c>
      <c r="H1795">
        <v>3361.5</v>
      </c>
      <c r="I1795">
        <v>787.1</v>
      </c>
      <c r="J1795">
        <v>12592</v>
      </c>
      <c r="K1795">
        <v>14304</v>
      </c>
      <c r="L1795" s="2">
        <v>26.892499999999995</v>
      </c>
      <c r="M1795" s="5">
        <v>65.556499999999971</v>
      </c>
      <c r="N1795" s="1">
        <v>319.2903</v>
      </c>
      <c r="O1795" s="2">
        <v>6.3</v>
      </c>
      <c r="P1795">
        <v>306</v>
      </c>
    </row>
    <row r="1796" spans="1:16" x14ac:dyDescent="0.35">
      <c r="A1796" s="4">
        <v>45108</v>
      </c>
      <c r="B1796" t="s">
        <v>21</v>
      </c>
      <c r="C1796" t="s">
        <v>10</v>
      </c>
      <c r="D1796">
        <v>1</v>
      </c>
      <c r="E1796" s="2">
        <f>(2300+2400+1933+2433+1800)/5</f>
        <v>2173.1999999999998</v>
      </c>
      <c r="F1796" s="2">
        <f>(2357+2413.5+2372+2447.88+2444.25)/5</f>
        <v>2406.9260000000004</v>
      </c>
      <c r="G1796" s="3">
        <v>1</v>
      </c>
      <c r="H1796">
        <v>3361.5</v>
      </c>
      <c r="I1796">
        <v>787.1</v>
      </c>
      <c r="J1796">
        <v>12592</v>
      </c>
      <c r="K1796">
        <v>14304</v>
      </c>
      <c r="L1796" s="2">
        <v>26.892499999999995</v>
      </c>
      <c r="M1796" s="5">
        <v>65.556499999999971</v>
      </c>
      <c r="N1796" s="1">
        <v>319.2903</v>
      </c>
      <c r="O1796" s="2">
        <v>6.3</v>
      </c>
      <c r="P1796">
        <v>306</v>
      </c>
    </row>
    <row r="1797" spans="1:16" x14ac:dyDescent="0.35">
      <c r="A1797" s="4">
        <v>45108</v>
      </c>
      <c r="B1797" t="s">
        <v>21</v>
      </c>
      <c r="C1797" t="s">
        <v>11</v>
      </c>
      <c r="D1797">
        <v>1</v>
      </c>
      <c r="E1797" s="2">
        <f>(2700+2400+2600*2)/4</f>
        <v>2575</v>
      </c>
      <c r="F1797" s="2">
        <f t="shared" ref="F1797:F1801" si="287">(2357+2413.5+2372+2447.88+2444.25)/5</f>
        <v>2406.9260000000004</v>
      </c>
      <c r="G1797" s="3">
        <v>1</v>
      </c>
      <c r="H1797">
        <v>3361.5</v>
      </c>
      <c r="I1797">
        <v>787.1</v>
      </c>
      <c r="J1797">
        <v>12592</v>
      </c>
      <c r="K1797">
        <v>14304</v>
      </c>
      <c r="L1797" s="2">
        <v>26.892499999999995</v>
      </c>
      <c r="M1797" s="5">
        <v>65.556499999999971</v>
      </c>
      <c r="N1797" s="1">
        <v>319.2903</v>
      </c>
      <c r="O1797" s="2">
        <v>6.3</v>
      </c>
      <c r="P1797">
        <v>306</v>
      </c>
    </row>
    <row r="1798" spans="1:16" x14ac:dyDescent="0.35">
      <c r="A1798" s="4">
        <v>45108</v>
      </c>
      <c r="B1798" t="s">
        <v>21</v>
      </c>
      <c r="C1798" t="s">
        <v>12</v>
      </c>
      <c r="D1798">
        <v>1</v>
      </c>
      <c r="E1798" s="2">
        <v>1500</v>
      </c>
      <c r="F1798" s="2">
        <f t="shared" si="287"/>
        <v>2406.9260000000004</v>
      </c>
      <c r="G1798" s="3">
        <v>1</v>
      </c>
      <c r="H1798">
        <v>3361.5</v>
      </c>
      <c r="I1798">
        <v>787.1</v>
      </c>
      <c r="J1798">
        <v>12592</v>
      </c>
      <c r="K1798">
        <v>14304</v>
      </c>
      <c r="L1798" s="2">
        <v>26.892499999999995</v>
      </c>
      <c r="M1798" s="5">
        <v>65.556499999999971</v>
      </c>
      <c r="N1798" s="1">
        <v>319.2903</v>
      </c>
      <c r="O1798" s="2">
        <v>6.3</v>
      </c>
      <c r="P1798">
        <v>306</v>
      </c>
    </row>
    <row r="1799" spans="1:16" x14ac:dyDescent="0.35">
      <c r="A1799" s="4">
        <v>45108</v>
      </c>
      <c r="B1799" t="s">
        <v>21</v>
      </c>
      <c r="C1799" t="s">
        <v>13</v>
      </c>
      <c r="D1799">
        <v>1</v>
      </c>
      <c r="E1799" s="2">
        <v>2725</v>
      </c>
      <c r="F1799" s="2">
        <f t="shared" si="287"/>
        <v>2406.9260000000004</v>
      </c>
      <c r="G1799" s="3">
        <v>1</v>
      </c>
      <c r="H1799">
        <v>3361.5</v>
      </c>
      <c r="I1799">
        <v>787.1</v>
      </c>
      <c r="J1799">
        <v>12592</v>
      </c>
      <c r="K1799">
        <v>14304</v>
      </c>
      <c r="L1799" s="2">
        <v>26.892499999999995</v>
      </c>
      <c r="M1799" s="5">
        <v>65.556499999999971</v>
      </c>
      <c r="N1799" s="1">
        <v>319.2903</v>
      </c>
      <c r="O1799" s="2">
        <v>6.3</v>
      </c>
      <c r="P1799">
        <v>306</v>
      </c>
    </row>
    <row r="1800" spans="1:16" x14ac:dyDescent="0.35">
      <c r="A1800" s="4">
        <v>45108</v>
      </c>
      <c r="B1800" t="s">
        <v>21</v>
      </c>
      <c r="C1800" t="s">
        <v>14</v>
      </c>
      <c r="D1800">
        <v>1</v>
      </c>
      <c r="E1800" s="2">
        <f>(2581+2625+2593+2633+2529)/5</f>
        <v>2592.1999999999998</v>
      </c>
      <c r="F1800" s="2">
        <f t="shared" si="287"/>
        <v>2406.9260000000004</v>
      </c>
      <c r="G1800" s="3">
        <v>1</v>
      </c>
      <c r="H1800">
        <v>3361.5</v>
      </c>
      <c r="I1800">
        <v>787.1</v>
      </c>
      <c r="J1800">
        <v>12592</v>
      </c>
      <c r="K1800">
        <v>14304</v>
      </c>
      <c r="L1800" s="2">
        <v>26.892499999999995</v>
      </c>
      <c r="M1800" s="5">
        <v>65.556499999999971</v>
      </c>
      <c r="N1800" s="1">
        <v>319.2903</v>
      </c>
      <c r="O1800" s="2">
        <v>6.3</v>
      </c>
      <c r="P1800">
        <v>306</v>
      </c>
    </row>
    <row r="1801" spans="1:16" x14ac:dyDescent="0.35">
      <c r="A1801" s="4">
        <v>45108</v>
      </c>
      <c r="B1801" t="s">
        <v>21</v>
      </c>
      <c r="C1801" t="s">
        <v>15</v>
      </c>
      <c r="D1801">
        <v>1</v>
      </c>
      <c r="E1801" s="2">
        <v>2725</v>
      </c>
      <c r="F1801" s="2">
        <f t="shared" si="287"/>
        <v>2406.9260000000004</v>
      </c>
      <c r="G1801" s="3">
        <v>1</v>
      </c>
      <c r="H1801">
        <v>3361.5</v>
      </c>
      <c r="I1801">
        <v>787.1</v>
      </c>
      <c r="J1801">
        <v>12592</v>
      </c>
      <c r="K1801">
        <v>14304</v>
      </c>
      <c r="L1801" s="2">
        <v>26.892499999999995</v>
      </c>
      <c r="M1801" s="5">
        <v>65.556499999999971</v>
      </c>
      <c r="N1801" s="1">
        <v>319.2903</v>
      </c>
      <c r="O1801" s="2">
        <v>6.3</v>
      </c>
      <c r="P1801">
        <v>306</v>
      </c>
    </row>
    <row r="1802" spans="1:16" x14ac:dyDescent="0.35">
      <c r="A1802" s="4">
        <v>45108</v>
      </c>
      <c r="B1802" t="s">
        <v>22</v>
      </c>
      <c r="C1802" t="s">
        <v>10</v>
      </c>
      <c r="D1802">
        <v>0</v>
      </c>
      <c r="E1802" s="2" t="s">
        <v>27</v>
      </c>
      <c r="F1802" s="2">
        <f t="shared" ref="F1802:F1805" si="288">(1950+2367+2175+2133+2075)/5</f>
        <v>2140</v>
      </c>
      <c r="G1802" s="3">
        <v>1</v>
      </c>
      <c r="H1802">
        <v>3361.5</v>
      </c>
      <c r="I1802">
        <v>787.1</v>
      </c>
      <c r="J1802">
        <v>12592</v>
      </c>
      <c r="K1802">
        <v>14304</v>
      </c>
      <c r="L1802" s="2">
        <v>26.892499999999995</v>
      </c>
      <c r="M1802" s="5">
        <v>65.556499999999971</v>
      </c>
      <c r="N1802" s="1">
        <v>319.2903</v>
      </c>
      <c r="O1802" s="2">
        <v>6.3</v>
      </c>
      <c r="P1802">
        <v>306</v>
      </c>
    </row>
    <row r="1803" spans="1:16" x14ac:dyDescent="0.35">
      <c r="A1803" s="4">
        <v>45108</v>
      </c>
      <c r="B1803" t="s">
        <v>22</v>
      </c>
      <c r="C1803" t="s">
        <v>11</v>
      </c>
      <c r="D1803">
        <v>0</v>
      </c>
      <c r="E1803" s="2" t="s">
        <v>27</v>
      </c>
      <c r="F1803" s="2">
        <f t="shared" si="288"/>
        <v>2140</v>
      </c>
      <c r="G1803" s="3">
        <v>1</v>
      </c>
      <c r="H1803">
        <v>3361.5</v>
      </c>
      <c r="I1803">
        <v>787.1</v>
      </c>
      <c r="J1803">
        <v>12592</v>
      </c>
      <c r="K1803">
        <v>14304</v>
      </c>
      <c r="L1803" s="2">
        <v>26.892499999999995</v>
      </c>
      <c r="M1803" s="5">
        <v>65.556499999999971</v>
      </c>
      <c r="N1803" s="1">
        <v>319.2903</v>
      </c>
      <c r="O1803" s="2">
        <v>6.3</v>
      </c>
      <c r="P1803">
        <v>306</v>
      </c>
    </row>
    <row r="1804" spans="1:16" x14ac:dyDescent="0.35">
      <c r="A1804" s="4">
        <v>45108</v>
      </c>
      <c r="B1804" t="s">
        <v>22</v>
      </c>
      <c r="C1804" t="s">
        <v>12</v>
      </c>
      <c r="D1804">
        <v>0</v>
      </c>
      <c r="E1804" s="2" t="s">
        <v>27</v>
      </c>
      <c r="F1804" s="2">
        <f t="shared" si="288"/>
        <v>2140</v>
      </c>
      <c r="G1804" s="3">
        <v>1</v>
      </c>
      <c r="H1804">
        <v>3361.5</v>
      </c>
      <c r="I1804">
        <v>787.1</v>
      </c>
      <c r="J1804">
        <v>12592</v>
      </c>
      <c r="K1804">
        <v>14304</v>
      </c>
      <c r="L1804" s="2">
        <v>26.892499999999995</v>
      </c>
      <c r="M1804" s="5">
        <v>65.556499999999971</v>
      </c>
      <c r="N1804" s="1">
        <v>319.2903</v>
      </c>
      <c r="O1804" s="2">
        <v>6.3</v>
      </c>
      <c r="P1804">
        <v>306</v>
      </c>
    </row>
    <row r="1805" spans="1:16" x14ac:dyDescent="0.35">
      <c r="A1805" s="4">
        <v>45108</v>
      </c>
      <c r="B1805" t="s">
        <v>22</v>
      </c>
      <c r="C1805" t="s">
        <v>13</v>
      </c>
      <c r="D1805">
        <v>0</v>
      </c>
      <c r="E1805" s="2" t="s">
        <v>27</v>
      </c>
      <c r="F1805" s="2">
        <f t="shared" si="288"/>
        <v>2140</v>
      </c>
      <c r="G1805" s="3">
        <v>1</v>
      </c>
      <c r="H1805">
        <v>3361.5</v>
      </c>
      <c r="I1805">
        <v>787.1</v>
      </c>
      <c r="J1805">
        <v>12592</v>
      </c>
      <c r="K1805">
        <v>14304</v>
      </c>
      <c r="L1805" s="2">
        <v>26.892499999999995</v>
      </c>
      <c r="M1805" s="5">
        <v>65.556499999999971</v>
      </c>
      <c r="N1805" s="1">
        <v>319.2903</v>
      </c>
      <c r="O1805" s="2">
        <v>6.3</v>
      </c>
      <c r="P1805">
        <v>306</v>
      </c>
    </row>
    <row r="1806" spans="1:16" x14ac:dyDescent="0.35">
      <c r="A1806" s="4">
        <v>45108</v>
      </c>
      <c r="B1806" t="s">
        <v>22</v>
      </c>
      <c r="C1806" t="s">
        <v>14</v>
      </c>
      <c r="D1806">
        <v>1</v>
      </c>
      <c r="E1806" s="2">
        <f>(1950+2367+2175+2133+2075)/5</f>
        <v>2140</v>
      </c>
      <c r="F1806" s="2">
        <f>(1950+2367+2175+2133+2075)/5</f>
        <v>2140</v>
      </c>
      <c r="G1806" s="3">
        <v>1</v>
      </c>
      <c r="H1806">
        <v>3361.5</v>
      </c>
      <c r="I1806">
        <v>787.1</v>
      </c>
      <c r="J1806">
        <v>12592</v>
      </c>
      <c r="K1806">
        <v>14304</v>
      </c>
      <c r="L1806" s="2">
        <v>26.892499999999995</v>
      </c>
      <c r="M1806" s="5">
        <v>65.556499999999971</v>
      </c>
      <c r="N1806" s="1">
        <v>319.2903</v>
      </c>
      <c r="O1806" s="2">
        <v>6.3</v>
      </c>
      <c r="P1806">
        <v>306</v>
      </c>
    </row>
    <row r="1807" spans="1:16" x14ac:dyDescent="0.35">
      <c r="A1807" s="4">
        <v>45108</v>
      </c>
      <c r="B1807" t="s">
        <v>22</v>
      </c>
      <c r="C1807" t="s">
        <v>15</v>
      </c>
      <c r="D1807">
        <v>0</v>
      </c>
      <c r="E1807" s="2" t="s">
        <v>27</v>
      </c>
      <c r="F1807" s="2">
        <f>(1950+2367+2175+2133+2075)/5</f>
        <v>2140</v>
      </c>
      <c r="G1807" s="3">
        <v>1</v>
      </c>
      <c r="H1807">
        <v>3361.5</v>
      </c>
      <c r="I1807">
        <v>787.1</v>
      </c>
      <c r="J1807">
        <v>12592</v>
      </c>
      <c r="K1807">
        <v>14304</v>
      </c>
      <c r="L1807" s="2">
        <v>26.892499999999995</v>
      </c>
      <c r="M1807" s="5">
        <v>65.556499999999971</v>
      </c>
      <c r="N1807" s="1">
        <v>319.2903</v>
      </c>
      <c r="O1807" s="2">
        <v>6.3</v>
      </c>
      <c r="P1807">
        <v>306</v>
      </c>
    </row>
    <row r="1808" spans="1:16" x14ac:dyDescent="0.35">
      <c r="A1808" s="4">
        <v>45139</v>
      </c>
      <c r="B1808" t="s">
        <v>16</v>
      </c>
      <c r="C1808" t="s">
        <v>10</v>
      </c>
      <c r="D1808">
        <v>1</v>
      </c>
      <c r="E1808" s="2">
        <f>(4100+4333+4233+3450)/4</f>
        <v>4029</v>
      </c>
      <c r="F1808" s="2">
        <f>(4272.5+4544.5+4462.75+4383.75)/4</f>
        <v>4415.875</v>
      </c>
      <c r="G1808" s="3">
        <v>1</v>
      </c>
      <c r="H1808">
        <v>2241</v>
      </c>
      <c r="I1808">
        <v>2951.6</v>
      </c>
      <c r="J1808">
        <v>16464</v>
      </c>
      <c r="K1808">
        <v>14304</v>
      </c>
      <c r="L1808" s="2">
        <v>27.452500000000001</v>
      </c>
      <c r="M1808" s="5">
        <v>70.130500000000012</v>
      </c>
      <c r="N1808" s="1">
        <v>321.57639999999998</v>
      </c>
      <c r="O1808" s="2">
        <v>4</v>
      </c>
      <c r="P1808">
        <v>341</v>
      </c>
    </row>
    <row r="1809" spans="1:16" x14ac:dyDescent="0.35">
      <c r="A1809" s="4">
        <v>45139</v>
      </c>
      <c r="B1809" t="s">
        <v>16</v>
      </c>
      <c r="C1809" t="s">
        <v>11</v>
      </c>
      <c r="D1809">
        <v>0</v>
      </c>
      <c r="E1809" s="2" t="s">
        <v>27</v>
      </c>
      <c r="F1809" s="2">
        <f t="shared" ref="F1809:F1813" si="289">(4272.5+4544.5+4462.75+4383.75)/4</f>
        <v>4415.875</v>
      </c>
      <c r="G1809" s="3">
        <v>1</v>
      </c>
      <c r="H1809">
        <v>2241</v>
      </c>
      <c r="I1809">
        <v>2951.6</v>
      </c>
      <c r="J1809">
        <v>16464</v>
      </c>
      <c r="K1809">
        <v>14304</v>
      </c>
      <c r="L1809" s="2">
        <v>27.452500000000001</v>
      </c>
      <c r="M1809" s="5">
        <v>70.130500000000012</v>
      </c>
      <c r="N1809" s="1">
        <v>321.57639999999998</v>
      </c>
      <c r="O1809" s="2">
        <v>4</v>
      </c>
      <c r="P1809">
        <v>341</v>
      </c>
    </row>
    <row r="1810" spans="1:16" x14ac:dyDescent="0.35">
      <c r="A1810" s="4">
        <v>45139</v>
      </c>
      <c r="B1810" t="s">
        <v>16</v>
      </c>
      <c r="C1810" t="s">
        <v>12</v>
      </c>
      <c r="D1810">
        <v>1</v>
      </c>
      <c r="E1810" s="2">
        <f>(4485*2+4895+4790)/4</f>
        <v>4663.75</v>
      </c>
      <c r="F1810" s="2">
        <f t="shared" si="289"/>
        <v>4415.875</v>
      </c>
      <c r="G1810" s="3">
        <v>1</v>
      </c>
      <c r="H1810">
        <v>2241</v>
      </c>
      <c r="I1810">
        <v>2951.6</v>
      </c>
      <c r="J1810">
        <v>16464</v>
      </c>
      <c r="K1810">
        <v>14304</v>
      </c>
      <c r="L1810" s="2">
        <v>27.452500000000001</v>
      </c>
      <c r="M1810" s="5">
        <v>70.130500000000012</v>
      </c>
      <c r="N1810" s="1">
        <v>321.57639999999998</v>
      </c>
      <c r="O1810" s="2">
        <v>4</v>
      </c>
      <c r="P1810">
        <v>341</v>
      </c>
    </row>
    <row r="1811" spans="1:16" x14ac:dyDescent="0.35">
      <c r="A1811" s="4">
        <v>45139</v>
      </c>
      <c r="B1811" t="s">
        <v>16</v>
      </c>
      <c r="C1811" t="s">
        <v>13</v>
      </c>
      <c r="D1811">
        <v>1</v>
      </c>
      <c r="E1811" s="2">
        <f>(4150+4400*2+4250)/4</f>
        <v>4300</v>
      </c>
      <c r="F1811" s="2">
        <f t="shared" si="289"/>
        <v>4415.875</v>
      </c>
      <c r="G1811" s="3">
        <v>1</v>
      </c>
      <c r="H1811">
        <v>2241</v>
      </c>
      <c r="I1811">
        <v>2951.6</v>
      </c>
      <c r="J1811">
        <v>16464</v>
      </c>
      <c r="K1811">
        <v>14304</v>
      </c>
      <c r="L1811" s="2">
        <v>27.452500000000001</v>
      </c>
      <c r="M1811" s="5">
        <v>70.130500000000012</v>
      </c>
      <c r="N1811" s="1">
        <v>321.57639999999998</v>
      </c>
      <c r="O1811" s="2">
        <v>4</v>
      </c>
      <c r="P1811">
        <v>341</v>
      </c>
    </row>
    <row r="1812" spans="1:16" x14ac:dyDescent="0.35">
      <c r="A1812" s="4">
        <v>45139</v>
      </c>
      <c r="B1812" t="s">
        <v>16</v>
      </c>
      <c r="C1812" t="s">
        <v>14</v>
      </c>
      <c r="D1812">
        <v>1</v>
      </c>
      <c r="E1812" s="2">
        <f>(4700+4633+4650+4700)/4</f>
        <v>4670.75</v>
      </c>
      <c r="F1812" s="2">
        <f t="shared" si="289"/>
        <v>4415.875</v>
      </c>
      <c r="G1812" s="3">
        <v>1</v>
      </c>
      <c r="H1812">
        <v>2241</v>
      </c>
      <c r="I1812">
        <v>2951.6</v>
      </c>
      <c r="J1812">
        <v>16464</v>
      </c>
      <c r="K1812">
        <v>14304</v>
      </c>
      <c r="L1812" s="2">
        <v>27.452500000000001</v>
      </c>
      <c r="M1812" s="5">
        <v>70.130500000000012</v>
      </c>
      <c r="N1812" s="1">
        <v>321.57639999999998</v>
      </c>
      <c r="O1812" s="2">
        <v>4</v>
      </c>
      <c r="P1812">
        <v>341</v>
      </c>
    </row>
    <row r="1813" spans="1:16" x14ac:dyDescent="0.35">
      <c r="A1813" s="4">
        <v>45139</v>
      </c>
      <c r="B1813" t="s">
        <v>16</v>
      </c>
      <c r="C1813" t="s">
        <v>15</v>
      </c>
      <c r="D1813">
        <v>0</v>
      </c>
      <c r="E1813" s="2" t="s">
        <v>27</v>
      </c>
      <c r="F1813" s="2">
        <f t="shared" si="289"/>
        <v>4415.875</v>
      </c>
      <c r="G1813" s="3">
        <v>1</v>
      </c>
      <c r="H1813">
        <v>2241</v>
      </c>
      <c r="I1813">
        <v>2951.6</v>
      </c>
      <c r="J1813">
        <v>16464</v>
      </c>
      <c r="K1813">
        <v>14304</v>
      </c>
      <c r="L1813" s="2">
        <v>27.452500000000001</v>
      </c>
      <c r="M1813" s="5">
        <v>70.130500000000012</v>
      </c>
      <c r="N1813" s="1">
        <v>321.57639999999998</v>
      </c>
      <c r="O1813" s="2">
        <v>4</v>
      </c>
      <c r="P1813">
        <v>341</v>
      </c>
    </row>
    <row r="1814" spans="1:16" x14ac:dyDescent="0.35">
      <c r="A1814" s="4">
        <v>45139</v>
      </c>
      <c r="B1814" t="s">
        <v>17</v>
      </c>
      <c r="C1814" t="s">
        <v>10</v>
      </c>
      <c r="D1814">
        <v>1</v>
      </c>
      <c r="E1814" s="2">
        <f>(3600*2+3033+3567)/4</f>
        <v>3450</v>
      </c>
      <c r="F1814" s="2">
        <f>(3537.8+3581.4+3604.6+3567)/4</f>
        <v>3572.7000000000003</v>
      </c>
      <c r="G1814" s="3">
        <v>1</v>
      </c>
      <c r="H1814">
        <v>2241</v>
      </c>
      <c r="I1814">
        <v>2951.6</v>
      </c>
      <c r="J1814">
        <v>16464</v>
      </c>
      <c r="K1814">
        <v>14304</v>
      </c>
      <c r="L1814" s="2">
        <v>27.452500000000001</v>
      </c>
      <c r="M1814" s="5">
        <v>70.130500000000012</v>
      </c>
      <c r="N1814" s="1">
        <v>321.57639999999998</v>
      </c>
      <c r="O1814" s="2">
        <v>4</v>
      </c>
      <c r="P1814">
        <v>341</v>
      </c>
    </row>
    <row r="1815" spans="1:16" x14ac:dyDescent="0.35">
      <c r="A1815" s="4">
        <v>45139</v>
      </c>
      <c r="B1815" t="s">
        <v>17</v>
      </c>
      <c r="C1815" t="s">
        <v>11</v>
      </c>
      <c r="D1815">
        <v>1</v>
      </c>
      <c r="E1815" s="2">
        <v>3525</v>
      </c>
      <c r="F1815" s="2">
        <f t="shared" ref="F1815:F1819" si="290">(3537.8+3581.4+3604.6+3567)/4</f>
        <v>3572.7000000000003</v>
      </c>
      <c r="G1815" s="3">
        <v>1</v>
      </c>
      <c r="H1815">
        <v>2241</v>
      </c>
      <c r="I1815">
        <v>2951.6</v>
      </c>
      <c r="J1815">
        <v>16464</v>
      </c>
      <c r="K1815">
        <v>14304</v>
      </c>
      <c r="L1815" s="2">
        <v>27.452500000000001</v>
      </c>
      <c r="M1815" s="5">
        <v>70.130500000000012</v>
      </c>
      <c r="N1815" s="1">
        <v>321.57639999999998</v>
      </c>
      <c r="O1815" s="2">
        <v>4</v>
      </c>
      <c r="P1815">
        <v>341</v>
      </c>
    </row>
    <row r="1816" spans="1:16" x14ac:dyDescent="0.35">
      <c r="A1816" s="4">
        <v>45139</v>
      </c>
      <c r="B1816" t="s">
        <v>17</v>
      </c>
      <c r="C1816" t="s">
        <v>12</v>
      </c>
      <c r="D1816">
        <v>1</v>
      </c>
      <c r="E1816" s="2">
        <f>(3490*2+3857+3885)/4</f>
        <v>3680.5</v>
      </c>
      <c r="F1816" s="2">
        <f t="shared" si="290"/>
        <v>3572.7000000000003</v>
      </c>
      <c r="G1816" s="3">
        <v>1</v>
      </c>
      <c r="H1816">
        <v>2241</v>
      </c>
      <c r="I1816">
        <v>2951.6</v>
      </c>
      <c r="J1816">
        <v>16464</v>
      </c>
      <c r="K1816">
        <v>14304</v>
      </c>
      <c r="L1816" s="2">
        <v>27.452500000000001</v>
      </c>
      <c r="M1816" s="5">
        <v>70.130500000000012</v>
      </c>
      <c r="N1816" s="1">
        <v>321.57639999999998</v>
      </c>
      <c r="O1816" s="2">
        <v>4</v>
      </c>
      <c r="P1816">
        <v>341</v>
      </c>
    </row>
    <row r="1817" spans="1:16" x14ac:dyDescent="0.35">
      <c r="A1817" s="4">
        <v>45139</v>
      </c>
      <c r="B1817" t="s">
        <v>17</v>
      </c>
      <c r="C1817" t="s">
        <v>13</v>
      </c>
      <c r="D1817">
        <v>1</v>
      </c>
      <c r="E1817" s="2">
        <f>(3450+3500+3450+3566)/4</f>
        <v>3491.5</v>
      </c>
      <c r="F1817" s="2">
        <f t="shared" si="290"/>
        <v>3572.7000000000003</v>
      </c>
      <c r="G1817" s="3">
        <v>1</v>
      </c>
      <c r="H1817">
        <v>2241</v>
      </c>
      <c r="I1817">
        <v>2951.6</v>
      </c>
      <c r="J1817">
        <v>16464</v>
      </c>
      <c r="K1817">
        <v>14304</v>
      </c>
      <c r="L1817" s="2">
        <v>27.452500000000001</v>
      </c>
      <c r="M1817" s="5">
        <v>70.130500000000012</v>
      </c>
      <c r="N1817" s="1">
        <v>321.57639999999998</v>
      </c>
      <c r="O1817" s="2">
        <v>4</v>
      </c>
      <c r="P1817">
        <v>341</v>
      </c>
    </row>
    <row r="1818" spans="1:16" x14ac:dyDescent="0.35">
      <c r="A1818" s="4">
        <v>45139</v>
      </c>
      <c r="B1818" t="s">
        <v>17</v>
      </c>
      <c r="C1818" t="s">
        <v>14</v>
      </c>
      <c r="D1818">
        <v>1</v>
      </c>
      <c r="E1818" s="2">
        <f>(3767+3700+3767+3633)/4</f>
        <v>3716.75</v>
      </c>
      <c r="F1818" s="2">
        <f t="shared" si="290"/>
        <v>3572.7000000000003</v>
      </c>
      <c r="G1818" s="3">
        <v>1</v>
      </c>
      <c r="H1818">
        <v>2241</v>
      </c>
      <c r="I1818">
        <v>2951.6</v>
      </c>
      <c r="J1818">
        <v>16464</v>
      </c>
      <c r="K1818">
        <v>14304</v>
      </c>
      <c r="L1818" s="2">
        <v>27.452500000000001</v>
      </c>
      <c r="M1818" s="5">
        <v>70.130500000000012</v>
      </c>
      <c r="N1818" s="1">
        <v>321.57639999999998</v>
      </c>
      <c r="O1818" s="2">
        <v>4</v>
      </c>
      <c r="P1818">
        <v>341</v>
      </c>
    </row>
    <row r="1819" spans="1:16" x14ac:dyDescent="0.35">
      <c r="A1819" s="4">
        <v>45139</v>
      </c>
      <c r="B1819" t="s">
        <v>17</v>
      </c>
      <c r="C1819" t="s">
        <v>15</v>
      </c>
      <c r="D1819">
        <v>0</v>
      </c>
      <c r="E1819" s="2" t="s">
        <v>27</v>
      </c>
      <c r="F1819" s="2">
        <f t="shared" si="290"/>
        <v>3572.7000000000003</v>
      </c>
      <c r="G1819" s="3">
        <v>1</v>
      </c>
      <c r="H1819">
        <v>2241</v>
      </c>
      <c r="I1819">
        <v>2951.6</v>
      </c>
      <c r="J1819">
        <v>16464</v>
      </c>
      <c r="K1819">
        <v>14304</v>
      </c>
      <c r="L1819" s="2">
        <v>27.452500000000001</v>
      </c>
      <c r="M1819" s="5">
        <v>70.130500000000012</v>
      </c>
      <c r="N1819" s="1">
        <v>321.57639999999998</v>
      </c>
      <c r="O1819" s="2">
        <v>4</v>
      </c>
      <c r="P1819">
        <v>341</v>
      </c>
    </row>
    <row r="1820" spans="1:16" x14ac:dyDescent="0.35">
      <c r="A1820" s="4">
        <v>45139</v>
      </c>
      <c r="B1820" t="s">
        <v>18</v>
      </c>
      <c r="C1820" t="s">
        <v>10</v>
      </c>
      <c r="D1820">
        <v>1</v>
      </c>
      <c r="E1820" s="2">
        <f>(2666+3066+3166+3250)/4</f>
        <v>3037</v>
      </c>
      <c r="F1820" s="2">
        <f>(3251.13+3248.5+3250.88+3173.25)/4</f>
        <v>3230.94</v>
      </c>
      <c r="G1820" s="3">
        <v>1</v>
      </c>
      <c r="H1820">
        <v>2241</v>
      </c>
      <c r="I1820">
        <v>2951.6</v>
      </c>
      <c r="J1820">
        <v>16464</v>
      </c>
      <c r="K1820">
        <v>14304</v>
      </c>
      <c r="L1820" s="2">
        <v>27.452500000000001</v>
      </c>
      <c r="M1820" s="5">
        <v>70.130500000000012</v>
      </c>
      <c r="N1820" s="1">
        <v>321.57639999999998</v>
      </c>
      <c r="O1820" s="2">
        <v>4</v>
      </c>
      <c r="P1820">
        <v>341</v>
      </c>
    </row>
    <row r="1821" spans="1:16" x14ac:dyDescent="0.35">
      <c r="A1821" s="4">
        <v>45139</v>
      </c>
      <c r="B1821" t="s">
        <v>18</v>
      </c>
      <c r="C1821" t="s">
        <v>11</v>
      </c>
      <c r="D1821">
        <v>1</v>
      </c>
      <c r="E1821" s="2">
        <v>3200</v>
      </c>
      <c r="F1821" s="2">
        <f t="shared" ref="F1821:F1825" si="291">(3251.13+3248.5+3250.88+3173.25)/4</f>
        <v>3230.94</v>
      </c>
      <c r="G1821" s="3">
        <v>1</v>
      </c>
      <c r="H1821">
        <v>2241</v>
      </c>
      <c r="I1821">
        <v>2951.6</v>
      </c>
      <c r="J1821">
        <v>16464</v>
      </c>
      <c r="K1821">
        <v>14304</v>
      </c>
      <c r="L1821" s="2">
        <v>27.452500000000001</v>
      </c>
      <c r="M1821" s="5">
        <v>70.130500000000012</v>
      </c>
      <c r="N1821" s="1">
        <v>321.57639999999998</v>
      </c>
      <c r="O1821" s="2">
        <v>4</v>
      </c>
      <c r="P1821">
        <v>341</v>
      </c>
    </row>
    <row r="1822" spans="1:16" x14ac:dyDescent="0.35">
      <c r="A1822" s="4">
        <v>45139</v>
      </c>
      <c r="B1822" t="s">
        <v>18</v>
      </c>
      <c r="C1822" t="s">
        <v>12</v>
      </c>
      <c r="D1822">
        <v>1</v>
      </c>
      <c r="E1822" s="2">
        <f>(3390+3495+3167*2)/4</f>
        <v>3304.75</v>
      </c>
      <c r="F1822" s="2">
        <f t="shared" si="291"/>
        <v>3230.94</v>
      </c>
      <c r="G1822" s="3">
        <v>1</v>
      </c>
      <c r="H1822">
        <v>2241</v>
      </c>
      <c r="I1822">
        <v>2951.6</v>
      </c>
      <c r="J1822">
        <v>16464</v>
      </c>
      <c r="K1822">
        <v>14304</v>
      </c>
      <c r="L1822" s="2">
        <v>27.452500000000001</v>
      </c>
      <c r="M1822" s="5">
        <v>70.130500000000012</v>
      </c>
      <c r="N1822" s="1">
        <v>321.57639999999998</v>
      </c>
      <c r="O1822" s="2">
        <v>4</v>
      </c>
      <c r="P1822">
        <v>341</v>
      </c>
    </row>
    <row r="1823" spans="1:16" x14ac:dyDescent="0.35">
      <c r="A1823" s="4">
        <v>45139</v>
      </c>
      <c r="B1823" t="s">
        <v>18</v>
      </c>
      <c r="C1823" t="s">
        <v>13</v>
      </c>
      <c r="D1823">
        <v>1</v>
      </c>
      <c r="E1823" s="2">
        <f>(2*3180+3167+3100)/4</f>
        <v>3156.75</v>
      </c>
      <c r="F1823" s="2">
        <f t="shared" si="291"/>
        <v>3230.94</v>
      </c>
      <c r="G1823" s="3">
        <v>1</v>
      </c>
      <c r="H1823">
        <v>2241</v>
      </c>
      <c r="I1823">
        <v>2951.6</v>
      </c>
      <c r="J1823">
        <v>16464</v>
      </c>
      <c r="K1823">
        <v>14304</v>
      </c>
      <c r="L1823" s="2">
        <v>27.452500000000001</v>
      </c>
      <c r="M1823" s="5">
        <v>70.130500000000012</v>
      </c>
      <c r="N1823" s="1">
        <v>321.57639999999998</v>
      </c>
      <c r="O1823" s="2">
        <v>4</v>
      </c>
      <c r="P1823">
        <v>341</v>
      </c>
    </row>
    <row r="1824" spans="1:16" x14ac:dyDescent="0.35">
      <c r="A1824" s="4">
        <v>45139</v>
      </c>
      <c r="B1824" t="s">
        <v>18</v>
      </c>
      <c r="C1824" t="s">
        <v>14</v>
      </c>
      <c r="D1824">
        <v>1</v>
      </c>
      <c r="E1824" s="2">
        <f>(3125+3225+3200+3230)/4</f>
        <v>3195</v>
      </c>
      <c r="F1824" s="2">
        <f t="shared" si="291"/>
        <v>3230.94</v>
      </c>
      <c r="G1824" s="3">
        <v>1</v>
      </c>
      <c r="H1824">
        <v>2241</v>
      </c>
      <c r="I1824">
        <v>2951.6</v>
      </c>
      <c r="J1824">
        <v>16464</v>
      </c>
      <c r="K1824">
        <v>14304</v>
      </c>
      <c r="L1824" s="2">
        <v>27.452500000000001</v>
      </c>
      <c r="M1824" s="5">
        <v>70.130500000000012</v>
      </c>
      <c r="N1824" s="1">
        <v>321.57639999999998</v>
      </c>
      <c r="O1824" s="2">
        <v>4</v>
      </c>
      <c r="P1824">
        <v>341</v>
      </c>
    </row>
    <row r="1825" spans="1:16" x14ac:dyDescent="0.35">
      <c r="A1825" s="4">
        <v>45139</v>
      </c>
      <c r="B1825" t="s">
        <v>18</v>
      </c>
      <c r="C1825" t="s">
        <v>15</v>
      </c>
      <c r="D1825">
        <v>1</v>
      </c>
      <c r="E1825" s="2">
        <v>3012.5</v>
      </c>
      <c r="F1825" s="2">
        <f t="shared" si="291"/>
        <v>3230.94</v>
      </c>
      <c r="G1825" s="3">
        <v>1</v>
      </c>
      <c r="H1825">
        <v>2241</v>
      </c>
      <c r="I1825">
        <v>2951.6</v>
      </c>
      <c r="J1825">
        <v>16464</v>
      </c>
      <c r="K1825">
        <v>14304</v>
      </c>
      <c r="L1825" s="2">
        <v>27.452500000000001</v>
      </c>
      <c r="M1825" s="5">
        <v>70.130500000000012</v>
      </c>
      <c r="N1825" s="1">
        <v>321.57639999999998</v>
      </c>
      <c r="O1825" s="2">
        <v>4</v>
      </c>
      <c r="P1825">
        <v>341</v>
      </c>
    </row>
    <row r="1826" spans="1:16" x14ac:dyDescent="0.35">
      <c r="A1826" s="4">
        <v>45139</v>
      </c>
      <c r="B1826" t="s">
        <v>19</v>
      </c>
      <c r="C1826" t="s">
        <v>10</v>
      </c>
      <c r="D1826">
        <v>1</v>
      </c>
      <c r="E1826" s="2">
        <f>(2150+2566+2600+2800)/4</f>
        <v>2529</v>
      </c>
      <c r="F1826" s="2">
        <f>(2820.56+2943.78+2905.13+2870.88)/4</f>
        <v>2885.0875000000005</v>
      </c>
      <c r="G1826" s="3">
        <v>1</v>
      </c>
      <c r="H1826">
        <v>2241</v>
      </c>
      <c r="I1826">
        <v>2951.6</v>
      </c>
      <c r="J1826">
        <v>16464</v>
      </c>
      <c r="K1826">
        <v>14304</v>
      </c>
      <c r="L1826" s="2">
        <v>27.452500000000001</v>
      </c>
      <c r="M1826" s="5">
        <v>70.130500000000012</v>
      </c>
      <c r="N1826" s="1">
        <v>321.57639999999998</v>
      </c>
      <c r="O1826" s="2">
        <v>4</v>
      </c>
      <c r="P1826">
        <v>341</v>
      </c>
    </row>
    <row r="1827" spans="1:16" x14ac:dyDescent="0.35">
      <c r="A1827" s="4">
        <v>45139</v>
      </c>
      <c r="B1827" t="s">
        <v>19</v>
      </c>
      <c r="C1827" t="s">
        <v>11</v>
      </c>
      <c r="D1827">
        <v>1</v>
      </c>
      <c r="E1827" s="2">
        <f>(2700+3000*3)/4</f>
        <v>2925</v>
      </c>
      <c r="F1827" s="2">
        <f t="shared" ref="F1827:F1831" si="292">(2820.56+2943.78+2905.13+2870.88)/4</f>
        <v>2885.0875000000005</v>
      </c>
      <c r="G1827" s="3">
        <v>1</v>
      </c>
      <c r="H1827">
        <v>2241</v>
      </c>
      <c r="I1827">
        <v>2951.6</v>
      </c>
      <c r="J1827">
        <v>16464</v>
      </c>
      <c r="K1827">
        <v>14304</v>
      </c>
      <c r="L1827" s="2">
        <v>27.452500000000001</v>
      </c>
      <c r="M1827" s="5">
        <v>70.130500000000012</v>
      </c>
      <c r="N1827" s="1">
        <v>321.57639999999998</v>
      </c>
      <c r="O1827" s="2">
        <v>4</v>
      </c>
      <c r="P1827">
        <v>341</v>
      </c>
    </row>
    <row r="1828" spans="1:16" x14ac:dyDescent="0.35">
      <c r="A1828" s="4">
        <v>45139</v>
      </c>
      <c r="B1828" t="s">
        <v>19</v>
      </c>
      <c r="C1828" t="s">
        <v>12</v>
      </c>
      <c r="D1828">
        <v>1</v>
      </c>
      <c r="E1828" s="2">
        <f>(2485+3065+2983*2)/4</f>
        <v>2879</v>
      </c>
      <c r="F1828" s="2">
        <f t="shared" si="292"/>
        <v>2885.0875000000005</v>
      </c>
      <c r="G1828" s="3">
        <v>1</v>
      </c>
      <c r="H1828">
        <v>2241</v>
      </c>
      <c r="I1828">
        <v>2951.6</v>
      </c>
      <c r="J1828">
        <v>16464</v>
      </c>
      <c r="K1828">
        <v>14304</v>
      </c>
      <c r="L1828" s="2">
        <v>27.452500000000001</v>
      </c>
      <c r="M1828" s="5">
        <v>70.130500000000012</v>
      </c>
      <c r="N1828" s="1">
        <v>321.57639999999998</v>
      </c>
      <c r="O1828" s="2">
        <v>4</v>
      </c>
      <c r="P1828">
        <v>341</v>
      </c>
    </row>
    <row r="1829" spans="1:16" x14ac:dyDescent="0.35">
      <c r="A1829" s="4">
        <v>45139</v>
      </c>
      <c r="B1829" t="s">
        <v>19</v>
      </c>
      <c r="C1829" t="s">
        <v>13</v>
      </c>
      <c r="D1829">
        <v>1</v>
      </c>
      <c r="E1829" s="2">
        <f>(2917+2980*2+3000)/4</f>
        <v>2969.25</v>
      </c>
      <c r="F1829" s="2">
        <f t="shared" si="292"/>
        <v>2885.0875000000005</v>
      </c>
      <c r="G1829" s="3">
        <v>1</v>
      </c>
      <c r="H1829">
        <v>2241</v>
      </c>
      <c r="I1829">
        <v>2951.6</v>
      </c>
      <c r="J1829">
        <v>16464</v>
      </c>
      <c r="K1829">
        <v>14304</v>
      </c>
      <c r="L1829" s="2">
        <v>27.452500000000001</v>
      </c>
      <c r="M1829" s="5">
        <v>70.130500000000012</v>
      </c>
      <c r="N1829" s="1">
        <v>321.57639999999998</v>
      </c>
      <c r="O1829" s="2">
        <v>4</v>
      </c>
      <c r="P1829">
        <v>341</v>
      </c>
    </row>
    <row r="1830" spans="1:16" x14ac:dyDescent="0.35">
      <c r="A1830" s="4">
        <v>45139</v>
      </c>
      <c r="B1830" t="s">
        <v>19</v>
      </c>
      <c r="C1830" t="s">
        <v>14</v>
      </c>
      <c r="D1830">
        <v>1</v>
      </c>
      <c r="E1830" s="2">
        <f>(2950+2958+2978+2967)/4</f>
        <v>2963.25</v>
      </c>
      <c r="F1830" s="2">
        <f t="shared" si="292"/>
        <v>2885.0875000000005</v>
      </c>
      <c r="G1830" s="3">
        <v>1</v>
      </c>
      <c r="H1830">
        <v>2241</v>
      </c>
      <c r="I1830">
        <v>2951.6</v>
      </c>
      <c r="J1830">
        <v>16464</v>
      </c>
      <c r="K1830">
        <v>14304</v>
      </c>
      <c r="L1830" s="2">
        <v>27.452500000000001</v>
      </c>
      <c r="M1830" s="5">
        <v>70.130500000000012</v>
      </c>
      <c r="N1830" s="1">
        <v>321.57639999999998</v>
      </c>
      <c r="O1830" s="2">
        <v>4</v>
      </c>
      <c r="P1830">
        <v>341</v>
      </c>
    </row>
    <row r="1831" spans="1:16" x14ac:dyDescent="0.35">
      <c r="A1831" s="4">
        <v>45139</v>
      </c>
      <c r="B1831" t="s">
        <v>19</v>
      </c>
      <c r="C1831" t="s">
        <v>15</v>
      </c>
      <c r="D1831">
        <v>1</v>
      </c>
      <c r="E1831" s="2">
        <f>(2850+2825+2850+2800)/4</f>
        <v>2831.25</v>
      </c>
      <c r="F1831" s="2">
        <f t="shared" si="292"/>
        <v>2885.0875000000005</v>
      </c>
      <c r="G1831" s="3">
        <v>1</v>
      </c>
      <c r="H1831">
        <v>2241</v>
      </c>
      <c r="I1831">
        <v>2951.6</v>
      </c>
      <c r="J1831">
        <v>16464</v>
      </c>
      <c r="K1831">
        <v>14304</v>
      </c>
      <c r="L1831" s="2">
        <v>27.452500000000001</v>
      </c>
      <c r="M1831" s="5">
        <v>70.130500000000012</v>
      </c>
      <c r="N1831" s="1">
        <v>321.57639999999998</v>
      </c>
      <c r="O1831" s="2">
        <v>4</v>
      </c>
      <c r="P1831">
        <v>341</v>
      </c>
    </row>
    <row r="1832" spans="1:16" x14ac:dyDescent="0.35">
      <c r="A1832" s="4">
        <v>45139</v>
      </c>
      <c r="B1832" t="s">
        <v>20</v>
      </c>
      <c r="C1832" t="s">
        <v>10</v>
      </c>
      <c r="D1832">
        <v>1</v>
      </c>
      <c r="E1832" s="2">
        <f>(2140+2300+2383+1866)/4</f>
        <v>2172.25</v>
      </c>
      <c r="F1832" s="2">
        <f>(2546.88+2583.75+2515.44+2485.75)/4</f>
        <v>2532.9549999999999</v>
      </c>
      <c r="G1832" s="3">
        <v>1</v>
      </c>
      <c r="H1832">
        <v>2241</v>
      </c>
      <c r="I1832">
        <v>2951.6</v>
      </c>
      <c r="J1832">
        <v>16464</v>
      </c>
      <c r="K1832">
        <v>14304</v>
      </c>
      <c r="L1832" s="2">
        <v>27.452500000000001</v>
      </c>
      <c r="M1832" s="5">
        <v>70.130500000000012</v>
      </c>
      <c r="N1832" s="1">
        <v>321.57639999999998</v>
      </c>
      <c r="O1832" s="2">
        <v>4</v>
      </c>
      <c r="P1832">
        <v>341</v>
      </c>
    </row>
    <row r="1833" spans="1:16" x14ac:dyDescent="0.35">
      <c r="A1833" s="4">
        <v>45139</v>
      </c>
      <c r="B1833" t="s">
        <v>20</v>
      </c>
      <c r="C1833" t="s">
        <v>11</v>
      </c>
      <c r="D1833">
        <v>1</v>
      </c>
      <c r="E1833" s="2">
        <f>(2800+2700+2600+2400)/4</f>
        <v>2625</v>
      </c>
      <c r="F1833" s="2">
        <f t="shared" ref="F1833:F1837" si="293">(2546.88+2583.75+2515.44+2485.75)/4</f>
        <v>2532.9549999999999</v>
      </c>
      <c r="G1833" s="3">
        <v>1</v>
      </c>
      <c r="H1833">
        <v>2241</v>
      </c>
      <c r="I1833">
        <v>2951.6</v>
      </c>
      <c r="J1833">
        <v>16464</v>
      </c>
      <c r="K1833">
        <v>14304</v>
      </c>
      <c r="L1833" s="2">
        <v>27.452500000000001</v>
      </c>
      <c r="M1833" s="5">
        <v>70.130500000000012</v>
      </c>
      <c r="N1833" s="1">
        <v>321.57639999999998</v>
      </c>
      <c r="O1833" s="2">
        <v>4</v>
      </c>
      <c r="P1833">
        <v>341</v>
      </c>
    </row>
    <row r="1834" spans="1:16" x14ac:dyDescent="0.35">
      <c r="A1834" s="4">
        <v>45139</v>
      </c>
      <c r="B1834" t="s">
        <v>20</v>
      </c>
      <c r="C1834" t="s">
        <v>12</v>
      </c>
      <c r="D1834">
        <v>1</v>
      </c>
      <c r="E1834" s="2">
        <f>(2490*2+2297+2000)/4</f>
        <v>2319.25</v>
      </c>
      <c r="F1834" s="2">
        <f t="shared" si="293"/>
        <v>2532.9549999999999</v>
      </c>
      <c r="G1834" s="3">
        <v>1</v>
      </c>
      <c r="H1834">
        <v>2241</v>
      </c>
      <c r="I1834">
        <v>2951.6</v>
      </c>
      <c r="J1834">
        <v>16464</v>
      </c>
      <c r="K1834">
        <v>14304</v>
      </c>
      <c r="L1834" s="2">
        <v>27.452500000000001</v>
      </c>
      <c r="M1834" s="5">
        <v>70.130500000000012</v>
      </c>
      <c r="N1834" s="1">
        <v>321.57639999999998</v>
      </c>
      <c r="O1834" s="2">
        <v>4</v>
      </c>
      <c r="P1834">
        <v>341</v>
      </c>
    </row>
    <row r="1835" spans="1:16" x14ac:dyDescent="0.35">
      <c r="A1835" s="4">
        <v>45139</v>
      </c>
      <c r="B1835" t="s">
        <v>20</v>
      </c>
      <c r="C1835" t="s">
        <v>13</v>
      </c>
      <c r="D1835">
        <v>1</v>
      </c>
      <c r="E1835" s="2">
        <f>(2650+2780*2+2730)/4</f>
        <v>2735</v>
      </c>
      <c r="F1835" s="2">
        <f t="shared" si="293"/>
        <v>2532.9549999999999</v>
      </c>
      <c r="G1835" s="3">
        <v>1</v>
      </c>
      <c r="H1835">
        <v>2241</v>
      </c>
      <c r="I1835">
        <v>2951.6</v>
      </c>
      <c r="J1835">
        <v>16464</v>
      </c>
      <c r="K1835">
        <v>14304</v>
      </c>
      <c r="L1835" s="2">
        <v>27.452500000000001</v>
      </c>
      <c r="M1835" s="5">
        <v>70.130500000000012</v>
      </c>
      <c r="N1835" s="1">
        <v>321.57639999999998</v>
      </c>
      <c r="O1835" s="2">
        <v>4</v>
      </c>
      <c r="P1835">
        <v>341</v>
      </c>
    </row>
    <row r="1836" spans="1:16" x14ac:dyDescent="0.35">
      <c r="A1836" s="4">
        <v>45139</v>
      </c>
      <c r="B1836" t="s">
        <v>20</v>
      </c>
      <c r="C1836" t="s">
        <v>14</v>
      </c>
      <c r="D1836">
        <v>1</v>
      </c>
      <c r="E1836" s="2">
        <f>(2725+2710+2662+2720)/4</f>
        <v>2704.25</v>
      </c>
      <c r="F1836" s="2">
        <f t="shared" si="293"/>
        <v>2532.9549999999999</v>
      </c>
      <c r="G1836" s="3">
        <v>1</v>
      </c>
      <c r="H1836">
        <v>2241</v>
      </c>
      <c r="I1836">
        <v>2951.6</v>
      </c>
      <c r="J1836">
        <v>16464</v>
      </c>
      <c r="K1836">
        <v>14304</v>
      </c>
      <c r="L1836" s="2">
        <v>27.452500000000001</v>
      </c>
      <c r="M1836" s="5">
        <v>70.130500000000012</v>
      </c>
      <c r="N1836" s="1">
        <v>321.57639999999998</v>
      </c>
      <c r="O1836" s="2">
        <v>4</v>
      </c>
      <c r="P1836">
        <v>341</v>
      </c>
    </row>
    <row r="1837" spans="1:16" x14ac:dyDescent="0.35">
      <c r="A1837" s="4">
        <v>45139</v>
      </c>
      <c r="B1837" t="s">
        <v>20</v>
      </c>
      <c r="C1837" t="s">
        <v>15</v>
      </c>
      <c r="D1837">
        <v>1</v>
      </c>
      <c r="E1837" s="2">
        <v>2650</v>
      </c>
      <c r="F1837" s="2">
        <f t="shared" si="293"/>
        <v>2532.9549999999999</v>
      </c>
      <c r="G1837" s="3">
        <v>1</v>
      </c>
      <c r="H1837">
        <v>2241</v>
      </c>
      <c r="I1837">
        <v>2951.6</v>
      </c>
      <c r="J1837">
        <v>16464</v>
      </c>
      <c r="K1837">
        <v>14304</v>
      </c>
      <c r="L1837" s="2">
        <v>27.452500000000001</v>
      </c>
      <c r="M1837" s="5">
        <v>70.130500000000012</v>
      </c>
      <c r="N1837" s="1">
        <v>321.57639999999998</v>
      </c>
      <c r="O1837" s="2">
        <v>4</v>
      </c>
      <c r="P1837">
        <v>341</v>
      </c>
    </row>
    <row r="1838" spans="1:16" x14ac:dyDescent="0.35">
      <c r="A1838" s="4">
        <v>45139</v>
      </c>
      <c r="B1838" t="s">
        <v>21</v>
      </c>
      <c r="C1838" t="s">
        <v>10</v>
      </c>
      <c r="D1838">
        <v>1</v>
      </c>
      <c r="E1838" s="2">
        <f>(1775+1996+2033+1633)/4</f>
        <v>1859.25</v>
      </c>
      <c r="F1838" s="2">
        <f>(2351.25+2386.13+2375.75+2310.38)/4</f>
        <v>2355.8775000000001</v>
      </c>
      <c r="G1838" s="3">
        <v>1</v>
      </c>
      <c r="H1838">
        <v>2241</v>
      </c>
      <c r="I1838">
        <v>2951.6</v>
      </c>
      <c r="J1838">
        <v>16464</v>
      </c>
      <c r="K1838">
        <v>14304</v>
      </c>
      <c r="L1838" s="2">
        <v>27.452500000000001</v>
      </c>
      <c r="M1838" s="5">
        <v>70.130500000000012</v>
      </c>
      <c r="N1838" s="1">
        <v>321.57639999999998</v>
      </c>
      <c r="O1838" s="2">
        <v>4</v>
      </c>
      <c r="P1838">
        <v>341</v>
      </c>
    </row>
    <row r="1839" spans="1:16" x14ac:dyDescent="0.35">
      <c r="A1839" s="4">
        <v>45139</v>
      </c>
      <c r="B1839" t="s">
        <v>21</v>
      </c>
      <c r="C1839" t="s">
        <v>11</v>
      </c>
      <c r="D1839">
        <v>1</v>
      </c>
      <c r="E1839" s="2">
        <f>(2500*2+2600+2300)/4</f>
        <v>2475</v>
      </c>
      <c r="F1839" s="2">
        <f t="shared" ref="F1839:F1843" si="294">(2351.25+2386.13+2375.75+2310.38)/4</f>
        <v>2355.8775000000001</v>
      </c>
      <c r="G1839" s="3">
        <v>1</v>
      </c>
      <c r="H1839">
        <v>2241</v>
      </c>
      <c r="I1839">
        <v>2951.6</v>
      </c>
      <c r="J1839">
        <v>16464</v>
      </c>
      <c r="K1839">
        <v>14304</v>
      </c>
      <c r="L1839" s="2">
        <v>27.452500000000001</v>
      </c>
      <c r="M1839" s="5">
        <v>70.130500000000012</v>
      </c>
      <c r="N1839" s="1">
        <v>321.57639999999998</v>
      </c>
      <c r="O1839" s="2">
        <v>4</v>
      </c>
      <c r="P1839">
        <v>341</v>
      </c>
    </row>
    <row r="1840" spans="1:16" x14ac:dyDescent="0.35">
      <c r="A1840" s="4">
        <v>45139</v>
      </c>
      <c r="B1840" t="s">
        <v>21</v>
      </c>
      <c r="C1840" t="s">
        <v>12</v>
      </c>
      <c r="D1840">
        <v>1</v>
      </c>
      <c r="E1840" s="2">
        <f>(1950+2000+2300*2)/4</f>
        <v>2137.5</v>
      </c>
      <c r="F1840" s="2">
        <f t="shared" si="294"/>
        <v>2355.8775000000001</v>
      </c>
      <c r="G1840" s="3">
        <v>1</v>
      </c>
      <c r="H1840">
        <v>2241</v>
      </c>
      <c r="I1840">
        <v>2951.6</v>
      </c>
      <c r="J1840">
        <v>16464</v>
      </c>
      <c r="K1840">
        <v>14304</v>
      </c>
      <c r="L1840" s="2">
        <v>27.452500000000001</v>
      </c>
      <c r="M1840" s="5">
        <v>70.130500000000012</v>
      </c>
      <c r="N1840" s="1">
        <v>321.57639999999998</v>
      </c>
      <c r="O1840" s="2">
        <v>4</v>
      </c>
      <c r="P1840">
        <v>341</v>
      </c>
    </row>
    <row r="1841" spans="1:16" x14ac:dyDescent="0.35">
      <c r="A1841" s="4">
        <v>45139</v>
      </c>
      <c r="B1841" t="s">
        <v>21</v>
      </c>
      <c r="C1841" t="s">
        <v>13</v>
      </c>
      <c r="D1841">
        <v>1</v>
      </c>
      <c r="E1841" s="2">
        <f>(2575+2630*2+2450)/4</f>
        <v>2571.25</v>
      </c>
      <c r="F1841" s="2">
        <f t="shared" si="294"/>
        <v>2355.8775000000001</v>
      </c>
      <c r="G1841" s="3">
        <v>1</v>
      </c>
      <c r="H1841">
        <v>2241</v>
      </c>
      <c r="I1841">
        <v>2951.6</v>
      </c>
      <c r="J1841">
        <v>16464</v>
      </c>
      <c r="K1841">
        <v>14304</v>
      </c>
      <c r="L1841" s="2">
        <v>27.452500000000001</v>
      </c>
      <c r="M1841" s="5">
        <v>70.130500000000012</v>
      </c>
      <c r="N1841" s="1">
        <v>321.57639999999998</v>
      </c>
      <c r="O1841" s="2">
        <v>4</v>
      </c>
      <c r="P1841">
        <v>341</v>
      </c>
    </row>
    <row r="1842" spans="1:16" x14ac:dyDescent="0.35">
      <c r="A1842" s="4">
        <v>45139</v>
      </c>
      <c r="B1842" t="s">
        <v>21</v>
      </c>
      <c r="C1842" t="s">
        <v>14</v>
      </c>
      <c r="D1842">
        <v>1</v>
      </c>
      <c r="E1842" s="2">
        <f>(2550+2493*2+2560)/4</f>
        <v>2524</v>
      </c>
      <c r="F1842" s="2">
        <f t="shared" si="294"/>
        <v>2355.8775000000001</v>
      </c>
      <c r="G1842" s="3">
        <v>1</v>
      </c>
      <c r="H1842">
        <v>2241</v>
      </c>
      <c r="I1842">
        <v>2951.6</v>
      </c>
      <c r="J1842">
        <v>16464</v>
      </c>
      <c r="K1842">
        <v>14304</v>
      </c>
      <c r="L1842" s="2">
        <v>27.452500000000001</v>
      </c>
      <c r="M1842" s="5">
        <v>70.130500000000012</v>
      </c>
      <c r="N1842" s="1">
        <v>321.57639999999998</v>
      </c>
      <c r="O1842" s="2">
        <v>4</v>
      </c>
      <c r="P1842">
        <v>341</v>
      </c>
    </row>
    <row r="1843" spans="1:16" x14ac:dyDescent="0.35">
      <c r="A1843" s="4">
        <v>45139</v>
      </c>
      <c r="B1843" t="s">
        <v>21</v>
      </c>
      <c r="C1843" t="s">
        <v>15</v>
      </c>
      <c r="D1843">
        <v>1</v>
      </c>
      <c r="E1843" s="2">
        <v>2550</v>
      </c>
      <c r="F1843" s="2">
        <f t="shared" si="294"/>
        <v>2355.8775000000001</v>
      </c>
      <c r="G1843" s="3">
        <v>1</v>
      </c>
      <c r="H1843">
        <v>2241</v>
      </c>
      <c r="I1843">
        <v>2951.6</v>
      </c>
      <c r="J1843">
        <v>16464</v>
      </c>
      <c r="K1843">
        <v>14304</v>
      </c>
      <c r="L1843" s="2">
        <v>27.452500000000001</v>
      </c>
      <c r="M1843" s="5">
        <v>70.130500000000012</v>
      </c>
      <c r="N1843" s="1">
        <v>321.57639999999998</v>
      </c>
      <c r="O1843" s="2">
        <v>4</v>
      </c>
      <c r="P1843">
        <v>341</v>
      </c>
    </row>
    <row r="1844" spans="1:16" x14ac:dyDescent="0.35">
      <c r="A1844" s="4">
        <v>45139</v>
      </c>
      <c r="B1844" t="s">
        <v>22</v>
      </c>
      <c r="C1844" t="s">
        <v>10</v>
      </c>
      <c r="D1844">
        <v>0</v>
      </c>
      <c r="E1844" s="2" t="s">
        <v>27</v>
      </c>
      <c r="F1844" s="2">
        <f t="shared" ref="F1844:F1847" si="295">(2070+2000*2+1933)/4</f>
        <v>2000.75</v>
      </c>
      <c r="G1844" s="3">
        <v>1</v>
      </c>
      <c r="H1844">
        <v>2241</v>
      </c>
      <c r="I1844">
        <v>2951.6</v>
      </c>
      <c r="J1844">
        <v>16464</v>
      </c>
      <c r="K1844">
        <v>14304</v>
      </c>
      <c r="L1844" s="2">
        <v>27.452500000000001</v>
      </c>
      <c r="M1844" s="5">
        <v>70.130500000000012</v>
      </c>
      <c r="N1844" s="1">
        <v>321.57639999999998</v>
      </c>
      <c r="O1844" s="2">
        <v>4</v>
      </c>
      <c r="P1844">
        <v>341</v>
      </c>
    </row>
    <row r="1845" spans="1:16" x14ac:dyDescent="0.35">
      <c r="A1845" s="4">
        <v>45139</v>
      </c>
      <c r="B1845" t="s">
        <v>22</v>
      </c>
      <c r="C1845" t="s">
        <v>11</v>
      </c>
      <c r="D1845">
        <v>0</v>
      </c>
      <c r="E1845" s="2" t="s">
        <v>27</v>
      </c>
      <c r="F1845" s="2">
        <f t="shared" si="295"/>
        <v>2000.75</v>
      </c>
      <c r="G1845" s="3">
        <v>1</v>
      </c>
      <c r="H1845">
        <v>2241</v>
      </c>
      <c r="I1845">
        <v>2951.6</v>
      </c>
      <c r="J1845">
        <v>16464</v>
      </c>
      <c r="K1845">
        <v>14304</v>
      </c>
      <c r="L1845" s="2">
        <v>27.452500000000001</v>
      </c>
      <c r="M1845" s="5">
        <v>70.130500000000012</v>
      </c>
      <c r="N1845" s="1">
        <v>321.57639999999998</v>
      </c>
      <c r="O1845" s="2">
        <v>4</v>
      </c>
      <c r="P1845">
        <v>341</v>
      </c>
    </row>
    <row r="1846" spans="1:16" x14ac:dyDescent="0.35">
      <c r="A1846" s="4">
        <v>45139</v>
      </c>
      <c r="B1846" t="s">
        <v>22</v>
      </c>
      <c r="C1846" t="s">
        <v>12</v>
      </c>
      <c r="D1846">
        <v>0</v>
      </c>
      <c r="E1846" s="2" t="s">
        <v>27</v>
      </c>
      <c r="F1846" s="2">
        <f t="shared" si="295"/>
        <v>2000.75</v>
      </c>
      <c r="G1846" s="3">
        <v>1</v>
      </c>
      <c r="H1846">
        <v>2241</v>
      </c>
      <c r="I1846">
        <v>2951.6</v>
      </c>
      <c r="J1846">
        <v>16464</v>
      </c>
      <c r="K1846">
        <v>14304</v>
      </c>
      <c r="L1846" s="2">
        <v>27.452500000000001</v>
      </c>
      <c r="M1846" s="5">
        <v>70.130500000000012</v>
      </c>
      <c r="N1846" s="1">
        <v>321.57639999999998</v>
      </c>
      <c r="O1846" s="2">
        <v>4</v>
      </c>
      <c r="P1846">
        <v>341</v>
      </c>
    </row>
    <row r="1847" spans="1:16" x14ac:dyDescent="0.35">
      <c r="A1847" s="4">
        <v>45139</v>
      </c>
      <c r="B1847" t="s">
        <v>22</v>
      </c>
      <c r="C1847" t="s">
        <v>13</v>
      </c>
      <c r="D1847">
        <v>0</v>
      </c>
      <c r="E1847" s="2" t="s">
        <v>27</v>
      </c>
      <c r="F1847" s="2">
        <f t="shared" si="295"/>
        <v>2000.75</v>
      </c>
      <c r="G1847" s="3">
        <v>1</v>
      </c>
      <c r="H1847">
        <v>2241</v>
      </c>
      <c r="I1847">
        <v>2951.6</v>
      </c>
      <c r="J1847">
        <v>16464</v>
      </c>
      <c r="K1847">
        <v>14304</v>
      </c>
      <c r="L1847" s="2">
        <v>27.452500000000001</v>
      </c>
      <c r="M1847" s="5">
        <v>70.130500000000012</v>
      </c>
      <c r="N1847" s="1">
        <v>321.57639999999998</v>
      </c>
      <c r="O1847" s="2">
        <v>4</v>
      </c>
      <c r="P1847">
        <v>341</v>
      </c>
    </row>
    <row r="1848" spans="1:16" x14ac:dyDescent="0.35">
      <c r="A1848" s="4">
        <v>45139</v>
      </c>
      <c r="B1848" t="s">
        <v>22</v>
      </c>
      <c r="C1848" t="s">
        <v>14</v>
      </c>
      <c r="D1848">
        <v>1</v>
      </c>
      <c r="E1848" s="2">
        <f>(2070+2000*2+1933)/4</f>
        <v>2000.75</v>
      </c>
      <c r="F1848" s="2">
        <f>(2070+2000*2+1933)/4</f>
        <v>2000.75</v>
      </c>
      <c r="G1848" s="3">
        <v>1</v>
      </c>
      <c r="H1848">
        <v>2241</v>
      </c>
      <c r="I1848">
        <v>2951.6</v>
      </c>
      <c r="J1848">
        <v>16464</v>
      </c>
      <c r="K1848">
        <v>14304</v>
      </c>
      <c r="L1848" s="2">
        <v>27.452500000000001</v>
      </c>
      <c r="M1848" s="5">
        <v>70.130500000000012</v>
      </c>
      <c r="N1848" s="1">
        <v>321.57639999999998</v>
      </c>
      <c r="O1848" s="2">
        <v>4</v>
      </c>
      <c r="P1848">
        <v>341</v>
      </c>
    </row>
    <row r="1849" spans="1:16" x14ac:dyDescent="0.35">
      <c r="A1849" s="4">
        <v>45139</v>
      </c>
      <c r="B1849" t="s">
        <v>22</v>
      </c>
      <c r="C1849" t="s">
        <v>15</v>
      </c>
      <c r="D1849">
        <v>0</v>
      </c>
      <c r="E1849" s="2" t="s">
        <v>27</v>
      </c>
      <c r="F1849" s="2">
        <f>(2070+2000*2+1933)/4</f>
        <v>2000.75</v>
      </c>
      <c r="G1849" s="3">
        <v>1</v>
      </c>
      <c r="H1849">
        <v>2241</v>
      </c>
      <c r="I1849">
        <v>2951.6</v>
      </c>
      <c r="J1849">
        <v>16464</v>
      </c>
      <c r="K1849">
        <v>14304</v>
      </c>
      <c r="L1849" s="2">
        <v>27.452500000000001</v>
      </c>
      <c r="M1849" s="5">
        <v>70.130500000000012</v>
      </c>
      <c r="N1849" s="1">
        <v>321.57639999999998</v>
      </c>
      <c r="O1849" s="2">
        <v>4</v>
      </c>
      <c r="P1849">
        <v>341</v>
      </c>
    </row>
    <row r="1850" spans="1:16" x14ac:dyDescent="0.35">
      <c r="A1850" s="4">
        <v>45170</v>
      </c>
      <c r="B1850" t="s">
        <v>16</v>
      </c>
      <c r="C1850" t="s">
        <v>10</v>
      </c>
      <c r="D1850">
        <v>1</v>
      </c>
      <c r="E1850" s="2">
        <f>(5100+4766+4500*2)/4</f>
        <v>4716.5</v>
      </c>
      <c r="F1850" s="2">
        <f>(4571.25+4491.25+4670.25+4866.25)/4</f>
        <v>4649.75</v>
      </c>
      <c r="G1850" s="3">
        <v>1</v>
      </c>
      <c r="H1850">
        <v>1120.5</v>
      </c>
      <c r="I1850">
        <v>2951.6</v>
      </c>
      <c r="J1850">
        <v>20784</v>
      </c>
      <c r="K1850">
        <v>19072</v>
      </c>
      <c r="L1850" s="2">
        <v>26.727500000000003</v>
      </c>
      <c r="M1850" s="5">
        <v>328.41850000000005</v>
      </c>
      <c r="N1850" s="1">
        <v>322.76929999999999</v>
      </c>
      <c r="O1850" s="2">
        <v>1.3</v>
      </c>
      <c r="P1850">
        <v>351</v>
      </c>
    </row>
    <row r="1851" spans="1:16" x14ac:dyDescent="0.35">
      <c r="A1851" s="4">
        <v>45170</v>
      </c>
      <c r="B1851" t="s">
        <v>16</v>
      </c>
      <c r="C1851" t="s">
        <v>11</v>
      </c>
      <c r="D1851">
        <v>0</v>
      </c>
      <c r="E1851" s="2" t="s">
        <v>27</v>
      </c>
      <c r="F1851" s="2">
        <f t="shared" ref="F1851:F1855" si="296">(4571.25+4491.25+4670.25+4866.25)/4</f>
        <v>4649.75</v>
      </c>
      <c r="G1851" s="3">
        <v>1</v>
      </c>
      <c r="H1851">
        <v>1120.5</v>
      </c>
      <c r="I1851">
        <v>2951.6</v>
      </c>
      <c r="J1851">
        <v>20784</v>
      </c>
      <c r="K1851">
        <v>19072</v>
      </c>
      <c r="L1851" s="2">
        <v>26.727500000000003</v>
      </c>
      <c r="M1851" s="5">
        <v>328.41850000000005</v>
      </c>
      <c r="N1851" s="1">
        <v>322.76929999999999</v>
      </c>
      <c r="O1851" s="2">
        <v>1.3</v>
      </c>
      <c r="P1851">
        <v>351</v>
      </c>
    </row>
    <row r="1852" spans="1:16" x14ac:dyDescent="0.35">
      <c r="A1852" s="4">
        <v>45170</v>
      </c>
      <c r="B1852" t="s">
        <v>16</v>
      </c>
      <c r="C1852" t="s">
        <v>12</v>
      </c>
      <c r="D1852">
        <v>1</v>
      </c>
      <c r="E1852" s="2">
        <f>(4590+4790+4485*2)/4</f>
        <v>4587.5</v>
      </c>
      <c r="F1852" s="2">
        <f t="shared" si="296"/>
        <v>4649.75</v>
      </c>
      <c r="G1852" s="3">
        <v>1</v>
      </c>
      <c r="H1852">
        <v>1120.5</v>
      </c>
      <c r="I1852">
        <v>2951.6</v>
      </c>
      <c r="J1852">
        <v>20784</v>
      </c>
      <c r="K1852">
        <v>19072</v>
      </c>
      <c r="L1852" s="2">
        <v>26.727500000000003</v>
      </c>
      <c r="M1852" s="5">
        <v>328.41850000000005</v>
      </c>
      <c r="N1852" s="1">
        <v>322.76929999999999</v>
      </c>
      <c r="O1852" s="2">
        <v>1.3</v>
      </c>
      <c r="P1852">
        <v>351</v>
      </c>
    </row>
    <row r="1853" spans="1:16" x14ac:dyDescent="0.35">
      <c r="A1853" s="4">
        <v>45170</v>
      </c>
      <c r="B1853" t="s">
        <v>16</v>
      </c>
      <c r="C1853" t="s">
        <v>13</v>
      </c>
      <c r="D1853">
        <v>1</v>
      </c>
      <c r="E1853" s="2">
        <f>(4230+4500*2+4750)/4</f>
        <v>4495</v>
      </c>
      <c r="F1853" s="2">
        <f t="shared" si="296"/>
        <v>4649.75</v>
      </c>
      <c r="G1853" s="3">
        <v>1</v>
      </c>
      <c r="H1853">
        <v>1120.5</v>
      </c>
      <c r="I1853">
        <v>2951.6</v>
      </c>
      <c r="J1853">
        <v>20784</v>
      </c>
      <c r="K1853">
        <v>19072</v>
      </c>
      <c r="L1853" s="2">
        <v>26.727500000000003</v>
      </c>
      <c r="M1853" s="5">
        <v>328.41850000000005</v>
      </c>
      <c r="N1853" s="1">
        <v>322.76929999999999</v>
      </c>
      <c r="O1853" s="2">
        <v>1.3</v>
      </c>
      <c r="P1853">
        <v>351</v>
      </c>
    </row>
    <row r="1854" spans="1:16" x14ac:dyDescent="0.35">
      <c r="A1854" s="4">
        <v>45170</v>
      </c>
      <c r="B1854" t="s">
        <v>16</v>
      </c>
      <c r="C1854" t="s">
        <v>14</v>
      </c>
      <c r="D1854">
        <v>1</v>
      </c>
      <c r="E1854" s="2">
        <f>(4825*2+4750+4800)/4</f>
        <v>4800</v>
      </c>
      <c r="F1854" s="2">
        <f t="shared" si="296"/>
        <v>4649.75</v>
      </c>
      <c r="G1854" s="3">
        <v>1</v>
      </c>
      <c r="H1854">
        <v>1120.5</v>
      </c>
      <c r="I1854">
        <v>2951.6</v>
      </c>
      <c r="J1854">
        <v>20784</v>
      </c>
      <c r="K1854">
        <v>19072</v>
      </c>
      <c r="L1854" s="2">
        <v>26.727500000000003</v>
      </c>
      <c r="M1854" s="5">
        <v>328.41850000000005</v>
      </c>
      <c r="N1854" s="1">
        <v>322.76929999999999</v>
      </c>
      <c r="O1854" s="2">
        <v>1.3</v>
      </c>
      <c r="P1854">
        <v>351</v>
      </c>
    </row>
    <row r="1855" spans="1:16" x14ac:dyDescent="0.35">
      <c r="A1855" s="4">
        <v>45170</v>
      </c>
      <c r="B1855" t="s">
        <v>16</v>
      </c>
      <c r="C1855" t="s">
        <v>15</v>
      </c>
      <c r="D1855">
        <v>0</v>
      </c>
      <c r="E1855" s="2" t="s">
        <v>27</v>
      </c>
      <c r="F1855" s="2">
        <f t="shared" si="296"/>
        <v>4649.75</v>
      </c>
      <c r="G1855" s="3">
        <v>1</v>
      </c>
      <c r="H1855">
        <v>1120.5</v>
      </c>
      <c r="I1855">
        <v>2951.6</v>
      </c>
      <c r="J1855">
        <v>20784</v>
      </c>
      <c r="K1855">
        <v>19072</v>
      </c>
      <c r="L1855" s="2">
        <v>26.727500000000003</v>
      </c>
      <c r="M1855" s="5">
        <v>328.41850000000005</v>
      </c>
      <c r="N1855" s="1">
        <v>322.76929999999999</v>
      </c>
      <c r="O1855" s="2">
        <v>1.3</v>
      </c>
      <c r="P1855">
        <v>351</v>
      </c>
    </row>
    <row r="1856" spans="1:16" x14ac:dyDescent="0.35">
      <c r="A1856" s="4">
        <v>45170</v>
      </c>
      <c r="B1856" t="s">
        <v>17</v>
      </c>
      <c r="C1856" t="s">
        <v>10</v>
      </c>
      <c r="D1856">
        <v>1</v>
      </c>
      <c r="E1856" s="2">
        <f>(3566+3866+3833+3930)/4</f>
        <v>3798.75</v>
      </c>
      <c r="F1856" s="2">
        <f>(3815.6+3852.2+3691.2+3684)/4</f>
        <v>3760.75</v>
      </c>
      <c r="G1856" s="3">
        <v>1</v>
      </c>
      <c r="H1856">
        <v>1120.5</v>
      </c>
      <c r="I1856">
        <v>2951.6</v>
      </c>
      <c r="J1856">
        <v>20784</v>
      </c>
      <c r="K1856">
        <v>19072</v>
      </c>
      <c r="L1856" s="2">
        <v>26.727500000000003</v>
      </c>
      <c r="M1856" s="5">
        <v>328.41850000000005</v>
      </c>
      <c r="N1856" s="1">
        <v>322.76929999999999</v>
      </c>
      <c r="O1856" s="2">
        <v>1.3</v>
      </c>
      <c r="P1856">
        <v>351</v>
      </c>
    </row>
    <row r="1857" spans="1:16" x14ac:dyDescent="0.35">
      <c r="A1857" s="4">
        <v>45170</v>
      </c>
      <c r="B1857" t="s">
        <v>17</v>
      </c>
      <c r="C1857" t="s">
        <v>11</v>
      </c>
      <c r="D1857">
        <v>1</v>
      </c>
      <c r="E1857" s="2">
        <v>3600</v>
      </c>
      <c r="F1857" s="2">
        <f t="shared" ref="F1857:F1861" si="297">(3815.6+3852.2+3691.2+3684)/4</f>
        <v>3760.75</v>
      </c>
      <c r="G1857" s="3">
        <v>1</v>
      </c>
      <c r="H1857">
        <v>1120.5</v>
      </c>
      <c r="I1857">
        <v>2951.6</v>
      </c>
      <c r="J1857">
        <v>20784</v>
      </c>
      <c r="K1857">
        <v>19072</v>
      </c>
      <c r="L1857" s="2">
        <v>26.727500000000003</v>
      </c>
      <c r="M1857" s="5">
        <v>328.41850000000005</v>
      </c>
      <c r="N1857" s="1">
        <v>322.76929999999999</v>
      </c>
      <c r="O1857" s="2">
        <v>1.3</v>
      </c>
      <c r="P1857">
        <v>351</v>
      </c>
    </row>
    <row r="1858" spans="1:16" x14ac:dyDescent="0.35">
      <c r="A1858" s="4">
        <v>45170</v>
      </c>
      <c r="B1858" t="s">
        <v>17</v>
      </c>
      <c r="C1858" t="s">
        <v>12</v>
      </c>
      <c r="D1858">
        <v>1</v>
      </c>
      <c r="E1858" s="2">
        <f>(4395*2+3490*2)/4</f>
        <v>3942.5</v>
      </c>
      <c r="F1858" s="2">
        <f t="shared" si="297"/>
        <v>3760.75</v>
      </c>
      <c r="G1858" s="3">
        <v>1</v>
      </c>
      <c r="H1858">
        <v>1120.5</v>
      </c>
      <c r="I1858">
        <v>2951.6</v>
      </c>
      <c r="J1858">
        <v>20784</v>
      </c>
      <c r="K1858">
        <v>19072</v>
      </c>
      <c r="L1858" s="2">
        <v>26.727500000000003</v>
      </c>
      <c r="M1858" s="5">
        <v>328.41850000000005</v>
      </c>
      <c r="N1858" s="1">
        <v>322.76929999999999</v>
      </c>
      <c r="O1858" s="2">
        <v>1.3</v>
      </c>
      <c r="P1858">
        <v>351</v>
      </c>
    </row>
    <row r="1859" spans="1:16" x14ac:dyDescent="0.35">
      <c r="A1859" s="4">
        <v>45170</v>
      </c>
      <c r="B1859" t="s">
        <v>17</v>
      </c>
      <c r="C1859" t="s">
        <v>13</v>
      </c>
      <c r="D1859">
        <v>1</v>
      </c>
      <c r="E1859" s="2">
        <f>(3750+3700*3)/4</f>
        <v>3712.5</v>
      </c>
      <c r="F1859" s="2">
        <f t="shared" si="297"/>
        <v>3760.75</v>
      </c>
      <c r="G1859" s="3">
        <v>1</v>
      </c>
      <c r="H1859">
        <v>1120.5</v>
      </c>
      <c r="I1859">
        <v>2951.6</v>
      </c>
      <c r="J1859">
        <v>20784</v>
      </c>
      <c r="K1859">
        <v>19072</v>
      </c>
      <c r="L1859" s="2">
        <v>26.727500000000003</v>
      </c>
      <c r="M1859" s="5">
        <v>328.41850000000005</v>
      </c>
      <c r="N1859" s="1">
        <v>322.76929999999999</v>
      </c>
      <c r="O1859" s="2">
        <v>1.3</v>
      </c>
      <c r="P1859">
        <v>351</v>
      </c>
    </row>
    <row r="1860" spans="1:16" x14ac:dyDescent="0.35">
      <c r="A1860" s="4">
        <v>45170</v>
      </c>
      <c r="B1860" t="s">
        <v>17</v>
      </c>
      <c r="C1860" t="s">
        <v>14</v>
      </c>
      <c r="D1860">
        <v>1</v>
      </c>
      <c r="E1860" s="2">
        <f>(3700*2+3767+3833)/4</f>
        <v>3750</v>
      </c>
      <c r="F1860" s="2">
        <f t="shared" si="297"/>
        <v>3760.75</v>
      </c>
      <c r="G1860" s="3">
        <v>1</v>
      </c>
      <c r="H1860">
        <v>1120.5</v>
      </c>
      <c r="I1860">
        <v>2951.6</v>
      </c>
      <c r="J1860">
        <v>20784</v>
      </c>
      <c r="K1860">
        <v>19072</v>
      </c>
      <c r="L1860" s="2">
        <v>26.727500000000003</v>
      </c>
      <c r="M1860" s="5">
        <v>328.41850000000005</v>
      </c>
      <c r="N1860" s="1">
        <v>322.76929999999999</v>
      </c>
      <c r="O1860" s="2">
        <v>1.3</v>
      </c>
      <c r="P1860">
        <v>351</v>
      </c>
    </row>
    <row r="1861" spans="1:16" x14ac:dyDescent="0.35">
      <c r="A1861" s="4">
        <v>45170</v>
      </c>
      <c r="B1861" t="s">
        <v>17</v>
      </c>
      <c r="C1861" t="s">
        <v>15</v>
      </c>
      <c r="D1861">
        <v>0</v>
      </c>
      <c r="E1861" s="2" t="s">
        <v>27</v>
      </c>
      <c r="F1861" s="2">
        <f t="shared" si="297"/>
        <v>3760.75</v>
      </c>
      <c r="G1861" s="3">
        <v>1</v>
      </c>
      <c r="H1861">
        <v>1120.5</v>
      </c>
      <c r="I1861">
        <v>2951.6</v>
      </c>
      <c r="J1861">
        <v>20784</v>
      </c>
      <c r="K1861">
        <v>19072</v>
      </c>
      <c r="L1861" s="2">
        <v>26.727500000000003</v>
      </c>
      <c r="M1861" s="5">
        <v>328.41850000000005</v>
      </c>
      <c r="N1861" s="1">
        <v>322.76929999999999</v>
      </c>
      <c r="O1861" s="2">
        <v>1.3</v>
      </c>
      <c r="P1861">
        <v>351</v>
      </c>
    </row>
    <row r="1862" spans="1:16" x14ac:dyDescent="0.35">
      <c r="A1862" s="4">
        <v>45170</v>
      </c>
      <c r="B1862" t="s">
        <v>18</v>
      </c>
      <c r="C1862" t="s">
        <v>10</v>
      </c>
      <c r="D1862">
        <v>1</v>
      </c>
      <c r="E1862" s="2">
        <f>(3366+3466+3600+3300)/4</f>
        <v>3433</v>
      </c>
      <c r="F1862" s="2">
        <f>(3283.13+3194.75+3230.75+3241.63)/4</f>
        <v>3237.5650000000005</v>
      </c>
      <c r="G1862" s="3">
        <v>1</v>
      </c>
      <c r="H1862">
        <v>1120.5</v>
      </c>
      <c r="I1862">
        <v>2951.6</v>
      </c>
      <c r="J1862">
        <v>20784</v>
      </c>
      <c r="K1862">
        <v>19072</v>
      </c>
      <c r="L1862" s="2">
        <v>26.727500000000003</v>
      </c>
      <c r="M1862" s="5">
        <v>328.41850000000005</v>
      </c>
      <c r="N1862" s="1">
        <v>322.76929999999999</v>
      </c>
      <c r="O1862" s="2">
        <v>1.3</v>
      </c>
      <c r="P1862">
        <v>351</v>
      </c>
    </row>
    <row r="1863" spans="1:16" x14ac:dyDescent="0.35">
      <c r="A1863" s="4">
        <v>45170</v>
      </c>
      <c r="B1863" t="s">
        <v>18</v>
      </c>
      <c r="C1863" t="s">
        <v>11</v>
      </c>
      <c r="D1863">
        <v>1</v>
      </c>
      <c r="E1863" s="2">
        <v>3250</v>
      </c>
      <c r="F1863" s="2">
        <f t="shared" ref="F1863:F1867" si="298">(3283.13+3194.75+3230.75+3241.63)/4</f>
        <v>3237.5650000000005</v>
      </c>
      <c r="G1863" s="3">
        <v>1</v>
      </c>
      <c r="H1863">
        <v>1120.5</v>
      </c>
      <c r="I1863">
        <v>2951.6</v>
      </c>
      <c r="J1863">
        <v>20784</v>
      </c>
      <c r="K1863">
        <v>19072</v>
      </c>
      <c r="L1863" s="2">
        <v>26.727500000000003</v>
      </c>
      <c r="M1863" s="5">
        <v>328.41850000000005</v>
      </c>
      <c r="N1863" s="1">
        <v>322.76929999999999</v>
      </c>
      <c r="O1863" s="2">
        <v>1.3</v>
      </c>
      <c r="P1863">
        <v>351</v>
      </c>
    </row>
    <row r="1864" spans="1:16" x14ac:dyDescent="0.35">
      <c r="A1864" s="4">
        <v>45170</v>
      </c>
      <c r="B1864" t="s">
        <v>18</v>
      </c>
      <c r="C1864" t="s">
        <v>12</v>
      </c>
      <c r="D1864">
        <v>1</v>
      </c>
      <c r="E1864" s="2">
        <f>(3295+3295+3167*2)/4</f>
        <v>3231</v>
      </c>
      <c r="F1864" s="2">
        <f t="shared" si="298"/>
        <v>3237.5650000000005</v>
      </c>
      <c r="G1864" s="3">
        <v>1</v>
      </c>
      <c r="H1864">
        <v>1120.5</v>
      </c>
      <c r="I1864">
        <v>2951.6</v>
      </c>
      <c r="J1864">
        <v>20784</v>
      </c>
      <c r="K1864">
        <v>19072</v>
      </c>
      <c r="L1864" s="2">
        <v>26.727500000000003</v>
      </c>
      <c r="M1864" s="5">
        <v>328.41850000000005</v>
      </c>
      <c r="N1864" s="1">
        <v>322.76929999999999</v>
      </c>
      <c r="O1864" s="2">
        <v>1.3</v>
      </c>
      <c r="P1864">
        <v>351</v>
      </c>
    </row>
    <row r="1865" spans="1:16" x14ac:dyDescent="0.35">
      <c r="A1865" s="4">
        <v>45170</v>
      </c>
      <c r="B1865" t="s">
        <v>18</v>
      </c>
      <c r="C1865" t="s">
        <v>13</v>
      </c>
      <c r="D1865">
        <v>1</v>
      </c>
      <c r="E1865" s="2">
        <v>3325</v>
      </c>
      <c r="F1865" s="2">
        <f t="shared" si="298"/>
        <v>3237.5650000000005</v>
      </c>
      <c r="G1865" s="3">
        <v>1</v>
      </c>
      <c r="H1865">
        <v>1120.5</v>
      </c>
      <c r="I1865">
        <v>2951.6</v>
      </c>
      <c r="J1865">
        <v>20784</v>
      </c>
      <c r="K1865">
        <v>19072</v>
      </c>
      <c r="L1865" s="2">
        <v>26.727500000000003</v>
      </c>
      <c r="M1865" s="5">
        <v>328.41850000000005</v>
      </c>
      <c r="N1865" s="1">
        <v>322.76929999999999</v>
      </c>
      <c r="O1865" s="2">
        <v>1.3</v>
      </c>
      <c r="P1865">
        <v>351</v>
      </c>
    </row>
    <row r="1866" spans="1:16" x14ac:dyDescent="0.35">
      <c r="A1866" s="4">
        <v>45170</v>
      </c>
      <c r="B1866" t="s">
        <v>18</v>
      </c>
      <c r="C1866" t="s">
        <v>14</v>
      </c>
      <c r="D1866">
        <v>1</v>
      </c>
      <c r="E1866" s="2">
        <f>(3220+3113+3163+3200)/4</f>
        <v>3174</v>
      </c>
      <c r="F1866" s="2">
        <f t="shared" si="298"/>
        <v>3237.5650000000005</v>
      </c>
      <c r="G1866" s="3">
        <v>1</v>
      </c>
      <c r="H1866">
        <v>1120.5</v>
      </c>
      <c r="I1866">
        <v>2951.6</v>
      </c>
      <c r="J1866">
        <v>20784</v>
      </c>
      <c r="K1866">
        <v>19072</v>
      </c>
      <c r="L1866" s="2">
        <v>26.727500000000003</v>
      </c>
      <c r="M1866" s="5">
        <v>328.41850000000005</v>
      </c>
      <c r="N1866" s="1">
        <v>322.76929999999999</v>
      </c>
      <c r="O1866" s="2">
        <v>1.3</v>
      </c>
      <c r="P1866">
        <v>351</v>
      </c>
    </row>
    <row r="1867" spans="1:16" x14ac:dyDescent="0.35">
      <c r="A1867" s="4">
        <v>45170</v>
      </c>
      <c r="B1867" t="s">
        <v>18</v>
      </c>
      <c r="C1867" t="s">
        <v>15</v>
      </c>
      <c r="D1867">
        <v>1</v>
      </c>
      <c r="E1867" s="2">
        <v>3200</v>
      </c>
      <c r="F1867" s="2">
        <f t="shared" si="298"/>
        <v>3237.5650000000005</v>
      </c>
      <c r="G1867" s="3">
        <v>1</v>
      </c>
      <c r="H1867">
        <v>1120.5</v>
      </c>
      <c r="I1867">
        <v>2951.6</v>
      </c>
      <c r="J1867">
        <v>20784</v>
      </c>
      <c r="K1867">
        <v>19072</v>
      </c>
      <c r="L1867" s="2">
        <v>26.727500000000003</v>
      </c>
      <c r="M1867" s="5">
        <v>328.41850000000005</v>
      </c>
      <c r="N1867" s="1">
        <v>322.76929999999999</v>
      </c>
      <c r="O1867" s="2">
        <v>1.3</v>
      </c>
      <c r="P1867">
        <v>351</v>
      </c>
    </row>
    <row r="1868" spans="1:16" x14ac:dyDescent="0.35">
      <c r="A1868" s="4">
        <v>45170</v>
      </c>
      <c r="B1868" t="s">
        <v>19</v>
      </c>
      <c r="C1868" t="s">
        <v>10</v>
      </c>
      <c r="D1868">
        <v>1</v>
      </c>
      <c r="E1868" s="2">
        <f>(2566+2966+2900+2933)/4</f>
        <v>2841.25</v>
      </c>
      <c r="F1868" s="2">
        <f>(2971+2975.75+2924.88+2923.88)/4</f>
        <v>2948.8775000000005</v>
      </c>
      <c r="G1868" s="3">
        <v>1</v>
      </c>
      <c r="H1868">
        <v>1120.5</v>
      </c>
      <c r="I1868">
        <v>2951.6</v>
      </c>
      <c r="J1868">
        <v>20784</v>
      </c>
      <c r="K1868">
        <v>19072</v>
      </c>
      <c r="L1868" s="2">
        <v>26.727500000000003</v>
      </c>
      <c r="M1868" s="5">
        <v>328.41850000000005</v>
      </c>
      <c r="N1868" s="1">
        <v>322.76929999999999</v>
      </c>
      <c r="O1868" s="2">
        <v>1.3</v>
      </c>
      <c r="P1868">
        <v>351</v>
      </c>
    </row>
    <row r="1869" spans="1:16" x14ac:dyDescent="0.35">
      <c r="A1869" s="4">
        <v>45170</v>
      </c>
      <c r="B1869" t="s">
        <v>19</v>
      </c>
      <c r="C1869" t="s">
        <v>11</v>
      </c>
      <c r="D1869">
        <v>1</v>
      </c>
      <c r="E1869" s="2">
        <v>3000</v>
      </c>
      <c r="F1869" s="2">
        <f t="shared" ref="F1869:F1873" si="299">(2971+2975.75+2924.88+2923.88)/4</f>
        <v>2948.8775000000005</v>
      </c>
      <c r="G1869" s="3">
        <v>1</v>
      </c>
      <c r="H1869">
        <v>1120.5</v>
      </c>
      <c r="I1869">
        <v>2951.6</v>
      </c>
      <c r="J1869">
        <v>20784</v>
      </c>
      <c r="K1869">
        <v>19072</v>
      </c>
      <c r="L1869" s="2">
        <v>26.727500000000003</v>
      </c>
      <c r="M1869" s="5">
        <v>328.41850000000005</v>
      </c>
      <c r="N1869" s="1">
        <v>322.76929999999999</v>
      </c>
      <c r="O1869" s="2">
        <v>1.3</v>
      </c>
      <c r="P1869">
        <v>351</v>
      </c>
    </row>
    <row r="1870" spans="1:16" x14ac:dyDescent="0.35">
      <c r="A1870" s="4">
        <v>45170</v>
      </c>
      <c r="B1870" t="s">
        <v>19</v>
      </c>
      <c r="C1870" t="s">
        <v>12</v>
      </c>
      <c r="D1870">
        <v>1</v>
      </c>
      <c r="E1870" s="2">
        <v>2984</v>
      </c>
      <c r="F1870" s="2">
        <f t="shared" si="299"/>
        <v>2948.8775000000005</v>
      </c>
      <c r="G1870" s="3">
        <v>1</v>
      </c>
      <c r="H1870">
        <v>1120.5</v>
      </c>
      <c r="I1870">
        <v>2951.6</v>
      </c>
      <c r="J1870">
        <v>20784</v>
      </c>
      <c r="K1870">
        <v>19072</v>
      </c>
      <c r="L1870" s="2">
        <v>26.727500000000003</v>
      </c>
      <c r="M1870" s="5">
        <v>328.41850000000005</v>
      </c>
      <c r="N1870" s="1">
        <v>322.76929999999999</v>
      </c>
      <c r="O1870" s="2">
        <v>1.3</v>
      </c>
      <c r="P1870">
        <v>351</v>
      </c>
    </row>
    <row r="1871" spans="1:16" x14ac:dyDescent="0.35">
      <c r="A1871" s="4">
        <v>45170</v>
      </c>
      <c r="B1871" t="s">
        <v>19</v>
      </c>
      <c r="C1871" t="s">
        <v>13</v>
      </c>
      <c r="D1871">
        <v>1</v>
      </c>
      <c r="E1871" s="2">
        <v>2950</v>
      </c>
      <c r="F1871" s="2">
        <f t="shared" si="299"/>
        <v>2948.8775000000005</v>
      </c>
      <c r="G1871" s="3">
        <v>1</v>
      </c>
      <c r="H1871">
        <v>1120.5</v>
      </c>
      <c r="I1871">
        <v>2951.6</v>
      </c>
      <c r="J1871">
        <v>20784</v>
      </c>
      <c r="K1871">
        <v>19072</v>
      </c>
      <c r="L1871" s="2">
        <v>26.727500000000003</v>
      </c>
      <c r="M1871" s="5">
        <v>328.41850000000005</v>
      </c>
      <c r="N1871" s="1">
        <v>322.76929999999999</v>
      </c>
      <c r="O1871" s="2">
        <v>1.3</v>
      </c>
      <c r="P1871">
        <v>351</v>
      </c>
    </row>
    <row r="1872" spans="1:16" x14ac:dyDescent="0.35">
      <c r="A1872" s="4">
        <v>45170</v>
      </c>
      <c r="B1872" t="s">
        <v>19</v>
      </c>
      <c r="C1872" t="s">
        <v>14</v>
      </c>
      <c r="D1872">
        <v>1</v>
      </c>
      <c r="E1872" s="2">
        <f>(3000+2971+3000+3017)/4</f>
        <v>2997</v>
      </c>
      <c r="F1872" s="2">
        <f t="shared" si="299"/>
        <v>2948.8775000000005</v>
      </c>
      <c r="G1872" s="3">
        <v>1</v>
      </c>
      <c r="H1872">
        <v>1120.5</v>
      </c>
      <c r="I1872">
        <v>2951.6</v>
      </c>
      <c r="J1872">
        <v>20784</v>
      </c>
      <c r="K1872">
        <v>19072</v>
      </c>
      <c r="L1872" s="2">
        <v>26.727500000000003</v>
      </c>
      <c r="M1872" s="5">
        <v>328.41850000000005</v>
      </c>
      <c r="N1872" s="1">
        <v>322.76929999999999</v>
      </c>
      <c r="O1872" s="2">
        <v>1.3</v>
      </c>
      <c r="P1872">
        <v>351</v>
      </c>
    </row>
    <row r="1873" spans="1:16" x14ac:dyDescent="0.35">
      <c r="A1873" s="4">
        <v>45170</v>
      </c>
      <c r="B1873" t="s">
        <v>19</v>
      </c>
      <c r="C1873" t="s">
        <v>15</v>
      </c>
      <c r="D1873">
        <v>1</v>
      </c>
      <c r="E1873" s="2">
        <v>2975</v>
      </c>
      <c r="F1873" s="2">
        <f t="shared" si="299"/>
        <v>2948.8775000000005</v>
      </c>
      <c r="G1873" s="3">
        <v>1</v>
      </c>
      <c r="H1873">
        <v>1120.5</v>
      </c>
      <c r="I1873">
        <v>2951.6</v>
      </c>
      <c r="J1873">
        <v>20784</v>
      </c>
      <c r="K1873">
        <v>19072</v>
      </c>
      <c r="L1873" s="2">
        <v>26.727500000000003</v>
      </c>
      <c r="M1873" s="5">
        <v>328.41850000000005</v>
      </c>
      <c r="N1873" s="1">
        <v>322.76929999999999</v>
      </c>
      <c r="O1873" s="2">
        <v>1.3</v>
      </c>
      <c r="P1873">
        <v>351</v>
      </c>
    </row>
    <row r="1874" spans="1:16" x14ac:dyDescent="0.35">
      <c r="A1874" s="4">
        <v>45170</v>
      </c>
      <c r="B1874" t="s">
        <v>20</v>
      </c>
      <c r="C1874" t="s">
        <v>10</v>
      </c>
      <c r="D1874">
        <v>1</v>
      </c>
      <c r="E1874" s="2">
        <f>(2433+2500+2516+2650)/4</f>
        <v>2524.75</v>
      </c>
      <c r="F1874" s="2">
        <f>(2591.88+2547.38+2610+2607.88)/4</f>
        <v>2589.2849999999999</v>
      </c>
      <c r="G1874" s="3">
        <v>1</v>
      </c>
      <c r="H1874">
        <v>1120.5</v>
      </c>
      <c r="I1874">
        <v>2951.6</v>
      </c>
      <c r="J1874">
        <v>20784</v>
      </c>
      <c r="K1874">
        <v>19072</v>
      </c>
      <c r="L1874" s="2">
        <v>26.727500000000003</v>
      </c>
      <c r="M1874" s="5">
        <v>328.41850000000005</v>
      </c>
      <c r="N1874" s="1">
        <v>322.76929999999999</v>
      </c>
      <c r="O1874" s="2">
        <v>1.3</v>
      </c>
      <c r="P1874">
        <v>351</v>
      </c>
    </row>
    <row r="1875" spans="1:16" x14ac:dyDescent="0.35">
      <c r="A1875" s="4">
        <v>45170</v>
      </c>
      <c r="B1875" t="s">
        <v>20</v>
      </c>
      <c r="C1875" t="s">
        <v>11</v>
      </c>
      <c r="D1875">
        <v>1</v>
      </c>
      <c r="E1875" s="2">
        <v>2575</v>
      </c>
      <c r="F1875" s="2">
        <f t="shared" ref="F1875:F1879" si="300">(2591.88+2547.38+2610+2607.88)/4</f>
        <v>2589.2849999999999</v>
      </c>
      <c r="G1875" s="3">
        <v>1</v>
      </c>
      <c r="H1875">
        <v>1120.5</v>
      </c>
      <c r="I1875">
        <v>2951.6</v>
      </c>
      <c r="J1875">
        <v>20784</v>
      </c>
      <c r="K1875">
        <v>19072</v>
      </c>
      <c r="L1875" s="2">
        <v>26.727500000000003</v>
      </c>
      <c r="M1875" s="5">
        <v>328.41850000000005</v>
      </c>
      <c r="N1875" s="1">
        <v>322.76929999999999</v>
      </c>
      <c r="O1875" s="2">
        <v>1.3</v>
      </c>
      <c r="P1875">
        <v>351</v>
      </c>
    </row>
    <row r="1876" spans="1:16" x14ac:dyDescent="0.35">
      <c r="A1876" s="4">
        <v>45170</v>
      </c>
      <c r="B1876" t="s">
        <v>20</v>
      </c>
      <c r="C1876" t="s">
        <v>12</v>
      </c>
      <c r="D1876">
        <v>1</v>
      </c>
      <c r="E1876" s="2">
        <f>(1975*2+2480*2)/4</f>
        <v>2227.5</v>
      </c>
      <c r="F1876" s="2">
        <f t="shared" si="300"/>
        <v>2589.2849999999999</v>
      </c>
      <c r="G1876" s="3">
        <v>1</v>
      </c>
      <c r="H1876">
        <v>1120.5</v>
      </c>
      <c r="I1876">
        <v>2951.6</v>
      </c>
      <c r="J1876">
        <v>20784</v>
      </c>
      <c r="K1876">
        <v>19072</v>
      </c>
      <c r="L1876" s="2">
        <v>26.727500000000003</v>
      </c>
      <c r="M1876" s="5">
        <v>328.41850000000005</v>
      </c>
      <c r="N1876" s="1">
        <v>322.76929999999999</v>
      </c>
      <c r="O1876" s="2">
        <v>1.3</v>
      </c>
      <c r="P1876">
        <v>351</v>
      </c>
    </row>
    <row r="1877" spans="1:16" x14ac:dyDescent="0.35">
      <c r="A1877" s="4">
        <v>45170</v>
      </c>
      <c r="B1877" t="s">
        <v>20</v>
      </c>
      <c r="C1877" t="s">
        <v>13</v>
      </c>
      <c r="D1877">
        <v>1</v>
      </c>
      <c r="E1877" s="2">
        <v>2667.5</v>
      </c>
      <c r="F1877" s="2">
        <f t="shared" si="300"/>
        <v>2589.2849999999999</v>
      </c>
      <c r="G1877" s="3">
        <v>1</v>
      </c>
      <c r="H1877">
        <v>1120.5</v>
      </c>
      <c r="I1877">
        <v>2951.6</v>
      </c>
      <c r="J1877">
        <v>20784</v>
      </c>
      <c r="K1877">
        <v>19072</v>
      </c>
      <c r="L1877" s="2">
        <v>26.727500000000003</v>
      </c>
      <c r="M1877" s="5">
        <v>328.41850000000005</v>
      </c>
      <c r="N1877" s="1">
        <v>322.76929999999999</v>
      </c>
      <c r="O1877" s="2">
        <v>1.3</v>
      </c>
      <c r="P1877">
        <v>351</v>
      </c>
    </row>
    <row r="1878" spans="1:16" x14ac:dyDescent="0.35">
      <c r="A1878" s="4">
        <v>45170</v>
      </c>
      <c r="B1878" t="s">
        <v>20</v>
      </c>
      <c r="C1878" t="s">
        <v>14</v>
      </c>
      <c r="D1878">
        <v>1</v>
      </c>
      <c r="E1878" s="2">
        <f>(2738+2760+2750+2800)/4</f>
        <v>2762</v>
      </c>
      <c r="F1878" s="2">
        <f t="shared" si="300"/>
        <v>2589.2849999999999</v>
      </c>
      <c r="G1878" s="3">
        <v>1</v>
      </c>
      <c r="H1878">
        <v>1120.5</v>
      </c>
      <c r="I1878">
        <v>2951.6</v>
      </c>
      <c r="J1878">
        <v>20784</v>
      </c>
      <c r="K1878">
        <v>19072</v>
      </c>
      <c r="L1878" s="2">
        <v>26.727500000000003</v>
      </c>
      <c r="M1878" s="5">
        <v>328.41850000000005</v>
      </c>
      <c r="N1878" s="1">
        <v>322.76929999999999</v>
      </c>
      <c r="O1878" s="2">
        <v>1.3</v>
      </c>
      <c r="P1878">
        <v>351</v>
      </c>
    </row>
    <row r="1879" spans="1:16" x14ac:dyDescent="0.35">
      <c r="A1879" s="4">
        <v>45170</v>
      </c>
      <c r="B1879" t="s">
        <v>20</v>
      </c>
      <c r="C1879" t="s">
        <v>15</v>
      </c>
      <c r="D1879">
        <v>1</v>
      </c>
      <c r="E1879" s="2">
        <v>2700</v>
      </c>
      <c r="F1879" s="2">
        <f t="shared" si="300"/>
        <v>2589.2849999999999</v>
      </c>
      <c r="G1879" s="3">
        <v>1</v>
      </c>
      <c r="H1879">
        <v>1120.5</v>
      </c>
      <c r="I1879">
        <v>2951.6</v>
      </c>
      <c r="J1879">
        <v>20784</v>
      </c>
      <c r="K1879">
        <v>19072</v>
      </c>
      <c r="L1879" s="2">
        <v>26.727500000000003</v>
      </c>
      <c r="M1879" s="5">
        <v>328.41850000000005</v>
      </c>
      <c r="N1879" s="1">
        <v>322.76929999999999</v>
      </c>
      <c r="O1879" s="2">
        <v>1.3</v>
      </c>
      <c r="P1879">
        <v>351</v>
      </c>
    </row>
    <row r="1880" spans="1:16" x14ac:dyDescent="0.35">
      <c r="A1880" s="4">
        <v>45170</v>
      </c>
      <c r="B1880" t="s">
        <v>21</v>
      </c>
      <c r="C1880" t="s">
        <v>10</v>
      </c>
      <c r="D1880">
        <v>1</v>
      </c>
      <c r="E1880" s="2">
        <f>(1650+2166+2266+2583)/4</f>
        <v>2166.25</v>
      </c>
      <c r="F1880" s="2">
        <f>(2300.75+2424.38+2323.88+2359.63)/4</f>
        <v>2352.16</v>
      </c>
      <c r="G1880" s="3">
        <v>1</v>
      </c>
      <c r="H1880">
        <v>1120.5</v>
      </c>
      <c r="I1880">
        <v>2951.6</v>
      </c>
      <c r="J1880">
        <v>20784</v>
      </c>
      <c r="K1880">
        <v>19072</v>
      </c>
      <c r="L1880" s="2">
        <v>26.727500000000003</v>
      </c>
      <c r="M1880" s="5">
        <v>328.41850000000005</v>
      </c>
      <c r="N1880" s="1">
        <v>322.76929999999999</v>
      </c>
      <c r="O1880" s="2">
        <v>1.3</v>
      </c>
      <c r="P1880">
        <v>351</v>
      </c>
    </row>
    <row r="1881" spans="1:16" x14ac:dyDescent="0.35">
      <c r="A1881" s="4">
        <v>45170</v>
      </c>
      <c r="B1881" t="s">
        <v>21</v>
      </c>
      <c r="C1881" t="s">
        <v>11</v>
      </c>
      <c r="D1881">
        <v>1</v>
      </c>
      <c r="E1881" s="2">
        <v>2475</v>
      </c>
      <c r="F1881" s="2">
        <f t="shared" ref="F1881:F1885" si="301">(2300.75+2424.38+2323.88+2359.63)/4</f>
        <v>2352.16</v>
      </c>
      <c r="G1881" s="3">
        <v>1</v>
      </c>
      <c r="H1881">
        <v>1120.5</v>
      </c>
      <c r="I1881">
        <v>2951.6</v>
      </c>
      <c r="J1881">
        <v>20784</v>
      </c>
      <c r="K1881">
        <v>19072</v>
      </c>
      <c r="L1881" s="2">
        <v>26.727500000000003</v>
      </c>
      <c r="M1881" s="5">
        <v>328.41850000000005</v>
      </c>
      <c r="N1881" s="1">
        <v>322.76929999999999</v>
      </c>
      <c r="O1881" s="2">
        <v>1.3</v>
      </c>
      <c r="P1881">
        <v>351</v>
      </c>
    </row>
    <row r="1882" spans="1:16" x14ac:dyDescent="0.35">
      <c r="A1882" s="4">
        <v>45170</v>
      </c>
      <c r="B1882" t="s">
        <v>21</v>
      </c>
      <c r="C1882" t="s">
        <v>12</v>
      </c>
      <c r="D1882">
        <v>1</v>
      </c>
      <c r="E1882" s="2">
        <v>1900</v>
      </c>
      <c r="F1882" s="2">
        <f t="shared" si="301"/>
        <v>2352.16</v>
      </c>
      <c r="G1882" s="3">
        <v>1</v>
      </c>
      <c r="H1882">
        <v>1120.5</v>
      </c>
      <c r="I1882">
        <v>2951.6</v>
      </c>
      <c r="J1882">
        <v>20784</v>
      </c>
      <c r="K1882">
        <v>19072</v>
      </c>
      <c r="L1882" s="2">
        <v>26.727500000000003</v>
      </c>
      <c r="M1882" s="5">
        <v>328.41850000000005</v>
      </c>
      <c r="N1882" s="1">
        <v>322.76929999999999</v>
      </c>
      <c r="O1882" s="2">
        <v>1.3</v>
      </c>
      <c r="P1882">
        <v>351</v>
      </c>
    </row>
    <row r="1883" spans="1:16" x14ac:dyDescent="0.35">
      <c r="A1883" s="4">
        <v>45170</v>
      </c>
      <c r="B1883" t="s">
        <v>21</v>
      </c>
      <c r="C1883" t="s">
        <v>13</v>
      </c>
      <c r="D1883">
        <v>1</v>
      </c>
      <c r="E1883" s="2">
        <v>2450</v>
      </c>
      <c r="F1883" s="2">
        <f t="shared" si="301"/>
        <v>2352.16</v>
      </c>
      <c r="G1883" s="3">
        <v>1</v>
      </c>
      <c r="H1883">
        <v>1120.5</v>
      </c>
      <c r="I1883">
        <v>2951.6</v>
      </c>
      <c r="J1883">
        <v>20784</v>
      </c>
      <c r="K1883">
        <v>19072</v>
      </c>
      <c r="L1883" s="2">
        <v>26.727500000000003</v>
      </c>
      <c r="M1883" s="5">
        <v>328.41850000000005</v>
      </c>
      <c r="N1883" s="1">
        <v>322.76929999999999</v>
      </c>
      <c r="O1883" s="2">
        <v>1.3</v>
      </c>
      <c r="P1883">
        <v>351</v>
      </c>
    </row>
    <row r="1884" spans="1:16" x14ac:dyDescent="0.35">
      <c r="A1884" s="4">
        <v>45170</v>
      </c>
      <c r="B1884" t="s">
        <v>21</v>
      </c>
      <c r="C1884" t="s">
        <v>14</v>
      </c>
      <c r="D1884">
        <v>1</v>
      </c>
      <c r="E1884" s="2">
        <f>(2256+2529+2525+2544)/4</f>
        <v>2463.5</v>
      </c>
      <c r="F1884" s="2">
        <f t="shared" si="301"/>
        <v>2352.16</v>
      </c>
      <c r="G1884" s="3">
        <v>1</v>
      </c>
      <c r="H1884">
        <v>1120.5</v>
      </c>
      <c r="I1884">
        <v>2951.6</v>
      </c>
      <c r="J1884">
        <v>20784</v>
      </c>
      <c r="K1884">
        <v>19072</v>
      </c>
      <c r="L1884" s="2">
        <v>26.727500000000003</v>
      </c>
      <c r="M1884" s="5">
        <v>328.41850000000005</v>
      </c>
      <c r="N1884" s="1">
        <v>322.76929999999999</v>
      </c>
      <c r="O1884" s="2">
        <v>1.3</v>
      </c>
      <c r="P1884">
        <v>351</v>
      </c>
    </row>
    <row r="1885" spans="1:16" x14ac:dyDescent="0.35">
      <c r="A1885" s="4">
        <v>45170</v>
      </c>
      <c r="B1885" t="s">
        <v>21</v>
      </c>
      <c r="C1885" t="s">
        <v>15</v>
      </c>
      <c r="D1885">
        <v>1</v>
      </c>
      <c r="E1885" s="2">
        <v>2575</v>
      </c>
      <c r="F1885" s="2">
        <f t="shared" si="301"/>
        <v>2352.16</v>
      </c>
      <c r="G1885" s="3">
        <v>1</v>
      </c>
      <c r="H1885">
        <v>1120.5</v>
      </c>
      <c r="I1885">
        <v>2951.6</v>
      </c>
      <c r="J1885">
        <v>20784</v>
      </c>
      <c r="K1885">
        <v>19072</v>
      </c>
      <c r="L1885" s="2">
        <v>26.727500000000003</v>
      </c>
      <c r="M1885" s="5">
        <v>328.41850000000005</v>
      </c>
      <c r="N1885" s="1">
        <v>322.76929999999999</v>
      </c>
      <c r="O1885" s="2">
        <v>1.3</v>
      </c>
      <c r="P1885">
        <v>351</v>
      </c>
    </row>
    <row r="1886" spans="1:16" x14ac:dyDescent="0.35">
      <c r="A1886" s="4">
        <v>45170</v>
      </c>
      <c r="B1886" t="s">
        <v>22</v>
      </c>
      <c r="C1886" t="s">
        <v>10</v>
      </c>
      <c r="D1886">
        <v>0</v>
      </c>
      <c r="E1886" s="2" t="s">
        <v>27</v>
      </c>
      <c r="F1886" s="2">
        <f t="shared" ref="F1886:F1889" si="302">(1960+2100*2+2250)/4</f>
        <v>2102.5</v>
      </c>
      <c r="G1886" s="3">
        <v>1</v>
      </c>
      <c r="H1886">
        <v>1120.5</v>
      </c>
      <c r="I1886">
        <v>2951.6</v>
      </c>
      <c r="J1886">
        <v>20784</v>
      </c>
      <c r="K1886">
        <v>19072</v>
      </c>
      <c r="L1886" s="2">
        <v>26.727500000000003</v>
      </c>
      <c r="M1886" s="5">
        <v>328.41850000000005</v>
      </c>
      <c r="N1886" s="1">
        <v>322.76929999999999</v>
      </c>
      <c r="O1886" s="2">
        <v>1.3</v>
      </c>
      <c r="P1886">
        <v>351</v>
      </c>
    </row>
    <row r="1887" spans="1:16" x14ac:dyDescent="0.35">
      <c r="A1887" s="4">
        <v>45170</v>
      </c>
      <c r="B1887" t="s">
        <v>22</v>
      </c>
      <c r="C1887" t="s">
        <v>11</v>
      </c>
      <c r="D1887">
        <v>0</v>
      </c>
      <c r="E1887" s="2" t="s">
        <v>27</v>
      </c>
      <c r="F1887" s="2">
        <f t="shared" si="302"/>
        <v>2102.5</v>
      </c>
      <c r="G1887" s="3">
        <v>1</v>
      </c>
      <c r="H1887">
        <v>1120.5</v>
      </c>
      <c r="I1887">
        <v>2951.6</v>
      </c>
      <c r="J1887">
        <v>20784</v>
      </c>
      <c r="K1887">
        <v>19072</v>
      </c>
      <c r="L1887" s="2">
        <v>26.727500000000003</v>
      </c>
      <c r="M1887" s="5">
        <v>328.41850000000005</v>
      </c>
      <c r="N1887" s="1">
        <v>322.76929999999999</v>
      </c>
      <c r="O1887" s="2">
        <v>1.3</v>
      </c>
      <c r="P1887">
        <v>351</v>
      </c>
    </row>
    <row r="1888" spans="1:16" x14ac:dyDescent="0.35">
      <c r="A1888" s="4">
        <v>45170</v>
      </c>
      <c r="B1888" t="s">
        <v>22</v>
      </c>
      <c r="C1888" t="s">
        <v>12</v>
      </c>
      <c r="D1888">
        <v>0</v>
      </c>
      <c r="E1888" s="2" t="s">
        <v>27</v>
      </c>
      <c r="F1888" s="2">
        <f t="shared" si="302"/>
        <v>2102.5</v>
      </c>
      <c r="G1888" s="3">
        <v>1</v>
      </c>
      <c r="H1888">
        <v>1120.5</v>
      </c>
      <c r="I1888">
        <v>2951.6</v>
      </c>
      <c r="J1888">
        <v>20784</v>
      </c>
      <c r="K1888">
        <v>19072</v>
      </c>
      <c r="L1888" s="2">
        <v>26.727500000000003</v>
      </c>
      <c r="M1888" s="5">
        <v>328.41850000000005</v>
      </c>
      <c r="N1888" s="1">
        <v>322.76929999999999</v>
      </c>
      <c r="O1888" s="2">
        <v>1.3</v>
      </c>
      <c r="P1888">
        <v>351</v>
      </c>
    </row>
    <row r="1889" spans="1:16" x14ac:dyDescent="0.35">
      <c r="A1889" s="4">
        <v>45170</v>
      </c>
      <c r="B1889" t="s">
        <v>22</v>
      </c>
      <c r="C1889" t="s">
        <v>13</v>
      </c>
      <c r="D1889">
        <v>0</v>
      </c>
      <c r="E1889" s="2" t="s">
        <v>27</v>
      </c>
      <c r="F1889" s="2">
        <f t="shared" si="302"/>
        <v>2102.5</v>
      </c>
      <c r="G1889" s="3">
        <v>1</v>
      </c>
      <c r="H1889">
        <v>1120.5</v>
      </c>
      <c r="I1889">
        <v>2951.6</v>
      </c>
      <c r="J1889">
        <v>20784</v>
      </c>
      <c r="K1889">
        <v>19072</v>
      </c>
      <c r="L1889" s="2">
        <v>26.727500000000003</v>
      </c>
      <c r="M1889" s="5">
        <v>328.41850000000005</v>
      </c>
      <c r="N1889" s="1">
        <v>322.76929999999999</v>
      </c>
      <c r="O1889" s="2">
        <v>1.3</v>
      </c>
      <c r="P1889">
        <v>351</v>
      </c>
    </row>
    <row r="1890" spans="1:16" x14ac:dyDescent="0.35">
      <c r="A1890" s="4">
        <v>45170</v>
      </c>
      <c r="B1890" t="s">
        <v>22</v>
      </c>
      <c r="C1890" t="s">
        <v>14</v>
      </c>
      <c r="D1890">
        <v>1</v>
      </c>
      <c r="E1890" s="2">
        <f>(1960+2100*2+2250)/4</f>
        <v>2102.5</v>
      </c>
      <c r="F1890" s="2">
        <f>(1960+2100*2+2250)/4</f>
        <v>2102.5</v>
      </c>
      <c r="G1890" s="3">
        <v>1</v>
      </c>
      <c r="H1890">
        <v>1120.5</v>
      </c>
      <c r="I1890">
        <v>2951.6</v>
      </c>
      <c r="J1890">
        <v>20784</v>
      </c>
      <c r="K1890">
        <v>19072</v>
      </c>
      <c r="L1890" s="2">
        <v>26.727500000000003</v>
      </c>
      <c r="M1890" s="5">
        <v>328.41850000000005</v>
      </c>
      <c r="N1890" s="1">
        <v>322.76929999999999</v>
      </c>
      <c r="O1890" s="2">
        <v>1.3</v>
      </c>
      <c r="P1890">
        <v>351</v>
      </c>
    </row>
    <row r="1891" spans="1:16" x14ac:dyDescent="0.35">
      <c r="A1891" s="4">
        <v>45170</v>
      </c>
      <c r="B1891" t="s">
        <v>22</v>
      </c>
      <c r="C1891" t="s">
        <v>15</v>
      </c>
      <c r="D1891">
        <v>0</v>
      </c>
      <c r="E1891" s="2" t="s">
        <v>27</v>
      </c>
      <c r="F1891" s="2">
        <f>(1960+2100*2+2250)/4</f>
        <v>2102.5</v>
      </c>
      <c r="G1891" s="3">
        <v>1</v>
      </c>
      <c r="H1891">
        <v>1120.5</v>
      </c>
      <c r="I1891">
        <v>2951.6</v>
      </c>
      <c r="J1891">
        <v>20784</v>
      </c>
      <c r="K1891">
        <v>19072</v>
      </c>
      <c r="L1891" s="2">
        <v>26.727500000000003</v>
      </c>
      <c r="M1891" s="5">
        <v>328.41850000000005</v>
      </c>
      <c r="N1891" s="1">
        <v>322.76929999999999</v>
      </c>
      <c r="O1891" s="2">
        <v>1.3</v>
      </c>
      <c r="P1891">
        <v>351</v>
      </c>
    </row>
    <row r="1892" spans="1:16" x14ac:dyDescent="0.35">
      <c r="A1892" s="4">
        <v>45200</v>
      </c>
      <c r="B1892" t="s">
        <v>16</v>
      </c>
      <c r="C1892" t="s">
        <v>10</v>
      </c>
      <c r="D1892">
        <v>1</v>
      </c>
      <c r="E1892" s="2">
        <f>(4966+4766+4900+4700+4975)/5</f>
        <v>4861.3999999999996</v>
      </c>
      <c r="F1892" s="2">
        <f>(4689+4797.5+4757.75+4691.25+4845.5)/5</f>
        <v>4756.2</v>
      </c>
      <c r="G1892" s="3">
        <v>1</v>
      </c>
      <c r="H1892">
        <v>2241</v>
      </c>
      <c r="I1892">
        <v>2951.6</v>
      </c>
      <c r="J1892">
        <v>26000</v>
      </c>
      <c r="K1892">
        <v>23840</v>
      </c>
      <c r="L1892" s="2">
        <v>26.228125000000002</v>
      </c>
      <c r="M1892" s="5">
        <v>585.57050000000004</v>
      </c>
      <c r="N1892" s="1">
        <v>324.7303</v>
      </c>
      <c r="O1892" s="2">
        <v>1.5</v>
      </c>
      <c r="P1892">
        <v>356</v>
      </c>
    </row>
    <row r="1893" spans="1:16" x14ac:dyDescent="0.35">
      <c r="A1893" s="4">
        <v>45200</v>
      </c>
      <c r="B1893" t="s">
        <v>16</v>
      </c>
      <c r="C1893" t="s">
        <v>11</v>
      </c>
      <c r="D1893">
        <v>0</v>
      </c>
      <c r="E1893" s="2" t="s">
        <v>27</v>
      </c>
      <c r="F1893" s="2">
        <f t="shared" ref="F1893:F1897" si="303">(4689+4797.5+4757.75+4691.25+4845.5)/5</f>
        <v>4756.2</v>
      </c>
      <c r="G1893" s="3">
        <v>1</v>
      </c>
      <c r="H1893">
        <v>2241</v>
      </c>
      <c r="I1893">
        <v>2951.6</v>
      </c>
      <c r="J1893">
        <v>26000</v>
      </c>
      <c r="K1893">
        <v>23840</v>
      </c>
      <c r="L1893" s="2">
        <v>26.228125000000002</v>
      </c>
      <c r="M1893" s="5">
        <v>585.57050000000004</v>
      </c>
      <c r="N1893" s="1">
        <v>324.7303</v>
      </c>
      <c r="O1893" s="2">
        <v>1.5</v>
      </c>
      <c r="P1893">
        <v>356</v>
      </c>
    </row>
    <row r="1894" spans="1:16" x14ac:dyDescent="0.35">
      <c r="A1894" s="4">
        <v>45200</v>
      </c>
      <c r="B1894" t="s">
        <v>16</v>
      </c>
      <c r="C1894" t="s">
        <v>12</v>
      </c>
      <c r="D1894">
        <v>1</v>
      </c>
      <c r="E1894" s="2">
        <v>4790</v>
      </c>
      <c r="F1894" s="2">
        <f t="shared" si="303"/>
        <v>4756.2</v>
      </c>
      <c r="G1894" s="3">
        <v>1</v>
      </c>
      <c r="H1894">
        <v>2241</v>
      </c>
      <c r="I1894">
        <v>2951.6</v>
      </c>
      <c r="J1894">
        <v>26000</v>
      </c>
      <c r="K1894">
        <v>23840</v>
      </c>
      <c r="L1894" s="2">
        <v>26.228125000000002</v>
      </c>
      <c r="M1894" s="5">
        <v>585.57050000000004</v>
      </c>
      <c r="N1894" s="1">
        <v>324.7303</v>
      </c>
      <c r="O1894" s="2">
        <v>1.5</v>
      </c>
      <c r="P1894">
        <v>356</v>
      </c>
    </row>
    <row r="1895" spans="1:16" x14ac:dyDescent="0.35">
      <c r="A1895" s="4">
        <v>45200</v>
      </c>
      <c r="B1895" t="s">
        <v>16</v>
      </c>
      <c r="C1895" t="s">
        <v>13</v>
      </c>
      <c r="D1895">
        <v>1</v>
      </c>
      <c r="E1895" s="2">
        <f>(4100+4600+4550+4400+4750)/5</f>
        <v>4480</v>
      </c>
      <c r="F1895" s="2">
        <f t="shared" si="303"/>
        <v>4756.2</v>
      </c>
      <c r="G1895" s="3">
        <v>1</v>
      </c>
      <c r="H1895">
        <v>2241</v>
      </c>
      <c r="I1895">
        <v>2951.6</v>
      </c>
      <c r="J1895">
        <v>26000</v>
      </c>
      <c r="K1895">
        <v>23840</v>
      </c>
      <c r="L1895" s="2">
        <v>26.228125000000002</v>
      </c>
      <c r="M1895" s="5">
        <v>585.57050000000004</v>
      </c>
      <c r="N1895" s="1">
        <v>324.7303</v>
      </c>
      <c r="O1895" s="2">
        <v>1.5</v>
      </c>
      <c r="P1895">
        <v>356</v>
      </c>
    </row>
    <row r="1896" spans="1:16" x14ac:dyDescent="0.35">
      <c r="A1896" s="4">
        <v>45200</v>
      </c>
      <c r="B1896" t="s">
        <v>16</v>
      </c>
      <c r="C1896" t="s">
        <v>14</v>
      </c>
      <c r="D1896">
        <v>1</v>
      </c>
      <c r="E1896" s="2">
        <f>(4867+4875+4925+4900*2)/5</f>
        <v>4893.3999999999996</v>
      </c>
      <c r="F1896" s="2">
        <f t="shared" si="303"/>
        <v>4756.2</v>
      </c>
      <c r="G1896" s="3">
        <v>1</v>
      </c>
      <c r="H1896">
        <v>2241</v>
      </c>
      <c r="I1896">
        <v>2951.6</v>
      </c>
      <c r="J1896">
        <v>26000</v>
      </c>
      <c r="K1896">
        <v>23840</v>
      </c>
      <c r="L1896" s="2">
        <v>26.228125000000002</v>
      </c>
      <c r="M1896" s="5">
        <v>585.57050000000004</v>
      </c>
      <c r="N1896" s="1">
        <v>324.7303</v>
      </c>
      <c r="O1896" s="2">
        <v>1.5</v>
      </c>
      <c r="P1896">
        <v>356</v>
      </c>
    </row>
    <row r="1897" spans="1:16" x14ac:dyDescent="0.35">
      <c r="A1897" s="4">
        <v>45200</v>
      </c>
      <c r="B1897" t="s">
        <v>16</v>
      </c>
      <c r="C1897" t="s">
        <v>15</v>
      </c>
      <c r="D1897">
        <v>0</v>
      </c>
      <c r="E1897" s="2" t="s">
        <v>27</v>
      </c>
      <c r="F1897" s="2">
        <f t="shared" si="303"/>
        <v>4756.2</v>
      </c>
      <c r="G1897" s="3">
        <v>1</v>
      </c>
      <c r="H1897">
        <v>2241</v>
      </c>
      <c r="I1897">
        <v>2951.6</v>
      </c>
      <c r="J1897">
        <v>26000</v>
      </c>
      <c r="K1897">
        <v>23840</v>
      </c>
      <c r="L1897" s="2">
        <v>26.228125000000002</v>
      </c>
      <c r="M1897" s="5">
        <v>585.57050000000004</v>
      </c>
      <c r="N1897" s="1">
        <v>324.7303</v>
      </c>
      <c r="O1897" s="2">
        <v>1.5</v>
      </c>
      <c r="P1897">
        <v>356</v>
      </c>
    </row>
    <row r="1898" spans="1:16" x14ac:dyDescent="0.35">
      <c r="A1898" s="4">
        <v>45200</v>
      </c>
      <c r="B1898" t="s">
        <v>17</v>
      </c>
      <c r="C1898" t="s">
        <v>10</v>
      </c>
      <c r="D1898">
        <v>1</v>
      </c>
      <c r="E1898" s="2">
        <f>(3925+3833+3666+3716+3866)/5</f>
        <v>3801.2</v>
      </c>
      <c r="F1898" s="2">
        <f>(3914+3782.2+3858.8+3888.8+3902.2)/5</f>
        <v>3869.2</v>
      </c>
      <c r="G1898" s="3">
        <v>1</v>
      </c>
      <c r="H1898">
        <v>2241</v>
      </c>
      <c r="I1898">
        <v>2951.6</v>
      </c>
      <c r="J1898">
        <v>26000</v>
      </c>
      <c r="K1898">
        <v>23840</v>
      </c>
      <c r="L1898" s="2">
        <v>26.228125000000002</v>
      </c>
      <c r="M1898" s="5">
        <v>585.57050000000004</v>
      </c>
      <c r="N1898" s="1">
        <v>324.7303</v>
      </c>
      <c r="O1898" s="2">
        <v>1.5</v>
      </c>
      <c r="P1898">
        <v>356</v>
      </c>
    </row>
    <row r="1899" spans="1:16" x14ac:dyDescent="0.35">
      <c r="A1899" s="4">
        <v>45200</v>
      </c>
      <c r="B1899" t="s">
        <v>17</v>
      </c>
      <c r="C1899" t="s">
        <v>11</v>
      </c>
      <c r="D1899">
        <v>1</v>
      </c>
      <c r="E1899" s="2">
        <v>3840</v>
      </c>
      <c r="F1899" s="2">
        <f t="shared" ref="F1899:F1903" si="304">(3914+3782.2+3858.8+3888.8+3902.2)/5</f>
        <v>3869.2</v>
      </c>
      <c r="G1899" s="3">
        <v>1</v>
      </c>
      <c r="H1899">
        <v>2241</v>
      </c>
      <c r="I1899">
        <v>2951.6</v>
      </c>
      <c r="J1899">
        <v>26000</v>
      </c>
      <c r="K1899">
        <v>23840</v>
      </c>
      <c r="L1899" s="2">
        <v>26.228125000000002</v>
      </c>
      <c r="M1899" s="5">
        <v>585.57050000000004</v>
      </c>
      <c r="N1899" s="1">
        <v>324.7303</v>
      </c>
      <c r="O1899" s="2">
        <v>1.5</v>
      </c>
      <c r="P1899">
        <v>356</v>
      </c>
    </row>
    <row r="1900" spans="1:16" x14ac:dyDescent="0.35">
      <c r="A1900" s="4">
        <v>45200</v>
      </c>
      <c r="B1900" t="s">
        <v>17</v>
      </c>
      <c r="C1900" t="s">
        <v>12</v>
      </c>
      <c r="D1900">
        <v>1</v>
      </c>
      <c r="E1900" s="2">
        <v>4395</v>
      </c>
      <c r="F1900" s="2">
        <f t="shared" si="304"/>
        <v>3869.2</v>
      </c>
      <c r="G1900" s="3">
        <v>1</v>
      </c>
      <c r="H1900">
        <v>2241</v>
      </c>
      <c r="I1900">
        <v>2951.6</v>
      </c>
      <c r="J1900">
        <v>26000</v>
      </c>
      <c r="K1900">
        <v>23840</v>
      </c>
      <c r="L1900" s="2">
        <v>26.228125000000002</v>
      </c>
      <c r="M1900" s="5">
        <v>585.57050000000004</v>
      </c>
      <c r="N1900" s="1">
        <v>324.7303</v>
      </c>
      <c r="O1900" s="2">
        <v>1.5</v>
      </c>
      <c r="P1900">
        <v>356</v>
      </c>
    </row>
    <row r="1901" spans="1:16" x14ac:dyDescent="0.35">
      <c r="A1901" s="4">
        <v>45200</v>
      </c>
      <c r="B1901" t="s">
        <v>17</v>
      </c>
      <c r="C1901" t="s">
        <v>13</v>
      </c>
      <c r="D1901">
        <v>1</v>
      </c>
      <c r="E1901" s="2">
        <f>(3750+3350+3500*2+3550)/5</f>
        <v>3530</v>
      </c>
      <c r="F1901" s="2">
        <f t="shared" si="304"/>
        <v>3869.2</v>
      </c>
      <c r="G1901" s="3">
        <v>1</v>
      </c>
      <c r="H1901">
        <v>2241</v>
      </c>
      <c r="I1901">
        <v>2951.6</v>
      </c>
      <c r="J1901">
        <v>26000</v>
      </c>
      <c r="K1901">
        <v>23840</v>
      </c>
      <c r="L1901" s="2">
        <v>26.228125000000002</v>
      </c>
      <c r="M1901" s="5">
        <v>585.57050000000004</v>
      </c>
      <c r="N1901" s="1">
        <v>324.7303</v>
      </c>
      <c r="O1901" s="2">
        <v>1.5</v>
      </c>
      <c r="P1901">
        <v>356</v>
      </c>
    </row>
    <row r="1902" spans="1:16" x14ac:dyDescent="0.35">
      <c r="A1902" s="4">
        <v>45200</v>
      </c>
      <c r="B1902" t="s">
        <v>17</v>
      </c>
      <c r="C1902" t="s">
        <v>14</v>
      </c>
      <c r="D1902">
        <v>1</v>
      </c>
      <c r="E1902" s="2">
        <f>(3700+3934+3733*2+3800)/5</f>
        <v>3780</v>
      </c>
      <c r="F1902" s="2">
        <f t="shared" si="304"/>
        <v>3869.2</v>
      </c>
      <c r="G1902" s="3">
        <v>1</v>
      </c>
      <c r="H1902">
        <v>2241</v>
      </c>
      <c r="I1902">
        <v>2951.6</v>
      </c>
      <c r="J1902">
        <v>26000</v>
      </c>
      <c r="K1902">
        <v>23840</v>
      </c>
      <c r="L1902" s="2">
        <v>26.228125000000002</v>
      </c>
      <c r="M1902" s="5">
        <v>585.57050000000004</v>
      </c>
      <c r="N1902" s="1">
        <v>324.7303</v>
      </c>
      <c r="O1902" s="2">
        <v>1.5</v>
      </c>
      <c r="P1902">
        <v>356</v>
      </c>
    </row>
    <row r="1903" spans="1:16" x14ac:dyDescent="0.35">
      <c r="A1903" s="4">
        <v>45200</v>
      </c>
      <c r="B1903" t="s">
        <v>17</v>
      </c>
      <c r="C1903" t="s">
        <v>15</v>
      </c>
      <c r="D1903">
        <v>0</v>
      </c>
      <c r="E1903" s="2" t="s">
        <v>27</v>
      </c>
      <c r="F1903" s="2">
        <f t="shared" si="304"/>
        <v>3869.2</v>
      </c>
      <c r="G1903" s="3">
        <v>1</v>
      </c>
      <c r="H1903">
        <v>2241</v>
      </c>
      <c r="I1903">
        <v>2951.6</v>
      </c>
      <c r="J1903">
        <v>26000</v>
      </c>
      <c r="K1903">
        <v>23840</v>
      </c>
      <c r="L1903" s="2">
        <v>26.228125000000002</v>
      </c>
      <c r="M1903" s="5">
        <v>585.57050000000004</v>
      </c>
      <c r="N1903" s="1">
        <v>324.7303</v>
      </c>
      <c r="O1903" s="2">
        <v>1.5</v>
      </c>
      <c r="P1903">
        <v>356</v>
      </c>
    </row>
    <row r="1904" spans="1:16" x14ac:dyDescent="0.35">
      <c r="A1904" s="4">
        <v>45200</v>
      </c>
      <c r="B1904" t="s">
        <v>18</v>
      </c>
      <c r="C1904" t="s">
        <v>10</v>
      </c>
      <c r="D1904">
        <v>1</v>
      </c>
      <c r="E1904" s="2">
        <f>(3366+3100+3166+3500+3475)/5</f>
        <v>3321.4</v>
      </c>
      <c r="F1904" s="2">
        <f>(3391+3333.75+3218+3224.13+3148)/5</f>
        <v>3262.9760000000001</v>
      </c>
      <c r="G1904" s="3">
        <v>1</v>
      </c>
      <c r="H1904">
        <v>2241</v>
      </c>
      <c r="I1904">
        <v>2951.6</v>
      </c>
      <c r="J1904">
        <v>26000</v>
      </c>
      <c r="K1904">
        <v>23840</v>
      </c>
      <c r="L1904" s="2">
        <v>26.228125000000002</v>
      </c>
      <c r="M1904" s="5">
        <v>585.57050000000004</v>
      </c>
      <c r="N1904" s="1">
        <v>324.7303</v>
      </c>
      <c r="O1904" s="2">
        <v>1.5</v>
      </c>
      <c r="P1904">
        <v>356</v>
      </c>
    </row>
    <row r="1905" spans="1:16" x14ac:dyDescent="0.35">
      <c r="A1905" s="4">
        <v>45200</v>
      </c>
      <c r="B1905" t="s">
        <v>18</v>
      </c>
      <c r="C1905" t="s">
        <v>11</v>
      </c>
      <c r="D1905">
        <v>1</v>
      </c>
      <c r="E1905" s="2">
        <v>3240</v>
      </c>
      <c r="F1905" s="2">
        <f t="shared" ref="F1905:F1909" si="305">(3391+3333.75+3218+3224.13+3148)/5</f>
        <v>3262.9760000000001</v>
      </c>
      <c r="G1905" s="3">
        <v>1</v>
      </c>
      <c r="H1905">
        <v>2241</v>
      </c>
      <c r="I1905">
        <v>2951.6</v>
      </c>
      <c r="J1905">
        <v>26000</v>
      </c>
      <c r="K1905">
        <v>23840</v>
      </c>
      <c r="L1905" s="2">
        <v>26.228125000000002</v>
      </c>
      <c r="M1905" s="5">
        <v>585.57050000000004</v>
      </c>
      <c r="N1905" s="1">
        <v>324.7303</v>
      </c>
      <c r="O1905" s="2">
        <v>1.5</v>
      </c>
      <c r="P1905">
        <v>356</v>
      </c>
    </row>
    <row r="1906" spans="1:16" x14ac:dyDescent="0.35">
      <c r="A1906" s="4">
        <v>45200</v>
      </c>
      <c r="B1906" t="s">
        <v>18</v>
      </c>
      <c r="C1906" t="s">
        <v>12</v>
      </c>
      <c r="D1906">
        <v>1</v>
      </c>
      <c r="E1906" s="2">
        <v>3295</v>
      </c>
      <c r="F1906" s="2">
        <f t="shared" si="305"/>
        <v>3262.9760000000001</v>
      </c>
      <c r="G1906" s="3">
        <v>1</v>
      </c>
      <c r="H1906">
        <v>2241</v>
      </c>
      <c r="I1906">
        <v>2951.6</v>
      </c>
      <c r="J1906">
        <v>26000</v>
      </c>
      <c r="K1906">
        <v>23840</v>
      </c>
      <c r="L1906" s="2">
        <v>26.228125000000002</v>
      </c>
      <c r="M1906" s="5">
        <v>585.57050000000004</v>
      </c>
      <c r="N1906" s="1">
        <v>324.7303</v>
      </c>
      <c r="O1906" s="2">
        <v>1.5</v>
      </c>
      <c r="P1906">
        <v>356</v>
      </c>
    </row>
    <row r="1907" spans="1:16" x14ac:dyDescent="0.35">
      <c r="A1907" s="4">
        <v>45200</v>
      </c>
      <c r="B1907" t="s">
        <v>18</v>
      </c>
      <c r="C1907" t="s">
        <v>13</v>
      </c>
      <c r="D1907">
        <v>1</v>
      </c>
      <c r="E1907" s="2">
        <f>(3300+2925+3050*2+2875)/5</f>
        <v>3040</v>
      </c>
      <c r="F1907" s="2">
        <f t="shared" si="305"/>
        <v>3262.9760000000001</v>
      </c>
      <c r="G1907" s="3">
        <v>1</v>
      </c>
      <c r="H1907">
        <v>2241</v>
      </c>
      <c r="I1907">
        <v>2951.6</v>
      </c>
      <c r="J1907">
        <v>26000</v>
      </c>
      <c r="K1907">
        <v>23840</v>
      </c>
      <c r="L1907" s="2">
        <v>26.228125000000002</v>
      </c>
      <c r="M1907" s="5">
        <v>585.57050000000004</v>
      </c>
      <c r="N1907" s="1">
        <v>324.7303</v>
      </c>
      <c r="O1907" s="2">
        <v>1.5</v>
      </c>
      <c r="P1907">
        <v>356</v>
      </c>
    </row>
    <row r="1908" spans="1:16" x14ac:dyDescent="0.35">
      <c r="A1908" s="4">
        <v>45200</v>
      </c>
      <c r="B1908" t="s">
        <v>18</v>
      </c>
      <c r="C1908" t="s">
        <v>14</v>
      </c>
      <c r="D1908">
        <v>1</v>
      </c>
      <c r="E1908" s="2">
        <f>(3200+3233+3133+3400+3267)/5</f>
        <v>3246.6</v>
      </c>
      <c r="F1908" s="2">
        <f t="shared" si="305"/>
        <v>3262.9760000000001</v>
      </c>
      <c r="G1908" s="3">
        <v>1</v>
      </c>
      <c r="H1908">
        <v>2241</v>
      </c>
      <c r="I1908">
        <v>2951.6</v>
      </c>
      <c r="J1908">
        <v>26000</v>
      </c>
      <c r="K1908">
        <v>23840</v>
      </c>
      <c r="L1908" s="2">
        <v>26.228125000000002</v>
      </c>
      <c r="M1908" s="5">
        <v>585.57050000000004</v>
      </c>
      <c r="N1908" s="1">
        <v>324.7303</v>
      </c>
      <c r="O1908" s="2">
        <v>1.5</v>
      </c>
      <c r="P1908">
        <v>356</v>
      </c>
    </row>
    <row r="1909" spans="1:16" x14ac:dyDescent="0.35">
      <c r="A1909" s="4">
        <v>45200</v>
      </c>
      <c r="B1909" t="s">
        <v>18</v>
      </c>
      <c r="C1909" t="s">
        <v>15</v>
      </c>
      <c r="D1909">
        <v>1</v>
      </c>
      <c r="E1909" s="2">
        <f>(3000*2+3050+3250+3200)/5</f>
        <v>3100</v>
      </c>
      <c r="F1909" s="2">
        <f t="shared" si="305"/>
        <v>3262.9760000000001</v>
      </c>
      <c r="G1909" s="3">
        <v>1</v>
      </c>
      <c r="H1909">
        <v>2241</v>
      </c>
      <c r="I1909">
        <v>2951.6</v>
      </c>
      <c r="J1909">
        <v>26000</v>
      </c>
      <c r="K1909">
        <v>23840</v>
      </c>
      <c r="L1909" s="2">
        <v>26.228125000000002</v>
      </c>
      <c r="M1909" s="5">
        <v>585.57050000000004</v>
      </c>
      <c r="N1909" s="1">
        <v>324.7303</v>
      </c>
      <c r="O1909" s="2">
        <v>1.5</v>
      </c>
      <c r="P1909">
        <v>356</v>
      </c>
    </row>
    <row r="1910" spans="1:16" x14ac:dyDescent="0.35">
      <c r="A1910" s="4">
        <v>45200</v>
      </c>
      <c r="B1910" t="s">
        <v>19</v>
      </c>
      <c r="C1910" t="s">
        <v>10</v>
      </c>
      <c r="D1910">
        <v>1</v>
      </c>
      <c r="E1910" s="2">
        <f>(2783+2933+2866*2+2750)/5</f>
        <v>2839.6</v>
      </c>
      <c r="F1910" s="2">
        <f>(2965+2981+2980.63+2942.25+2857.88)/5</f>
        <v>2945.3520000000003</v>
      </c>
      <c r="G1910" s="3">
        <v>1</v>
      </c>
      <c r="H1910">
        <v>2241</v>
      </c>
      <c r="I1910">
        <v>2951.6</v>
      </c>
      <c r="J1910">
        <v>26000</v>
      </c>
      <c r="K1910">
        <v>23840</v>
      </c>
      <c r="L1910" s="2">
        <v>26.228125000000002</v>
      </c>
      <c r="M1910" s="5">
        <v>585.57050000000004</v>
      </c>
      <c r="N1910" s="1">
        <v>324.7303</v>
      </c>
      <c r="O1910" s="2">
        <v>1.5</v>
      </c>
      <c r="P1910">
        <v>356</v>
      </c>
    </row>
    <row r="1911" spans="1:16" x14ac:dyDescent="0.35">
      <c r="A1911" s="4">
        <v>45200</v>
      </c>
      <c r="B1911" t="s">
        <v>19</v>
      </c>
      <c r="C1911" t="s">
        <v>11</v>
      </c>
      <c r="D1911">
        <v>1</v>
      </c>
      <c r="E1911" s="2">
        <v>3000</v>
      </c>
      <c r="F1911" s="2">
        <f t="shared" ref="F1911:F1915" si="306">(2965+2981+2980.63+2942.25+2857.88)/5</f>
        <v>2945.3520000000003</v>
      </c>
      <c r="G1911" s="3">
        <v>1</v>
      </c>
      <c r="H1911">
        <v>2241</v>
      </c>
      <c r="I1911">
        <v>2951.6</v>
      </c>
      <c r="J1911">
        <v>26000</v>
      </c>
      <c r="K1911">
        <v>23840</v>
      </c>
      <c r="L1911" s="2">
        <v>26.228125000000002</v>
      </c>
      <c r="M1911" s="5">
        <v>585.57050000000004</v>
      </c>
      <c r="N1911" s="1">
        <v>324.7303</v>
      </c>
      <c r="O1911" s="2">
        <v>1.5</v>
      </c>
      <c r="P1911">
        <v>356</v>
      </c>
    </row>
    <row r="1912" spans="1:16" x14ac:dyDescent="0.35">
      <c r="A1912" s="4">
        <v>45200</v>
      </c>
      <c r="B1912" t="s">
        <v>19</v>
      </c>
      <c r="C1912" t="s">
        <v>12</v>
      </c>
      <c r="D1912">
        <v>1</v>
      </c>
      <c r="E1912" s="2">
        <v>2980</v>
      </c>
      <c r="F1912" s="2">
        <f t="shared" si="306"/>
        <v>2945.3520000000003</v>
      </c>
      <c r="G1912" s="3">
        <v>1</v>
      </c>
      <c r="H1912">
        <v>2241</v>
      </c>
      <c r="I1912">
        <v>2951.6</v>
      </c>
      <c r="J1912">
        <v>26000</v>
      </c>
      <c r="K1912">
        <v>23840</v>
      </c>
      <c r="L1912" s="2">
        <v>26.228125000000002</v>
      </c>
      <c r="M1912" s="5">
        <v>585.57050000000004</v>
      </c>
      <c r="N1912" s="1">
        <v>324.7303</v>
      </c>
      <c r="O1912" s="2">
        <v>1.5</v>
      </c>
      <c r="P1912">
        <v>356</v>
      </c>
    </row>
    <row r="1913" spans="1:16" x14ac:dyDescent="0.35">
      <c r="A1913" s="4">
        <v>45200</v>
      </c>
      <c r="B1913" t="s">
        <v>19</v>
      </c>
      <c r="C1913" t="s">
        <v>13</v>
      </c>
      <c r="D1913">
        <v>1</v>
      </c>
      <c r="E1913" s="2">
        <f>(2775+2850*2+2800+2950)/5</f>
        <v>2845</v>
      </c>
      <c r="F1913" s="2">
        <f t="shared" si="306"/>
        <v>2945.3520000000003</v>
      </c>
      <c r="G1913" s="3">
        <v>1</v>
      </c>
      <c r="H1913">
        <v>2241</v>
      </c>
      <c r="I1913">
        <v>2951.6</v>
      </c>
      <c r="J1913">
        <v>26000</v>
      </c>
      <c r="K1913">
        <v>23840</v>
      </c>
      <c r="L1913" s="2">
        <v>26.228125000000002</v>
      </c>
      <c r="M1913" s="5">
        <v>585.57050000000004</v>
      </c>
      <c r="N1913" s="1">
        <v>324.7303</v>
      </c>
      <c r="O1913" s="2">
        <v>1.5</v>
      </c>
      <c r="P1913">
        <v>356</v>
      </c>
    </row>
    <row r="1914" spans="1:16" x14ac:dyDescent="0.35">
      <c r="A1914" s="4">
        <v>45200</v>
      </c>
      <c r="B1914" t="s">
        <v>19</v>
      </c>
      <c r="C1914" t="s">
        <v>14</v>
      </c>
      <c r="D1914">
        <v>1</v>
      </c>
      <c r="E1914" s="2">
        <f>(2990+2983+2914+2925+2975)/5</f>
        <v>2957.4</v>
      </c>
      <c r="F1914" s="2">
        <f t="shared" si="306"/>
        <v>2945.3520000000003</v>
      </c>
      <c r="G1914" s="3">
        <v>1</v>
      </c>
      <c r="H1914">
        <v>2241</v>
      </c>
      <c r="I1914">
        <v>2951.6</v>
      </c>
      <c r="J1914">
        <v>26000</v>
      </c>
      <c r="K1914">
        <v>23840</v>
      </c>
      <c r="L1914" s="2">
        <v>26.228125000000002</v>
      </c>
      <c r="M1914" s="5">
        <v>585.57050000000004</v>
      </c>
      <c r="N1914" s="1">
        <v>324.7303</v>
      </c>
      <c r="O1914" s="2">
        <v>1.5</v>
      </c>
      <c r="P1914">
        <v>356</v>
      </c>
    </row>
    <row r="1915" spans="1:16" x14ac:dyDescent="0.35">
      <c r="A1915" s="4">
        <v>45200</v>
      </c>
      <c r="B1915" t="s">
        <v>19</v>
      </c>
      <c r="C1915" t="s">
        <v>15</v>
      </c>
      <c r="D1915">
        <v>1</v>
      </c>
      <c r="E1915" s="2">
        <f>(2825*2+2900*2+2850)/5</f>
        <v>2860</v>
      </c>
      <c r="F1915" s="2">
        <f t="shared" si="306"/>
        <v>2945.3520000000003</v>
      </c>
      <c r="G1915" s="3">
        <v>1</v>
      </c>
      <c r="H1915">
        <v>2241</v>
      </c>
      <c r="I1915">
        <v>2951.6</v>
      </c>
      <c r="J1915">
        <v>26000</v>
      </c>
      <c r="K1915">
        <v>23840</v>
      </c>
      <c r="L1915" s="2">
        <v>26.228125000000002</v>
      </c>
      <c r="M1915" s="5">
        <v>585.57050000000004</v>
      </c>
      <c r="N1915" s="1">
        <v>324.7303</v>
      </c>
      <c r="O1915" s="2">
        <v>1.5</v>
      </c>
      <c r="P1915">
        <v>356</v>
      </c>
    </row>
    <row r="1916" spans="1:16" x14ac:dyDescent="0.35">
      <c r="A1916" s="4">
        <v>45200</v>
      </c>
      <c r="B1916" t="s">
        <v>20</v>
      </c>
      <c r="C1916" t="s">
        <v>10</v>
      </c>
      <c r="D1916">
        <v>1</v>
      </c>
      <c r="E1916" s="2">
        <f>(2366+2650+2533+2450+2462)/5</f>
        <v>2492.1999999999998</v>
      </c>
      <c r="F1916" s="2">
        <f>(2627.38+2571.25+2574.75+2564.38+2473)/5</f>
        <v>2562.152</v>
      </c>
      <c r="G1916" s="3">
        <v>1</v>
      </c>
      <c r="H1916">
        <v>2241</v>
      </c>
      <c r="I1916">
        <v>2951.6</v>
      </c>
      <c r="J1916">
        <v>26000</v>
      </c>
      <c r="K1916">
        <v>23840</v>
      </c>
      <c r="L1916" s="2">
        <v>26.228125000000002</v>
      </c>
      <c r="M1916" s="5">
        <v>585.57050000000004</v>
      </c>
      <c r="N1916" s="1">
        <v>324.7303</v>
      </c>
      <c r="O1916" s="2">
        <v>1.5</v>
      </c>
      <c r="P1916">
        <v>356</v>
      </c>
    </row>
    <row r="1917" spans="1:16" x14ac:dyDescent="0.35">
      <c r="A1917" s="4">
        <v>45200</v>
      </c>
      <c r="B1917" t="s">
        <v>20</v>
      </c>
      <c r="C1917" t="s">
        <v>11</v>
      </c>
      <c r="D1917">
        <v>1</v>
      </c>
      <c r="E1917" s="2">
        <v>2600</v>
      </c>
      <c r="F1917" s="2">
        <f t="shared" ref="F1917:F1921" si="307">(2627.38+2571.25+2574.75+2564.38+2473)/5</f>
        <v>2562.152</v>
      </c>
      <c r="G1917" s="3">
        <v>1</v>
      </c>
      <c r="H1917">
        <v>2241</v>
      </c>
      <c r="I1917">
        <v>2951.6</v>
      </c>
      <c r="J1917">
        <v>26000</v>
      </c>
      <c r="K1917">
        <v>23840</v>
      </c>
      <c r="L1917" s="2">
        <v>26.228125000000002</v>
      </c>
      <c r="M1917" s="5">
        <v>585.57050000000004</v>
      </c>
      <c r="N1917" s="1">
        <v>324.7303</v>
      </c>
      <c r="O1917" s="2">
        <v>1.5</v>
      </c>
      <c r="P1917">
        <v>356</v>
      </c>
    </row>
    <row r="1918" spans="1:16" x14ac:dyDescent="0.35">
      <c r="A1918" s="4">
        <v>45200</v>
      </c>
      <c r="B1918" t="s">
        <v>20</v>
      </c>
      <c r="C1918" t="s">
        <v>12</v>
      </c>
      <c r="D1918">
        <v>1</v>
      </c>
      <c r="E1918" s="2">
        <v>2195</v>
      </c>
      <c r="F1918" s="2">
        <f t="shared" si="307"/>
        <v>2562.152</v>
      </c>
      <c r="G1918" s="3">
        <v>1</v>
      </c>
      <c r="H1918">
        <v>2241</v>
      </c>
      <c r="I1918">
        <v>2951.6</v>
      </c>
      <c r="J1918">
        <v>26000</v>
      </c>
      <c r="K1918">
        <v>23840</v>
      </c>
      <c r="L1918" s="2">
        <v>26.228125000000002</v>
      </c>
      <c r="M1918" s="5">
        <v>585.57050000000004</v>
      </c>
      <c r="N1918" s="1">
        <v>324.7303</v>
      </c>
      <c r="O1918" s="2">
        <v>1.5</v>
      </c>
      <c r="P1918">
        <v>356</v>
      </c>
    </row>
    <row r="1919" spans="1:16" x14ac:dyDescent="0.35">
      <c r="A1919" s="4">
        <v>45200</v>
      </c>
      <c r="B1919" t="s">
        <v>20</v>
      </c>
      <c r="C1919" t="s">
        <v>13</v>
      </c>
      <c r="D1919">
        <v>1</v>
      </c>
      <c r="E1919" s="2">
        <f>(2750+2550*2+2575*2)/5</f>
        <v>2600</v>
      </c>
      <c r="F1919" s="2">
        <f t="shared" si="307"/>
        <v>2562.152</v>
      </c>
      <c r="G1919" s="3">
        <v>1</v>
      </c>
      <c r="H1919">
        <v>2241</v>
      </c>
      <c r="I1919">
        <v>2951.6</v>
      </c>
      <c r="J1919">
        <v>26000</v>
      </c>
      <c r="K1919">
        <v>23840</v>
      </c>
      <c r="L1919" s="2">
        <v>26.228125000000002</v>
      </c>
      <c r="M1919" s="5">
        <v>585.57050000000004</v>
      </c>
      <c r="N1919" s="1">
        <v>324.7303</v>
      </c>
      <c r="O1919" s="2">
        <v>1.5</v>
      </c>
      <c r="P1919">
        <v>356</v>
      </c>
    </row>
    <row r="1920" spans="1:16" x14ac:dyDescent="0.35">
      <c r="A1920" s="4">
        <v>45200</v>
      </c>
      <c r="B1920" t="s">
        <v>20</v>
      </c>
      <c r="C1920" t="s">
        <v>14</v>
      </c>
      <c r="D1920">
        <v>1</v>
      </c>
      <c r="E1920" s="2">
        <f>(2667+2700+2670*2+2625)/5</f>
        <v>2666.4</v>
      </c>
      <c r="F1920" s="2">
        <f t="shared" si="307"/>
        <v>2562.152</v>
      </c>
      <c r="G1920" s="3">
        <v>1</v>
      </c>
      <c r="H1920">
        <v>2241</v>
      </c>
      <c r="I1920">
        <v>2951.6</v>
      </c>
      <c r="J1920">
        <v>26000</v>
      </c>
      <c r="K1920">
        <v>23840</v>
      </c>
      <c r="L1920" s="2">
        <v>26.228125000000002</v>
      </c>
      <c r="M1920" s="5">
        <v>585.57050000000004</v>
      </c>
      <c r="N1920" s="1">
        <v>324.7303</v>
      </c>
      <c r="O1920" s="2">
        <v>1.5</v>
      </c>
      <c r="P1920">
        <v>356</v>
      </c>
    </row>
    <row r="1921" spans="1:16" x14ac:dyDescent="0.35">
      <c r="A1921" s="4">
        <v>45200</v>
      </c>
      <c r="B1921" t="s">
        <v>20</v>
      </c>
      <c r="C1921" t="s">
        <v>15</v>
      </c>
      <c r="D1921">
        <v>1</v>
      </c>
      <c r="E1921" s="2">
        <v>2630</v>
      </c>
      <c r="F1921" s="2">
        <f t="shared" si="307"/>
        <v>2562.152</v>
      </c>
      <c r="G1921" s="3">
        <v>1</v>
      </c>
      <c r="H1921">
        <v>2241</v>
      </c>
      <c r="I1921">
        <v>2951.6</v>
      </c>
      <c r="J1921">
        <v>26000</v>
      </c>
      <c r="K1921">
        <v>23840</v>
      </c>
      <c r="L1921" s="2">
        <v>26.228125000000002</v>
      </c>
      <c r="M1921" s="5">
        <v>585.57050000000004</v>
      </c>
      <c r="N1921" s="1">
        <v>324.7303</v>
      </c>
      <c r="O1921" s="2">
        <v>1.5</v>
      </c>
      <c r="P1921">
        <v>356</v>
      </c>
    </row>
    <row r="1922" spans="1:16" x14ac:dyDescent="0.35">
      <c r="A1922" s="4">
        <v>45200</v>
      </c>
      <c r="B1922" t="s">
        <v>21</v>
      </c>
      <c r="C1922" t="s">
        <v>10</v>
      </c>
      <c r="D1922">
        <v>1</v>
      </c>
      <c r="E1922" s="2">
        <f>(2133+2500+2166+2266+2250)/5</f>
        <v>2263</v>
      </c>
      <c r="F1922" s="2">
        <f>(2464.63+2419+2390.25+2408.88+2329.71)/5</f>
        <v>2402.4940000000001</v>
      </c>
      <c r="G1922" s="3">
        <v>1</v>
      </c>
      <c r="H1922">
        <v>2241</v>
      </c>
      <c r="I1922">
        <v>2951.6</v>
      </c>
      <c r="J1922">
        <v>26000</v>
      </c>
      <c r="K1922">
        <v>23840</v>
      </c>
      <c r="L1922" s="2">
        <v>26.228125000000002</v>
      </c>
      <c r="M1922" s="5">
        <v>585.57050000000004</v>
      </c>
      <c r="N1922" s="1">
        <v>324.7303</v>
      </c>
      <c r="O1922" s="2">
        <v>1.5</v>
      </c>
      <c r="P1922">
        <v>356</v>
      </c>
    </row>
    <row r="1923" spans="1:16" x14ac:dyDescent="0.35">
      <c r="A1923" s="4">
        <v>45200</v>
      </c>
      <c r="B1923" t="s">
        <v>21</v>
      </c>
      <c r="C1923" t="s">
        <v>11</v>
      </c>
      <c r="D1923">
        <v>1</v>
      </c>
      <c r="E1923" s="2">
        <v>2440</v>
      </c>
      <c r="F1923" s="2">
        <f t="shared" ref="F1923:F1927" si="308">(2464.63+2419+2390.25+2408.88+2329.71)/5</f>
        <v>2402.4940000000001</v>
      </c>
      <c r="G1923" s="3">
        <v>1</v>
      </c>
      <c r="H1923">
        <v>2241</v>
      </c>
      <c r="I1923">
        <v>2951.6</v>
      </c>
      <c r="J1923">
        <v>26000</v>
      </c>
      <c r="K1923">
        <v>23840</v>
      </c>
      <c r="L1923" s="2">
        <v>26.228125000000002</v>
      </c>
      <c r="M1923" s="5">
        <v>585.57050000000004</v>
      </c>
      <c r="N1923" s="1">
        <v>324.7303</v>
      </c>
      <c r="O1923" s="2">
        <v>1.5</v>
      </c>
      <c r="P1923">
        <v>356</v>
      </c>
    </row>
    <row r="1924" spans="1:16" x14ac:dyDescent="0.35">
      <c r="A1924" s="4">
        <v>45200</v>
      </c>
      <c r="B1924" t="s">
        <v>21</v>
      </c>
      <c r="C1924" t="s">
        <v>12</v>
      </c>
      <c r="D1924">
        <v>1</v>
      </c>
      <c r="E1924" s="2">
        <v>2100</v>
      </c>
      <c r="F1924" s="2">
        <f t="shared" si="308"/>
        <v>2402.4940000000001</v>
      </c>
      <c r="G1924" s="3">
        <v>1</v>
      </c>
      <c r="H1924">
        <v>2241</v>
      </c>
      <c r="I1924">
        <v>2951.6</v>
      </c>
      <c r="J1924">
        <v>26000</v>
      </c>
      <c r="K1924">
        <v>23840</v>
      </c>
      <c r="L1924" s="2">
        <v>26.228125000000002</v>
      </c>
      <c r="M1924" s="5">
        <v>585.57050000000004</v>
      </c>
      <c r="N1924" s="1">
        <v>324.7303</v>
      </c>
      <c r="O1924" s="2">
        <v>1.5</v>
      </c>
      <c r="P1924">
        <v>356</v>
      </c>
    </row>
    <row r="1925" spans="1:16" x14ac:dyDescent="0.35">
      <c r="A1925" s="4">
        <v>45200</v>
      </c>
      <c r="B1925" t="s">
        <v>21</v>
      </c>
      <c r="C1925" t="s">
        <v>13</v>
      </c>
      <c r="D1925">
        <v>1</v>
      </c>
      <c r="E1925" s="2">
        <v>2500</v>
      </c>
      <c r="F1925" s="2">
        <f t="shared" si="308"/>
        <v>2402.4940000000001</v>
      </c>
      <c r="G1925" s="3">
        <v>1</v>
      </c>
      <c r="H1925">
        <v>2241</v>
      </c>
      <c r="I1925">
        <v>2951.6</v>
      </c>
      <c r="J1925">
        <v>26000</v>
      </c>
      <c r="K1925">
        <v>23840</v>
      </c>
      <c r="L1925" s="2">
        <v>26.228125000000002</v>
      </c>
      <c r="M1925" s="5">
        <v>585.57050000000004</v>
      </c>
      <c r="N1925" s="1">
        <v>324.7303</v>
      </c>
      <c r="O1925" s="2">
        <v>1.5</v>
      </c>
      <c r="P1925">
        <v>356</v>
      </c>
    </row>
    <row r="1926" spans="1:16" x14ac:dyDescent="0.35">
      <c r="A1926" s="4">
        <v>45200</v>
      </c>
      <c r="B1926" t="s">
        <v>21</v>
      </c>
      <c r="C1926" t="s">
        <v>14</v>
      </c>
      <c r="D1926">
        <v>1</v>
      </c>
      <c r="E1926" s="2">
        <f>(2467+2486+2506+2446+2400)/5</f>
        <v>2461</v>
      </c>
      <c r="F1926" s="2">
        <f t="shared" si="308"/>
        <v>2402.4940000000001</v>
      </c>
      <c r="G1926" s="3">
        <v>1</v>
      </c>
      <c r="H1926">
        <v>2241</v>
      </c>
      <c r="I1926">
        <v>2951.6</v>
      </c>
      <c r="J1926">
        <v>26000</v>
      </c>
      <c r="K1926">
        <v>23840</v>
      </c>
      <c r="L1926" s="2">
        <v>26.228125000000002</v>
      </c>
      <c r="M1926" s="5">
        <v>585.57050000000004</v>
      </c>
      <c r="N1926" s="1">
        <v>324.7303</v>
      </c>
      <c r="O1926" s="2">
        <v>1.5</v>
      </c>
      <c r="P1926">
        <v>356</v>
      </c>
    </row>
    <row r="1927" spans="1:16" x14ac:dyDescent="0.35">
      <c r="A1927" s="4">
        <v>45200</v>
      </c>
      <c r="B1927" t="s">
        <v>21</v>
      </c>
      <c r="C1927" t="s">
        <v>15</v>
      </c>
      <c r="D1927">
        <v>1</v>
      </c>
      <c r="E1927" s="2">
        <v>2540</v>
      </c>
      <c r="F1927" s="2">
        <f t="shared" si="308"/>
        <v>2402.4940000000001</v>
      </c>
      <c r="G1927" s="3">
        <v>1</v>
      </c>
      <c r="H1927">
        <v>2241</v>
      </c>
      <c r="I1927">
        <v>2951.6</v>
      </c>
      <c r="J1927">
        <v>26000</v>
      </c>
      <c r="K1927">
        <v>23840</v>
      </c>
      <c r="L1927" s="2">
        <v>26.228125000000002</v>
      </c>
      <c r="M1927" s="5">
        <v>585.57050000000004</v>
      </c>
      <c r="N1927" s="1">
        <v>324.7303</v>
      </c>
      <c r="O1927" s="2">
        <v>1.5</v>
      </c>
      <c r="P1927">
        <v>356</v>
      </c>
    </row>
    <row r="1928" spans="1:16" x14ac:dyDescent="0.35">
      <c r="A1928" s="4">
        <v>45200</v>
      </c>
      <c r="B1928" t="s">
        <v>22</v>
      </c>
      <c r="C1928" t="s">
        <v>10</v>
      </c>
      <c r="D1928">
        <v>0</v>
      </c>
      <c r="E1928" s="2" t="s">
        <v>27</v>
      </c>
      <c r="F1928" s="2">
        <f t="shared" ref="F1928:F1931" si="309">(1950+1960+2060+2050+2000)/5</f>
        <v>2004</v>
      </c>
      <c r="G1928" s="3">
        <v>1</v>
      </c>
      <c r="H1928">
        <v>2241</v>
      </c>
      <c r="I1928">
        <v>2951.6</v>
      </c>
      <c r="J1928">
        <v>26000</v>
      </c>
      <c r="K1928">
        <v>23840</v>
      </c>
      <c r="L1928" s="2">
        <v>26.228125000000002</v>
      </c>
      <c r="M1928" s="5">
        <v>585.57050000000004</v>
      </c>
      <c r="N1928" s="1">
        <v>324.7303</v>
      </c>
      <c r="O1928" s="2">
        <v>1.5</v>
      </c>
      <c r="P1928">
        <v>356</v>
      </c>
    </row>
    <row r="1929" spans="1:16" x14ac:dyDescent="0.35">
      <c r="A1929" s="4">
        <v>45200</v>
      </c>
      <c r="B1929" t="s">
        <v>22</v>
      </c>
      <c r="C1929" t="s">
        <v>11</v>
      </c>
      <c r="D1929">
        <v>0</v>
      </c>
      <c r="E1929" s="2" t="s">
        <v>27</v>
      </c>
      <c r="F1929" s="2">
        <f t="shared" si="309"/>
        <v>2004</v>
      </c>
      <c r="G1929" s="3">
        <v>1</v>
      </c>
      <c r="H1929">
        <v>2241</v>
      </c>
      <c r="I1929">
        <v>2951.6</v>
      </c>
      <c r="J1929">
        <v>26000</v>
      </c>
      <c r="K1929">
        <v>23840</v>
      </c>
      <c r="L1929" s="2">
        <v>26.228125000000002</v>
      </c>
      <c r="M1929" s="5">
        <v>585.57050000000004</v>
      </c>
      <c r="N1929" s="1">
        <v>324.7303</v>
      </c>
      <c r="O1929" s="2">
        <v>1.5</v>
      </c>
      <c r="P1929">
        <v>356</v>
      </c>
    </row>
    <row r="1930" spans="1:16" x14ac:dyDescent="0.35">
      <c r="A1930" s="4">
        <v>45200</v>
      </c>
      <c r="B1930" t="s">
        <v>22</v>
      </c>
      <c r="C1930" t="s">
        <v>12</v>
      </c>
      <c r="D1930">
        <v>0</v>
      </c>
      <c r="E1930" s="2" t="s">
        <v>27</v>
      </c>
      <c r="F1930" s="2">
        <f t="shared" si="309"/>
        <v>2004</v>
      </c>
      <c r="G1930" s="3">
        <v>1</v>
      </c>
      <c r="H1930">
        <v>2241</v>
      </c>
      <c r="I1930">
        <v>2951.6</v>
      </c>
      <c r="J1930">
        <v>26000</v>
      </c>
      <c r="K1930">
        <v>23840</v>
      </c>
      <c r="L1930" s="2">
        <v>26.228125000000002</v>
      </c>
      <c r="M1930" s="5">
        <v>585.57050000000004</v>
      </c>
      <c r="N1930" s="1">
        <v>324.7303</v>
      </c>
      <c r="O1930" s="2">
        <v>1.5</v>
      </c>
      <c r="P1930">
        <v>356</v>
      </c>
    </row>
    <row r="1931" spans="1:16" x14ac:dyDescent="0.35">
      <c r="A1931" s="4">
        <v>45200</v>
      </c>
      <c r="B1931" t="s">
        <v>22</v>
      </c>
      <c r="C1931" t="s">
        <v>13</v>
      </c>
      <c r="D1931">
        <v>0</v>
      </c>
      <c r="E1931" s="2" t="s">
        <v>27</v>
      </c>
      <c r="F1931" s="2">
        <f t="shared" si="309"/>
        <v>2004</v>
      </c>
      <c r="G1931" s="3">
        <v>1</v>
      </c>
      <c r="H1931">
        <v>2241</v>
      </c>
      <c r="I1931">
        <v>2951.6</v>
      </c>
      <c r="J1931">
        <v>26000</v>
      </c>
      <c r="K1931">
        <v>23840</v>
      </c>
      <c r="L1931" s="2">
        <v>26.228125000000002</v>
      </c>
      <c r="M1931" s="5">
        <v>585.57050000000004</v>
      </c>
      <c r="N1931" s="1">
        <v>324.7303</v>
      </c>
      <c r="O1931" s="2">
        <v>1.5</v>
      </c>
      <c r="P1931">
        <v>356</v>
      </c>
    </row>
    <row r="1932" spans="1:16" x14ac:dyDescent="0.35">
      <c r="A1932" s="4">
        <v>45200</v>
      </c>
      <c r="B1932" t="s">
        <v>22</v>
      </c>
      <c r="C1932" t="s">
        <v>14</v>
      </c>
      <c r="D1932">
        <v>1</v>
      </c>
      <c r="E1932" s="2">
        <f>(1950+1960+2060+2050+2000)/5</f>
        <v>2004</v>
      </c>
      <c r="F1932" s="2">
        <f>(1950+1960+2060+2050+2000)/5</f>
        <v>2004</v>
      </c>
      <c r="G1932" s="3">
        <v>1</v>
      </c>
      <c r="H1932">
        <v>2241</v>
      </c>
      <c r="I1932">
        <v>2951.6</v>
      </c>
      <c r="J1932">
        <v>26000</v>
      </c>
      <c r="K1932">
        <v>23840</v>
      </c>
      <c r="L1932" s="2">
        <v>26.228125000000002</v>
      </c>
      <c r="M1932" s="5">
        <v>585.57050000000004</v>
      </c>
      <c r="N1932" s="1">
        <v>324.7303</v>
      </c>
      <c r="O1932" s="2">
        <v>1.5</v>
      </c>
      <c r="P1932">
        <v>356</v>
      </c>
    </row>
    <row r="1933" spans="1:16" x14ac:dyDescent="0.35">
      <c r="A1933" s="4">
        <v>45200</v>
      </c>
      <c r="B1933" t="s">
        <v>22</v>
      </c>
      <c r="C1933" t="s">
        <v>15</v>
      </c>
      <c r="D1933">
        <v>0</v>
      </c>
      <c r="E1933" s="2" t="s">
        <v>27</v>
      </c>
      <c r="F1933" s="2">
        <f>(1950+1960+2060+2050+2000)/5</f>
        <v>2004</v>
      </c>
      <c r="G1933" s="3">
        <v>1</v>
      </c>
      <c r="H1933">
        <v>2241</v>
      </c>
      <c r="I1933">
        <v>2951.6</v>
      </c>
      <c r="J1933">
        <v>26000</v>
      </c>
      <c r="K1933">
        <v>23840</v>
      </c>
      <c r="L1933" s="2">
        <v>26.228125000000002</v>
      </c>
      <c r="M1933" s="5">
        <v>585.57050000000004</v>
      </c>
      <c r="N1933" s="1">
        <v>324.7303</v>
      </c>
      <c r="O1933" s="2">
        <v>1.5</v>
      </c>
      <c r="P1933">
        <v>356</v>
      </c>
    </row>
    <row r="1934" spans="1:16" x14ac:dyDescent="0.35">
      <c r="A1934" s="4">
        <v>45231</v>
      </c>
      <c r="B1934" t="s">
        <v>16</v>
      </c>
      <c r="C1934" t="s">
        <v>10</v>
      </c>
      <c r="D1934">
        <v>1</v>
      </c>
      <c r="E1934" s="2">
        <f>(4900+4766*2+4800)/4</f>
        <v>4808</v>
      </c>
      <c r="F1934" s="2">
        <f>(4822.5+4701.5+4685+4734)/4</f>
        <v>4735.75</v>
      </c>
      <c r="G1934" s="3">
        <v>1</v>
      </c>
      <c r="H1934">
        <v>3361.5</v>
      </c>
      <c r="I1934">
        <v>1770.9</v>
      </c>
      <c r="J1934">
        <v>23840</v>
      </c>
      <c r="K1934">
        <v>28608</v>
      </c>
      <c r="L1934" s="2">
        <v>26.368124999999996</v>
      </c>
      <c r="M1934" s="5">
        <v>447.17400000000009</v>
      </c>
      <c r="N1934" s="1">
        <v>328.25</v>
      </c>
      <c r="O1934" s="2">
        <v>3.4</v>
      </c>
      <c r="P1934">
        <v>329</v>
      </c>
    </row>
    <row r="1935" spans="1:16" x14ac:dyDescent="0.35">
      <c r="A1935" s="4">
        <v>45231</v>
      </c>
      <c r="B1935" t="s">
        <v>16</v>
      </c>
      <c r="C1935" t="s">
        <v>11</v>
      </c>
      <c r="D1935">
        <v>0</v>
      </c>
      <c r="E1935" s="2" t="s">
        <v>27</v>
      </c>
      <c r="F1935" s="2">
        <f t="shared" ref="F1935:F1939" si="310">(4822.5+4701.5+4685+4734)/4</f>
        <v>4735.75</v>
      </c>
      <c r="G1935" s="3">
        <v>1</v>
      </c>
      <c r="H1935">
        <v>3361.5</v>
      </c>
      <c r="I1935">
        <v>1770.9</v>
      </c>
      <c r="J1935">
        <v>23840</v>
      </c>
      <c r="K1935">
        <v>28608</v>
      </c>
      <c r="L1935" s="2">
        <v>26.368124999999996</v>
      </c>
      <c r="M1935" s="5">
        <v>447.17400000000009</v>
      </c>
      <c r="N1935" s="1">
        <v>328.25</v>
      </c>
      <c r="O1935" s="2">
        <v>3.4</v>
      </c>
      <c r="P1935">
        <v>329</v>
      </c>
    </row>
    <row r="1936" spans="1:16" x14ac:dyDescent="0.35">
      <c r="A1936" s="4">
        <v>45231</v>
      </c>
      <c r="B1936" t="s">
        <v>16</v>
      </c>
      <c r="C1936" t="s">
        <v>12</v>
      </c>
      <c r="D1936">
        <v>1</v>
      </c>
      <c r="E1936" s="2">
        <v>4790</v>
      </c>
      <c r="F1936" s="2">
        <f t="shared" si="310"/>
        <v>4735.75</v>
      </c>
      <c r="G1936" s="3">
        <v>1</v>
      </c>
      <c r="H1936">
        <v>3361.5</v>
      </c>
      <c r="I1936">
        <v>1770.9</v>
      </c>
      <c r="J1936">
        <v>23840</v>
      </c>
      <c r="K1936">
        <v>28608</v>
      </c>
      <c r="L1936" s="2">
        <v>26.368124999999996</v>
      </c>
      <c r="M1936" s="5">
        <v>447.17400000000009</v>
      </c>
      <c r="N1936" s="1">
        <v>328.25</v>
      </c>
      <c r="O1936" s="2">
        <v>3.4</v>
      </c>
      <c r="P1936">
        <v>329</v>
      </c>
    </row>
    <row r="1937" spans="1:16" x14ac:dyDescent="0.35">
      <c r="A1937" s="4">
        <v>45231</v>
      </c>
      <c r="B1937" t="s">
        <v>16</v>
      </c>
      <c r="C1937" t="s">
        <v>13</v>
      </c>
      <c r="D1937">
        <v>1</v>
      </c>
      <c r="E1937" s="2">
        <f>(4500+4650+4250*2)/4</f>
        <v>4412.5</v>
      </c>
      <c r="F1937" s="2">
        <f t="shared" si="310"/>
        <v>4735.75</v>
      </c>
      <c r="G1937" s="3">
        <v>1</v>
      </c>
      <c r="H1937">
        <v>3361.5</v>
      </c>
      <c r="I1937">
        <v>1770.9</v>
      </c>
      <c r="J1937">
        <v>23840</v>
      </c>
      <c r="K1937">
        <v>28608</v>
      </c>
      <c r="L1937" s="2">
        <v>26.368124999999996</v>
      </c>
      <c r="M1937" s="5">
        <v>447.17400000000009</v>
      </c>
      <c r="N1937" s="1">
        <v>328.25</v>
      </c>
      <c r="O1937" s="2">
        <v>3.4</v>
      </c>
      <c r="P1937">
        <v>329</v>
      </c>
    </row>
    <row r="1938" spans="1:16" x14ac:dyDescent="0.35">
      <c r="A1938" s="4">
        <v>45231</v>
      </c>
      <c r="B1938" t="s">
        <v>16</v>
      </c>
      <c r="C1938" t="s">
        <v>14</v>
      </c>
      <c r="D1938">
        <v>1</v>
      </c>
      <c r="E1938" s="2">
        <f>(4875+4900+5000+4950)/4</f>
        <v>4931.25</v>
      </c>
      <c r="F1938" s="2">
        <f t="shared" si="310"/>
        <v>4735.75</v>
      </c>
      <c r="G1938" s="3">
        <v>1</v>
      </c>
      <c r="H1938">
        <v>3361.5</v>
      </c>
      <c r="I1938">
        <v>1770.9</v>
      </c>
      <c r="J1938">
        <v>23840</v>
      </c>
      <c r="K1938">
        <v>28608</v>
      </c>
      <c r="L1938" s="2">
        <v>26.368124999999996</v>
      </c>
      <c r="M1938" s="5">
        <v>447.17400000000009</v>
      </c>
      <c r="N1938" s="1">
        <v>328.25</v>
      </c>
      <c r="O1938" s="2">
        <v>3.4</v>
      </c>
      <c r="P1938">
        <v>329</v>
      </c>
    </row>
    <row r="1939" spans="1:16" x14ac:dyDescent="0.35">
      <c r="A1939" s="4">
        <v>45231</v>
      </c>
      <c r="B1939" t="s">
        <v>16</v>
      </c>
      <c r="C1939" t="s">
        <v>15</v>
      </c>
      <c r="D1939">
        <v>0</v>
      </c>
      <c r="E1939" s="2" t="s">
        <v>27</v>
      </c>
      <c r="F1939" s="2">
        <f t="shared" si="310"/>
        <v>4735.75</v>
      </c>
      <c r="G1939" s="3">
        <v>1</v>
      </c>
      <c r="H1939">
        <v>3361.5</v>
      </c>
      <c r="I1939">
        <v>1770.9</v>
      </c>
      <c r="J1939">
        <v>23840</v>
      </c>
      <c r="K1939">
        <v>28608</v>
      </c>
      <c r="L1939" s="2">
        <v>26.368124999999996</v>
      </c>
      <c r="M1939" s="5">
        <v>447.17400000000009</v>
      </c>
      <c r="N1939" s="1">
        <v>328.25</v>
      </c>
      <c r="O1939" s="2">
        <v>3.4</v>
      </c>
      <c r="P1939">
        <v>329</v>
      </c>
    </row>
    <row r="1940" spans="1:16" x14ac:dyDescent="0.35">
      <c r="A1940" s="4">
        <v>45231</v>
      </c>
      <c r="B1940" t="s">
        <v>17</v>
      </c>
      <c r="C1940" t="s">
        <v>10</v>
      </c>
      <c r="D1940">
        <v>1</v>
      </c>
      <c r="E1940" s="2">
        <f>(3533+3633+3966+3650)/4</f>
        <v>3695.5</v>
      </c>
      <c r="F1940" s="2">
        <f>(3825.6+3875.6+3815.6+3802.2)/4</f>
        <v>3829.75</v>
      </c>
      <c r="G1940" s="3">
        <v>1</v>
      </c>
      <c r="H1940">
        <v>3361.5</v>
      </c>
      <c r="I1940">
        <v>1770.9</v>
      </c>
      <c r="J1940">
        <v>23840</v>
      </c>
      <c r="K1940">
        <v>28608</v>
      </c>
      <c r="L1940" s="2">
        <v>26.368124999999996</v>
      </c>
      <c r="M1940" s="5">
        <v>447.17400000000009</v>
      </c>
      <c r="N1940" s="1">
        <v>328.25</v>
      </c>
      <c r="O1940" s="2">
        <v>3.4</v>
      </c>
      <c r="P1940">
        <v>329</v>
      </c>
    </row>
    <row r="1941" spans="1:16" x14ac:dyDescent="0.35">
      <c r="A1941" s="4">
        <v>45231</v>
      </c>
      <c r="B1941" t="s">
        <v>17</v>
      </c>
      <c r="C1941" t="s">
        <v>11</v>
      </c>
      <c r="D1941">
        <v>1</v>
      </c>
      <c r="E1941" s="2">
        <v>3775</v>
      </c>
      <c r="F1941" s="2">
        <f t="shared" ref="F1941:F1945" si="311">(3825.6+3875.6+3815.6+3802.2)/4</f>
        <v>3829.75</v>
      </c>
      <c r="G1941" s="3">
        <v>1</v>
      </c>
      <c r="H1941">
        <v>3361.5</v>
      </c>
      <c r="I1941">
        <v>1770.9</v>
      </c>
      <c r="J1941">
        <v>23840</v>
      </c>
      <c r="K1941">
        <v>28608</v>
      </c>
      <c r="L1941" s="2">
        <v>26.368124999999996</v>
      </c>
      <c r="M1941" s="5">
        <v>447.17400000000009</v>
      </c>
      <c r="N1941" s="1">
        <v>328.25</v>
      </c>
      <c r="O1941" s="2">
        <v>3.4</v>
      </c>
      <c r="P1941">
        <v>329</v>
      </c>
    </row>
    <row r="1942" spans="1:16" x14ac:dyDescent="0.35">
      <c r="A1942" s="4">
        <v>45231</v>
      </c>
      <c r="B1942" t="s">
        <v>17</v>
      </c>
      <c r="C1942" t="s">
        <v>12</v>
      </c>
      <c r="D1942">
        <v>1</v>
      </c>
      <c r="E1942" s="2">
        <v>4395</v>
      </c>
      <c r="F1942" s="2">
        <f t="shared" si="311"/>
        <v>3829.75</v>
      </c>
      <c r="G1942" s="3">
        <v>1</v>
      </c>
      <c r="H1942">
        <v>3361.5</v>
      </c>
      <c r="I1942">
        <v>1770.9</v>
      </c>
      <c r="J1942">
        <v>23840</v>
      </c>
      <c r="K1942">
        <v>28608</v>
      </c>
      <c r="L1942" s="2">
        <v>26.368124999999996</v>
      </c>
      <c r="M1942" s="5">
        <v>447.17400000000009</v>
      </c>
      <c r="N1942" s="1">
        <v>328.25</v>
      </c>
      <c r="O1942" s="2">
        <v>3.4</v>
      </c>
      <c r="P1942">
        <v>329</v>
      </c>
    </row>
    <row r="1943" spans="1:16" x14ac:dyDescent="0.35">
      <c r="A1943" s="4">
        <v>45231</v>
      </c>
      <c r="B1943" t="s">
        <v>17</v>
      </c>
      <c r="C1943" t="s">
        <v>13</v>
      </c>
      <c r="D1943">
        <v>1</v>
      </c>
      <c r="E1943" s="2">
        <v>3600</v>
      </c>
      <c r="F1943" s="2">
        <f t="shared" si="311"/>
        <v>3829.75</v>
      </c>
      <c r="G1943" s="3">
        <v>1</v>
      </c>
      <c r="H1943">
        <v>3361.5</v>
      </c>
      <c r="I1943">
        <v>1770.9</v>
      </c>
      <c r="J1943">
        <v>23840</v>
      </c>
      <c r="K1943">
        <v>28608</v>
      </c>
      <c r="L1943" s="2">
        <v>26.368124999999996</v>
      </c>
      <c r="M1943" s="5">
        <v>447.17400000000009</v>
      </c>
      <c r="N1943" s="1">
        <v>328.25</v>
      </c>
      <c r="O1943" s="2">
        <v>3.4</v>
      </c>
      <c r="P1943">
        <v>329</v>
      </c>
    </row>
    <row r="1944" spans="1:16" x14ac:dyDescent="0.35">
      <c r="A1944" s="4">
        <v>45231</v>
      </c>
      <c r="B1944" t="s">
        <v>17</v>
      </c>
      <c r="C1944" t="s">
        <v>14</v>
      </c>
      <c r="D1944">
        <v>1</v>
      </c>
      <c r="E1944" s="2">
        <f>(3733+3700+3667+3633)/4</f>
        <v>3683.25</v>
      </c>
      <c r="F1944" s="2">
        <f t="shared" si="311"/>
        <v>3829.75</v>
      </c>
      <c r="G1944" s="3">
        <v>1</v>
      </c>
      <c r="H1944">
        <v>3361.5</v>
      </c>
      <c r="I1944">
        <v>1770.9</v>
      </c>
      <c r="J1944">
        <v>23840</v>
      </c>
      <c r="K1944">
        <v>28608</v>
      </c>
      <c r="L1944" s="2">
        <v>26.368124999999996</v>
      </c>
      <c r="M1944" s="5">
        <v>447.17400000000009</v>
      </c>
      <c r="N1944" s="1">
        <v>328.25</v>
      </c>
      <c r="O1944" s="2">
        <v>3.4</v>
      </c>
      <c r="P1944">
        <v>329</v>
      </c>
    </row>
    <row r="1945" spans="1:16" x14ac:dyDescent="0.35">
      <c r="A1945" s="4">
        <v>45231</v>
      </c>
      <c r="B1945" t="s">
        <v>17</v>
      </c>
      <c r="C1945" t="s">
        <v>15</v>
      </c>
      <c r="D1945">
        <v>0</v>
      </c>
      <c r="E1945" s="2" t="s">
        <v>27</v>
      </c>
      <c r="F1945" s="2">
        <f t="shared" si="311"/>
        <v>3829.75</v>
      </c>
      <c r="G1945" s="3">
        <v>1</v>
      </c>
      <c r="H1945">
        <v>3361.5</v>
      </c>
      <c r="I1945">
        <v>1770.9</v>
      </c>
      <c r="J1945">
        <v>23840</v>
      </c>
      <c r="K1945">
        <v>28608</v>
      </c>
      <c r="L1945" s="2">
        <v>26.368124999999996</v>
      </c>
      <c r="M1945" s="5">
        <v>447.17400000000009</v>
      </c>
      <c r="N1945" s="1">
        <v>328.25</v>
      </c>
      <c r="O1945" s="2">
        <v>3.4</v>
      </c>
      <c r="P1945">
        <v>329</v>
      </c>
    </row>
    <row r="1946" spans="1:16" x14ac:dyDescent="0.35">
      <c r="A1946" s="4">
        <v>45231</v>
      </c>
      <c r="B1946" t="s">
        <v>18</v>
      </c>
      <c r="C1946" t="s">
        <v>10</v>
      </c>
      <c r="D1946">
        <v>1</v>
      </c>
      <c r="E1946" s="2">
        <f>(3000+3116+3533+3016)/4</f>
        <v>3166.25</v>
      </c>
      <c r="F1946" s="2">
        <f>(3137+3228.5+3070.57+3132.75)/4</f>
        <v>3142.2049999999999</v>
      </c>
      <c r="G1946" s="3">
        <v>1</v>
      </c>
      <c r="H1946">
        <v>3361.5</v>
      </c>
      <c r="I1946">
        <v>1770.9</v>
      </c>
      <c r="J1946">
        <v>23840</v>
      </c>
      <c r="K1946">
        <v>28608</v>
      </c>
      <c r="L1946" s="2">
        <v>26.368124999999996</v>
      </c>
      <c r="M1946" s="5">
        <v>447.17400000000009</v>
      </c>
      <c r="N1946" s="1">
        <v>328.25</v>
      </c>
      <c r="O1946" s="2">
        <v>3.4</v>
      </c>
      <c r="P1946">
        <v>329</v>
      </c>
    </row>
    <row r="1947" spans="1:16" x14ac:dyDescent="0.35">
      <c r="A1947" s="4">
        <v>45231</v>
      </c>
      <c r="B1947" t="s">
        <v>18</v>
      </c>
      <c r="C1947" t="s">
        <v>11</v>
      </c>
      <c r="D1947">
        <v>1</v>
      </c>
      <c r="E1947" s="2">
        <v>3050</v>
      </c>
      <c r="F1947" s="2">
        <f t="shared" ref="F1947:F1951" si="312">(3137+3228.5+3070.57+3132.75)/4</f>
        <v>3142.2049999999999</v>
      </c>
      <c r="G1947" s="3">
        <v>1</v>
      </c>
      <c r="H1947">
        <v>3361.5</v>
      </c>
      <c r="I1947">
        <v>1770.9</v>
      </c>
      <c r="J1947">
        <v>23840</v>
      </c>
      <c r="K1947">
        <v>28608</v>
      </c>
      <c r="L1947" s="2">
        <v>26.368124999999996</v>
      </c>
      <c r="M1947" s="5">
        <v>447.17400000000009</v>
      </c>
      <c r="N1947" s="1">
        <v>328.25</v>
      </c>
      <c r="O1947" s="2">
        <v>3.4</v>
      </c>
      <c r="P1947">
        <v>329</v>
      </c>
    </row>
    <row r="1948" spans="1:16" x14ac:dyDescent="0.35">
      <c r="A1948" s="4">
        <v>45231</v>
      </c>
      <c r="B1948" t="s">
        <v>18</v>
      </c>
      <c r="C1948" t="s">
        <v>12</v>
      </c>
      <c r="D1948">
        <v>1</v>
      </c>
      <c r="E1948" s="2">
        <f>(3295*2+2965+3095)/4</f>
        <v>3162.5</v>
      </c>
      <c r="F1948" s="2">
        <f t="shared" si="312"/>
        <v>3142.2049999999999</v>
      </c>
      <c r="G1948" s="3">
        <v>1</v>
      </c>
      <c r="H1948">
        <v>3361.5</v>
      </c>
      <c r="I1948">
        <v>1770.9</v>
      </c>
      <c r="J1948">
        <v>23840</v>
      </c>
      <c r="K1948">
        <v>28608</v>
      </c>
      <c r="L1948" s="2">
        <v>26.368124999999996</v>
      </c>
      <c r="M1948" s="5">
        <v>447.17400000000009</v>
      </c>
      <c r="N1948" s="1">
        <v>328.25</v>
      </c>
      <c r="O1948" s="2">
        <v>3.4</v>
      </c>
      <c r="P1948">
        <v>329</v>
      </c>
    </row>
    <row r="1949" spans="1:16" x14ac:dyDescent="0.35">
      <c r="A1949" s="4">
        <v>45231</v>
      </c>
      <c r="B1949" t="s">
        <v>18</v>
      </c>
      <c r="C1949" t="s">
        <v>13</v>
      </c>
      <c r="D1949">
        <v>1</v>
      </c>
      <c r="E1949" s="2">
        <v>3000</v>
      </c>
      <c r="F1949" s="2">
        <f t="shared" si="312"/>
        <v>3142.2049999999999</v>
      </c>
      <c r="G1949" s="3">
        <v>1</v>
      </c>
      <c r="H1949">
        <v>3361.5</v>
      </c>
      <c r="I1949">
        <v>1770.9</v>
      </c>
      <c r="J1949">
        <v>23840</v>
      </c>
      <c r="K1949">
        <v>28608</v>
      </c>
      <c r="L1949" s="2">
        <v>26.368124999999996</v>
      </c>
      <c r="M1949" s="5">
        <v>447.17400000000009</v>
      </c>
      <c r="N1949" s="1">
        <v>328.25</v>
      </c>
      <c r="O1949" s="2">
        <v>3.4</v>
      </c>
      <c r="P1949">
        <v>329</v>
      </c>
    </row>
    <row r="1950" spans="1:16" x14ac:dyDescent="0.35">
      <c r="A1950" s="4">
        <v>45231</v>
      </c>
      <c r="B1950" t="s">
        <v>18</v>
      </c>
      <c r="C1950" t="s">
        <v>14</v>
      </c>
      <c r="D1950">
        <v>1</v>
      </c>
      <c r="E1950" s="2">
        <f>(3150*2+3283+3167)/4</f>
        <v>3187.5</v>
      </c>
      <c r="F1950" s="2">
        <f t="shared" si="312"/>
        <v>3142.2049999999999</v>
      </c>
      <c r="G1950" s="3">
        <v>1</v>
      </c>
      <c r="H1950">
        <v>3361.5</v>
      </c>
      <c r="I1950">
        <v>1770.9</v>
      </c>
      <c r="J1950">
        <v>23840</v>
      </c>
      <c r="K1950">
        <v>28608</v>
      </c>
      <c r="L1950" s="2">
        <v>26.368124999999996</v>
      </c>
      <c r="M1950" s="5">
        <v>447.17400000000009</v>
      </c>
      <c r="N1950" s="1">
        <v>328.25</v>
      </c>
      <c r="O1950" s="2">
        <v>3.4</v>
      </c>
      <c r="P1950">
        <v>329</v>
      </c>
    </row>
    <row r="1951" spans="1:16" x14ac:dyDescent="0.35">
      <c r="A1951" s="4">
        <v>45231</v>
      </c>
      <c r="B1951" t="s">
        <v>18</v>
      </c>
      <c r="C1951" t="s">
        <v>15</v>
      </c>
      <c r="D1951">
        <v>1</v>
      </c>
      <c r="E1951" s="2">
        <v>2950</v>
      </c>
      <c r="F1951" s="2">
        <f t="shared" si="312"/>
        <v>3142.2049999999999</v>
      </c>
      <c r="G1951" s="3">
        <v>1</v>
      </c>
      <c r="H1951">
        <v>3361.5</v>
      </c>
      <c r="I1951">
        <v>1770.9</v>
      </c>
      <c r="J1951">
        <v>23840</v>
      </c>
      <c r="K1951">
        <v>28608</v>
      </c>
      <c r="L1951" s="2">
        <v>26.368124999999996</v>
      </c>
      <c r="M1951" s="5">
        <v>447.17400000000009</v>
      </c>
      <c r="N1951" s="1">
        <v>328.25</v>
      </c>
      <c r="O1951" s="2">
        <v>3.4</v>
      </c>
      <c r="P1951">
        <v>329</v>
      </c>
    </row>
    <row r="1952" spans="1:16" x14ac:dyDescent="0.35">
      <c r="A1952" s="4">
        <v>45231</v>
      </c>
      <c r="B1952" t="s">
        <v>19</v>
      </c>
      <c r="C1952" t="s">
        <v>10</v>
      </c>
      <c r="D1952">
        <v>1</v>
      </c>
      <c r="E1952" s="2">
        <f>(2766*2+2600+2900)/4</f>
        <v>2758</v>
      </c>
      <c r="F1952" s="2">
        <f>(2887+2837.5+2884.5+2905.13)/4</f>
        <v>2878.5325000000003</v>
      </c>
      <c r="G1952" s="3">
        <v>1</v>
      </c>
      <c r="H1952">
        <v>3361.5</v>
      </c>
      <c r="I1952">
        <v>1770.9</v>
      </c>
      <c r="J1952">
        <v>23840</v>
      </c>
      <c r="K1952">
        <v>28608</v>
      </c>
      <c r="L1952" s="2">
        <v>26.368124999999996</v>
      </c>
      <c r="M1952" s="5">
        <v>447.17400000000009</v>
      </c>
      <c r="N1952" s="1">
        <v>328.25</v>
      </c>
      <c r="O1952" s="2">
        <v>3.4</v>
      </c>
      <c r="P1952">
        <v>329</v>
      </c>
    </row>
    <row r="1953" spans="1:16" x14ac:dyDescent="0.35">
      <c r="A1953" s="4">
        <v>45231</v>
      </c>
      <c r="B1953" t="s">
        <v>19</v>
      </c>
      <c r="C1953" t="s">
        <v>11</v>
      </c>
      <c r="D1953">
        <v>1</v>
      </c>
      <c r="E1953" s="2">
        <v>2900</v>
      </c>
      <c r="F1953" s="2">
        <f t="shared" ref="F1953:F1957" si="313">(2887+2837.5+2884.5+2905.13)/4</f>
        <v>2878.5325000000003</v>
      </c>
      <c r="G1953" s="3">
        <v>1</v>
      </c>
      <c r="H1953">
        <v>3361.5</v>
      </c>
      <c r="I1953">
        <v>1770.9</v>
      </c>
      <c r="J1953">
        <v>23840</v>
      </c>
      <c r="K1953">
        <v>28608</v>
      </c>
      <c r="L1953" s="2">
        <v>26.368124999999996</v>
      </c>
      <c r="M1953" s="5">
        <v>447.17400000000009</v>
      </c>
      <c r="N1953" s="1">
        <v>328.25</v>
      </c>
      <c r="O1953" s="2">
        <v>3.4</v>
      </c>
      <c r="P1953">
        <v>329</v>
      </c>
    </row>
    <row r="1954" spans="1:16" x14ac:dyDescent="0.35">
      <c r="A1954" s="4">
        <v>45231</v>
      </c>
      <c r="B1954" t="s">
        <v>19</v>
      </c>
      <c r="C1954" t="s">
        <v>12</v>
      </c>
      <c r="D1954">
        <v>1</v>
      </c>
      <c r="E1954" s="2">
        <v>2980</v>
      </c>
      <c r="F1954" s="2">
        <f t="shared" si="313"/>
        <v>2878.5325000000003</v>
      </c>
      <c r="G1954" s="3">
        <v>1</v>
      </c>
      <c r="H1954">
        <v>3361.5</v>
      </c>
      <c r="I1954">
        <v>1770.9</v>
      </c>
      <c r="J1954">
        <v>23840</v>
      </c>
      <c r="K1954">
        <v>28608</v>
      </c>
      <c r="L1954" s="2">
        <v>26.368124999999996</v>
      </c>
      <c r="M1954" s="5">
        <v>447.17400000000009</v>
      </c>
      <c r="N1954" s="1">
        <v>328.25</v>
      </c>
      <c r="O1954" s="2">
        <v>3.4</v>
      </c>
      <c r="P1954">
        <v>329</v>
      </c>
    </row>
    <row r="1955" spans="1:16" x14ac:dyDescent="0.35">
      <c r="A1955" s="4">
        <v>45231</v>
      </c>
      <c r="B1955" t="s">
        <v>19</v>
      </c>
      <c r="C1955" t="s">
        <v>13</v>
      </c>
      <c r="D1955">
        <v>1</v>
      </c>
      <c r="E1955" s="2">
        <f>(2875+2775*2+2800)/4</f>
        <v>2806.25</v>
      </c>
      <c r="F1955" s="2">
        <f t="shared" si="313"/>
        <v>2878.5325000000003</v>
      </c>
      <c r="G1955" s="3">
        <v>1</v>
      </c>
      <c r="H1955">
        <v>3361.5</v>
      </c>
      <c r="I1955">
        <v>1770.9</v>
      </c>
      <c r="J1955">
        <v>23840</v>
      </c>
      <c r="K1955">
        <v>28608</v>
      </c>
      <c r="L1955" s="2">
        <v>26.368124999999996</v>
      </c>
      <c r="M1955" s="5">
        <v>447.17400000000009</v>
      </c>
      <c r="N1955" s="1">
        <v>328.25</v>
      </c>
      <c r="O1955" s="2">
        <v>3.4</v>
      </c>
      <c r="P1955">
        <v>329</v>
      </c>
    </row>
    <row r="1956" spans="1:16" x14ac:dyDescent="0.35">
      <c r="A1956" s="4">
        <v>45231</v>
      </c>
      <c r="B1956" t="s">
        <v>19</v>
      </c>
      <c r="C1956" t="s">
        <v>14</v>
      </c>
      <c r="D1956">
        <v>1</v>
      </c>
      <c r="E1956" s="2">
        <f>(2900+2879+2921*2)/4</f>
        <v>2905.25</v>
      </c>
      <c r="F1956" s="2">
        <f t="shared" si="313"/>
        <v>2878.5325000000003</v>
      </c>
      <c r="G1956" s="3">
        <v>1</v>
      </c>
      <c r="H1956">
        <v>3361.5</v>
      </c>
      <c r="I1956">
        <v>1770.9</v>
      </c>
      <c r="J1956">
        <v>23840</v>
      </c>
      <c r="K1956">
        <v>28608</v>
      </c>
      <c r="L1956" s="2">
        <v>26.368124999999996</v>
      </c>
      <c r="M1956" s="5">
        <v>447.17400000000009</v>
      </c>
      <c r="N1956" s="1">
        <v>328.25</v>
      </c>
      <c r="O1956" s="2">
        <v>3.4</v>
      </c>
      <c r="P1956">
        <v>329</v>
      </c>
    </row>
    <row r="1957" spans="1:16" x14ac:dyDescent="0.35">
      <c r="A1957" s="4">
        <v>45231</v>
      </c>
      <c r="B1957" t="s">
        <v>19</v>
      </c>
      <c r="C1957" t="s">
        <v>15</v>
      </c>
      <c r="D1957">
        <v>1</v>
      </c>
      <c r="E1957" s="2">
        <v>2800</v>
      </c>
      <c r="F1957" s="2">
        <f t="shared" si="313"/>
        <v>2878.5325000000003</v>
      </c>
      <c r="G1957" s="3">
        <v>1</v>
      </c>
      <c r="H1957">
        <v>3361.5</v>
      </c>
      <c r="I1957">
        <v>1770.9</v>
      </c>
      <c r="J1957">
        <v>23840</v>
      </c>
      <c r="K1957">
        <v>28608</v>
      </c>
      <c r="L1957" s="2">
        <v>26.368124999999996</v>
      </c>
      <c r="M1957" s="5">
        <v>447.17400000000009</v>
      </c>
      <c r="N1957" s="1">
        <v>328.25</v>
      </c>
      <c r="O1957" s="2">
        <v>3.4</v>
      </c>
      <c r="P1957">
        <v>329</v>
      </c>
    </row>
    <row r="1958" spans="1:16" x14ac:dyDescent="0.35">
      <c r="A1958" s="4">
        <v>45231</v>
      </c>
      <c r="B1958" t="s">
        <v>20</v>
      </c>
      <c r="C1958" t="s">
        <v>10</v>
      </c>
      <c r="D1958">
        <v>1</v>
      </c>
      <c r="E1958" s="2">
        <f>(2600+2166+2300+2433)/4</f>
        <v>2374.75</v>
      </c>
      <c r="F1958" s="2">
        <f>(2573.75+2532.63+2475.71+2562.88)/4</f>
        <v>2536.2425000000003</v>
      </c>
      <c r="G1958" s="3">
        <v>1</v>
      </c>
      <c r="H1958">
        <v>3361.5</v>
      </c>
      <c r="I1958">
        <v>1770.9</v>
      </c>
      <c r="J1958">
        <v>23840</v>
      </c>
      <c r="K1958">
        <v>28608</v>
      </c>
      <c r="L1958" s="2">
        <v>26.368124999999996</v>
      </c>
      <c r="M1958" s="5">
        <v>447.17400000000009</v>
      </c>
      <c r="N1958" s="1">
        <v>328.25</v>
      </c>
      <c r="O1958" s="2">
        <v>3.4</v>
      </c>
      <c r="P1958">
        <v>329</v>
      </c>
    </row>
    <row r="1959" spans="1:16" x14ac:dyDescent="0.35">
      <c r="A1959" s="4">
        <v>45231</v>
      </c>
      <c r="B1959" t="s">
        <v>20</v>
      </c>
      <c r="C1959" t="s">
        <v>11</v>
      </c>
      <c r="D1959">
        <v>1</v>
      </c>
      <c r="E1959" s="2">
        <v>2600</v>
      </c>
      <c r="F1959" s="2">
        <f t="shared" ref="F1959:F1963" si="314">(2573.75+2532.63+2475.71+2562.88)/4</f>
        <v>2536.2425000000003</v>
      </c>
      <c r="G1959" s="3">
        <v>1</v>
      </c>
      <c r="H1959">
        <v>3361.5</v>
      </c>
      <c r="I1959">
        <v>1770.9</v>
      </c>
      <c r="J1959">
        <v>23840</v>
      </c>
      <c r="K1959">
        <v>28608</v>
      </c>
      <c r="L1959" s="2">
        <v>26.368124999999996</v>
      </c>
      <c r="M1959" s="5">
        <v>447.17400000000009</v>
      </c>
      <c r="N1959" s="1">
        <v>328.25</v>
      </c>
      <c r="O1959" s="2">
        <v>3.4</v>
      </c>
      <c r="P1959">
        <v>329</v>
      </c>
    </row>
    <row r="1960" spans="1:16" x14ac:dyDescent="0.35">
      <c r="A1960" s="4">
        <v>45231</v>
      </c>
      <c r="B1960" t="s">
        <v>20</v>
      </c>
      <c r="C1960" t="s">
        <v>12</v>
      </c>
      <c r="D1960">
        <v>1</v>
      </c>
      <c r="E1960" s="2">
        <v>2195</v>
      </c>
      <c r="F1960" s="2">
        <f t="shared" si="314"/>
        <v>2536.2425000000003</v>
      </c>
      <c r="G1960" s="3">
        <v>1</v>
      </c>
      <c r="H1960">
        <v>3361.5</v>
      </c>
      <c r="I1960">
        <v>1770.9</v>
      </c>
      <c r="J1960">
        <v>23840</v>
      </c>
      <c r="K1960">
        <v>28608</v>
      </c>
      <c r="L1960" s="2">
        <v>26.368124999999996</v>
      </c>
      <c r="M1960" s="5">
        <v>447.17400000000009</v>
      </c>
      <c r="N1960" s="1">
        <v>328.25</v>
      </c>
      <c r="O1960" s="2">
        <v>3.4</v>
      </c>
      <c r="P1960">
        <v>329</v>
      </c>
    </row>
    <row r="1961" spans="1:16" x14ac:dyDescent="0.35">
      <c r="A1961" s="4">
        <v>45231</v>
      </c>
      <c r="B1961" t="s">
        <v>20</v>
      </c>
      <c r="C1961" t="s">
        <v>13</v>
      </c>
      <c r="D1961">
        <v>1</v>
      </c>
      <c r="E1961" s="2">
        <v>2575</v>
      </c>
      <c r="F1961" s="2">
        <f t="shared" si="314"/>
        <v>2536.2425000000003</v>
      </c>
      <c r="G1961" s="3">
        <v>1</v>
      </c>
      <c r="H1961">
        <v>3361.5</v>
      </c>
      <c r="I1961">
        <v>1770.9</v>
      </c>
      <c r="J1961">
        <v>23840</v>
      </c>
      <c r="K1961">
        <v>28608</v>
      </c>
      <c r="L1961" s="2">
        <v>26.368124999999996</v>
      </c>
      <c r="M1961" s="5">
        <v>447.17400000000009</v>
      </c>
      <c r="N1961" s="1">
        <v>328.25</v>
      </c>
      <c r="O1961" s="2">
        <v>3.4</v>
      </c>
      <c r="P1961">
        <v>329</v>
      </c>
    </row>
    <row r="1962" spans="1:16" x14ac:dyDescent="0.35">
      <c r="A1962" s="4">
        <v>45231</v>
      </c>
      <c r="B1962" t="s">
        <v>20</v>
      </c>
      <c r="C1962" t="s">
        <v>14</v>
      </c>
      <c r="D1962">
        <v>1</v>
      </c>
      <c r="E1962" s="2">
        <f>(2670+2675+2610+2650)/4</f>
        <v>2651.25</v>
      </c>
      <c r="F1962" s="2">
        <f t="shared" si="314"/>
        <v>2536.2425000000003</v>
      </c>
      <c r="G1962" s="3">
        <v>1</v>
      </c>
      <c r="H1962">
        <v>3361.5</v>
      </c>
      <c r="I1962">
        <v>1770.9</v>
      </c>
      <c r="J1962">
        <v>23840</v>
      </c>
      <c r="K1962">
        <v>28608</v>
      </c>
      <c r="L1962" s="2">
        <v>26.368124999999996</v>
      </c>
      <c r="M1962" s="5">
        <v>447.17400000000009</v>
      </c>
      <c r="N1962" s="1">
        <v>328.25</v>
      </c>
      <c r="O1962" s="2">
        <v>3.4</v>
      </c>
      <c r="P1962">
        <v>329</v>
      </c>
    </row>
    <row r="1963" spans="1:16" x14ac:dyDescent="0.35">
      <c r="A1963" s="4">
        <v>45231</v>
      </c>
      <c r="B1963" t="s">
        <v>20</v>
      </c>
      <c r="C1963" t="s">
        <v>15</v>
      </c>
      <c r="D1963">
        <v>1</v>
      </c>
      <c r="E1963" s="2">
        <v>2550</v>
      </c>
      <c r="F1963" s="2">
        <f t="shared" si="314"/>
        <v>2536.2425000000003</v>
      </c>
      <c r="G1963" s="3">
        <v>1</v>
      </c>
      <c r="H1963">
        <v>3361.5</v>
      </c>
      <c r="I1963">
        <v>1770.9</v>
      </c>
      <c r="J1963">
        <v>23840</v>
      </c>
      <c r="K1963">
        <v>28608</v>
      </c>
      <c r="L1963" s="2">
        <v>26.368124999999996</v>
      </c>
      <c r="M1963" s="5">
        <v>447.17400000000009</v>
      </c>
      <c r="N1963" s="1">
        <v>328.25</v>
      </c>
      <c r="O1963" s="2">
        <v>3.4</v>
      </c>
      <c r="P1963">
        <v>329</v>
      </c>
    </row>
    <row r="1964" spans="1:16" x14ac:dyDescent="0.35">
      <c r="A1964" s="4">
        <v>45231</v>
      </c>
      <c r="B1964" t="s">
        <v>21</v>
      </c>
      <c r="C1964" t="s">
        <v>10</v>
      </c>
      <c r="D1964">
        <v>1</v>
      </c>
      <c r="E1964" s="2">
        <f>(2233+2066+1983+2216)/4</f>
        <v>2124.5</v>
      </c>
      <c r="F1964" s="2">
        <f>(2400+2377.63+2327.86+2407.25)/4</f>
        <v>2378.1849999999999</v>
      </c>
      <c r="G1964" s="3">
        <v>1</v>
      </c>
      <c r="H1964">
        <v>3361.5</v>
      </c>
      <c r="I1964">
        <v>1770.9</v>
      </c>
      <c r="J1964">
        <v>23840</v>
      </c>
      <c r="K1964">
        <v>28608</v>
      </c>
      <c r="L1964" s="2">
        <v>26.368124999999996</v>
      </c>
      <c r="M1964" s="5">
        <v>447.17400000000009</v>
      </c>
      <c r="N1964" s="1">
        <v>328.25</v>
      </c>
      <c r="O1964" s="2">
        <v>3.4</v>
      </c>
      <c r="P1964">
        <v>329</v>
      </c>
    </row>
    <row r="1965" spans="1:16" x14ac:dyDescent="0.35">
      <c r="A1965" s="4">
        <v>45231</v>
      </c>
      <c r="B1965" t="s">
        <v>21</v>
      </c>
      <c r="C1965" t="s">
        <v>11</v>
      </c>
      <c r="D1965">
        <v>1</v>
      </c>
      <c r="E1965" s="2">
        <v>2500</v>
      </c>
      <c r="F1965" s="2">
        <f t="shared" ref="F1965:F1969" si="315">(2400+2377.63+2327.86+2407.25)/4</f>
        <v>2378.1849999999999</v>
      </c>
      <c r="G1965" s="3">
        <v>1</v>
      </c>
      <c r="H1965">
        <v>3361.5</v>
      </c>
      <c r="I1965">
        <v>1770.9</v>
      </c>
      <c r="J1965">
        <v>23840</v>
      </c>
      <c r="K1965">
        <v>28608</v>
      </c>
      <c r="L1965" s="2">
        <v>26.368124999999996</v>
      </c>
      <c r="M1965" s="5">
        <v>447.17400000000009</v>
      </c>
      <c r="N1965" s="1">
        <v>328.25</v>
      </c>
      <c r="O1965" s="2">
        <v>3.4</v>
      </c>
      <c r="P1965">
        <v>329</v>
      </c>
    </row>
    <row r="1966" spans="1:16" x14ac:dyDescent="0.35">
      <c r="A1966" s="4">
        <v>45231</v>
      </c>
      <c r="B1966" t="s">
        <v>21</v>
      </c>
      <c r="C1966" t="s">
        <v>12</v>
      </c>
      <c r="D1966">
        <v>1</v>
      </c>
      <c r="E1966" s="2">
        <v>2100</v>
      </c>
      <c r="F1966" s="2">
        <f t="shared" si="315"/>
        <v>2378.1849999999999</v>
      </c>
      <c r="G1966" s="3">
        <v>1</v>
      </c>
      <c r="H1966">
        <v>3361.5</v>
      </c>
      <c r="I1966">
        <v>1770.9</v>
      </c>
      <c r="J1966">
        <v>23840</v>
      </c>
      <c r="K1966">
        <v>28608</v>
      </c>
      <c r="L1966" s="2">
        <v>26.368124999999996</v>
      </c>
      <c r="M1966" s="5">
        <v>447.17400000000009</v>
      </c>
      <c r="N1966" s="1">
        <v>328.25</v>
      </c>
      <c r="O1966" s="2">
        <v>3.4</v>
      </c>
      <c r="P1966">
        <v>329</v>
      </c>
    </row>
    <row r="1967" spans="1:16" x14ac:dyDescent="0.35">
      <c r="A1967" s="4">
        <v>45231</v>
      </c>
      <c r="B1967" t="s">
        <v>21</v>
      </c>
      <c r="C1967" t="s">
        <v>13</v>
      </c>
      <c r="D1967">
        <v>1</v>
      </c>
      <c r="E1967" s="2">
        <v>2500</v>
      </c>
      <c r="F1967" s="2">
        <f t="shared" si="315"/>
        <v>2378.1849999999999</v>
      </c>
      <c r="G1967" s="3">
        <v>1</v>
      </c>
      <c r="H1967">
        <v>3361.5</v>
      </c>
      <c r="I1967">
        <v>1770.9</v>
      </c>
      <c r="J1967">
        <v>23840</v>
      </c>
      <c r="K1967">
        <v>28608</v>
      </c>
      <c r="L1967" s="2">
        <v>26.368124999999996</v>
      </c>
      <c r="M1967" s="5">
        <v>447.17400000000009</v>
      </c>
      <c r="N1967" s="1">
        <v>328.25</v>
      </c>
      <c r="O1967" s="2">
        <v>3.4</v>
      </c>
      <c r="P1967">
        <v>329</v>
      </c>
    </row>
    <row r="1968" spans="1:16" x14ac:dyDescent="0.35">
      <c r="A1968" s="4">
        <v>45231</v>
      </c>
      <c r="B1968" t="s">
        <v>21</v>
      </c>
      <c r="C1968" t="s">
        <v>14</v>
      </c>
      <c r="D1968">
        <v>1</v>
      </c>
      <c r="E1968" s="2">
        <f>(2484+2438+2429+2500)/4</f>
        <v>2462.75</v>
      </c>
      <c r="F1968" s="2">
        <f t="shared" si="315"/>
        <v>2378.1849999999999</v>
      </c>
      <c r="G1968" s="3">
        <v>1</v>
      </c>
      <c r="H1968">
        <v>3361.5</v>
      </c>
      <c r="I1968">
        <v>1770.9</v>
      </c>
      <c r="J1968">
        <v>23840</v>
      </c>
      <c r="K1968">
        <v>28608</v>
      </c>
      <c r="L1968" s="2">
        <v>26.368124999999996</v>
      </c>
      <c r="M1968" s="5">
        <v>447.17400000000009</v>
      </c>
      <c r="N1968" s="1">
        <v>328.25</v>
      </c>
      <c r="O1968" s="2">
        <v>3.4</v>
      </c>
      <c r="P1968">
        <v>329</v>
      </c>
    </row>
    <row r="1969" spans="1:16" x14ac:dyDescent="0.35">
      <c r="A1969" s="4">
        <v>45231</v>
      </c>
      <c r="B1969" t="s">
        <v>21</v>
      </c>
      <c r="C1969" t="s">
        <v>15</v>
      </c>
      <c r="D1969">
        <v>1</v>
      </c>
      <c r="E1969" s="2">
        <v>2450</v>
      </c>
      <c r="F1969" s="2">
        <f t="shared" si="315"/>
        <v>2378.1849999999999</v>
      </c>
      <c r="G1969" s="3">
        <v>1</v>
      </c>
      <c r="H1969">
        <v>3361.5</v>
      </c>
      <c r="I1969">
        <v>1770.9</v>
      </c>
      <c r="J1969">
        <v>23840</v>
      </c>
      <c r="K1969">
        <v>28608</v>
      </c>
      <c r="L1969" s="2">
        <v>26.368124999999996</v>
      </c>
      <c r="M1969" s="5">
        <v>447.17400000000009</v>
      </c>
      <c r="N1969" s="1">
        <v>328.25</v>
      </c>
      <c r="O1969" s="2">
        <v>3.4</v>
      </c>
      <c r="P1969">
        <v>329</v>
      </c>
    </row>
    <row r="1970" spans="1:16" x14ac:dyDescent="0.35">
      <c r="A1970" s="4">
        <v>45231</v>
      </c>
      <c r="B1970" t="s">
        <v>22</v>
      </c>
      <c r="C1970" t="s">
        <v>10</v>
      </c>
      <c r="D1970">
        <v>0</v>
      </c>
      <c r="E1970" s="2" t="s">
        <v>27</v>
      </c>
      <c r="F1970" s="2">
        <f t="shared" ref="F1970:F1973" si="316">(2120+1920+1950+1825)/4</f>
        <v>1953.75</v>
      </c>
      <c r="G1970" s="3">
        <v>1</v>
      </c>
      <c r="H1970">
        <v>3361.5</v>
      </c>
      <c r="I1970">
        <v>1770.9</v>
      </c>
      <c r="J1970">
        <v>23840</v>
      </c>
      <c r="K1970">
        <v>28608</v>
      </c>
      <c r="L1970" s="2">
        <v>26.368124999999996</v>
      </c>
      <c r="M1970" s="5">
        <v>447.17400000000009</v>
      </c>
      <c r="N1970" s="1">
        <v>328.25</v>
      </c>
      <c r="O1970" s="2">
        <v>3.4</v>
      </c>
      <c r="P1970">
        <v>329</v>
      </c>
    </row>
    <row r="1971" spans="1:16" x14ac:dyDescent="0.35">
      <c r="A1971" s="4">
        <v>45231</v>
      </c>
      <c r="B1971" t="s">
        <v>22</v>
      </c>
      <c r="C1971" t="s">
        <v>11</v>
      </c>
      <c r="D1971">
        <v>0</v>
      </c>
      <c r="E1971" s="2" t="s">
        <v>27</v>
      </c>
      <c r="F1971" s="2">
        <f t="shared" si="316"/>
        <v>1953.75</v>
      </c>
      <c r="G1971" s="3">
        <v>1</v>
      </c>
      <c r="H1971">
        <v>3361.5</v>
      </c>
      <c r="I1971">
        <v>1770.9</v>
      </c>
      <c r="J1971">
        <v>23840</v>
      </c>
      <c r="K1971">
        <v>28608</v>
      </c>
      <c r="L1971" s="2">
        <v>26.368124999999996</v>
      </c>
      <c r="M1971" s="5">
        <v>447.17400000000009</v>
      </c>
      <c r="N1971" s="1">
        <v>328.25</v>
      </c>
      <c r="O1971" s="2">
        <v>3.4</v>
      </c>
      <c r="P1971">
        <v>329</v>
      </c>
    </row>
    <row r="1972" spans="1:16" x14ac:dyDescent="0.35">
      <c r="A1972" s="4">
        <v>45231</v>
      </c>
      <c r="B1972" t="s">
        <v>22</v>
      </c>
      <c r="C1972" t="s">
        <v>12</v>
      </c>
      <c r="D1972">
        <v>0</v>
      </c>
      <c r="E1972" s="2" t="s">
        <v>27</v>
      </c>
      <c r="F1972" s="2">
        <f t="shared" si="316"/>
        <v>1953.75</v>
      </c>
      <c r="G1972" s="3">
        <v>1</v>
      </c>
      <c r="H1972">
        <v>3361.5</v>
      </c>
      <c r="I1972">
        <v>1770.9</v>
      </c>
      <c r="J1972">
        <v>23840</v>
      </c>
      <c r="K1972">
        <v>28608</v>
      </c>
      <c r="L1972" s="2">
        <v>26.368124999999996</v>
      </c>
      <c r="M1972" s="5">
        <v>447.17400000000009</v>
      </c>
      <c r="N1972" s="1">
        <v>328.25</v>
      </c>
      <c r="O1972" s="2">
        <v>3.4</v>
      </c>
      <c r="P1972">
        <v>329</v>
      </c>
    </row>
    <row r="1973" spans="1:16" x14ac:dyDescent="0.35">
      <c r="A1973" s="4">
        <v>45231</v>
      </c>
      <c r="B1973" t="s">
        <v>22</v>
      </c>
      <c r="C1973" t="s">
        <v>13</v>
      </c>
      <c r="D1973">
        <v>0</v>
      </c>
      <c r="E1973" s="2" t="s">
        <v>27</v>
      </c>
      <c r="F1973" s="2">
        <f t="shared" si="316"/>
        <v>1953.75</v>
      </c>
      <c r="G1973" s="3">
        <v>1</v>
      </c>
      <c r="H1973">
        <v>3361.5</v>
      </c>
      <c r="I1973">
        <v>1770.9</v>
      </c>
      <c r="J1973">
        <v>23840</v>
      </c>
      <c r="K1973">
        <v>28608</v>
      </c>
      <c r="L1973" s="2">
        <v>26.368124999999996</v>
      </c>
      <c r="M1973" s="5">
        <v>447.17400000000009</v>
      </c>
      <c r="N1973" s="1">
        <v>328.25</v>
      </c>
      <c r="O1973" s="2">
        <v>3.4</v>
      </c>
      <c r="P1973">
        <v>329</v>
      </c>
    </row>
    <row r="1974" spans="1:16" x14ac:dyDescent="0.35">
      <c r="A1974" s="4">
        <v>45231</v>
      </c>
      <c r="B1974" t="s">
        <v>22</v>
      </c>
      <c r="C1974" t="s">
        <v>14</v>
      </c>
      <c r="D1974">
        <v>1</v>
      </c>
      <c r="E1974" s="2">
        <f>(2120+1920+1950+1825)/4</f>
        <v>1953.75</v>
      </c>
      <c r="F1974" s="2">
        <f>(2120+1920+1950+1825)/4</f>
        <v>1953.75</v>
      </c>
      <c r="G1974" s="3">
        <v>1</v>
      </c>
      <c r="H1974">
        <v>3361.5</v>
      </c>
      <c r="I1974">
        <v>1770.9</v>
      </c>
      <c r="J1974">
        <v>23840</v>
      </c>
      <c r="K1974">
        <v>28608</v>
      </c>
      <c r="L1974" s="2">
        <v>26.368124999999996</v>
      </c>
      <c r="M1974" s="5">
        <v>447.17400000000009</v>
      </c>
      <c r="N1974" s="1">
        <v>328.25</v>
      </c>
      <c r="O1974" s="2">
        <v>3.4</v>
      </c>
      <c r="P1974">
        <v>329</v>
      </c>
    </row>
    <row r="1975" spans="1:16" x14ac:dyDescent="0.35">
      <c r="A1975" s="4">
        <v>45231</v>
      </c>
      <c r="B1975" t="s">
        <v>22</v>
      </c>
      <c r="C1975" t="s">
        <v>15</v>
      </c>
      <c r="D1975">
        <v>0</v>
      </c>
      <c r="E1975" s="2" t="s">
        <v>27</v>
      </c>
      <c r="F1975" s="2">
        <f>(2120+1920+1950+1825)/4</f>
        <v>1953.75</v>
      </c>
      <c r="G1975" s="3">
        <v>1</v>
      </c>
      <c r="H1975">
        <v>3361.5</v>
      </c>
      <c r="I1975">
        <v>1770.9</v>
      </c>
      <c r="J1975">
        <v>23840</v>
      </c>
      <c r="K1975">
        <v>28608</v>
      </c>
      <c r="L1975" s="2">
        <v>26.368124999999996</v>
      </c>
      <c r="M1975" s="5">
        <v>447.17400000000009</v>
      </c>
      <c r="N1975" s="1">
        <v>328.25</v>
      </c>
      <c r="O1975" s="2">
        <v>3.4</v>
      </c>
      <c r="P1975">
        <v>329</v>
      </c>
    </row>
    <row r="1976" spans="1:16" x14ac:dyDescent="0.35">
      <c r="A1976" s="4">
        <v>45261</v>
      </c>
      <c r="B1976" t="s">
        <v>16</v>
      </c>
      <c r="C1976" t="s">
        <v>10</v>
      </c>
      <c r="D1976">
        <v>1</v>
      </c>
      <c r="E1976" s="2">
        <f>(4900+4812+4600+4766)/4</f>
        <v>4769.5</v>
      </c>
      <c r="F1976" s="2">
        <f>(4847.5+4825.5+4735+4782.75)/4</f>
        <v>4797.6875</v>
      </c>
      <c r="G1976" s="3">
        <v>1</v>
      </c>
      <c r="H1976">
        <v>3361.5</v>
      </c>
      <c r="I1976">
        <v>1574.2</v>
      </c>
      <c r="J1976">
        <v>20785</v>
      </c>
      <c r="K1976">
        <v>38147</v>
      </c>
      <c r="L1976" s="2">
        <v>26.256250000000001</v>
      </c>
      <c r="M1976" s="5">
        <v>472.01249999999999</v>
      </c>
      <c r="N1976" s="1">
        <v>326.7423</v>
      </c>
      <c r="O1976" s="2">
        <v>4</v>
      </c>
      <c r="P1976">
        <v>358</v>
      </c>
    </row>
    <row r="1977" spans="1:16" x14ac:dyDescent="0.35">
      <c r="A1977" s="4">
        <v>45261</v>
      </c>
      <c r="B1977" t="s">
        <v>16</v>
      </c>
      <c r="C1977" t="s">
        <v>11</v>
      </c>
      <c r="D1977">
        <v>0</v>
      </c>
      <c r="E1977" s="2" t="s">
        <v>27</v>
      </c>
      <c r="F1977" s="2">
        <f t="shared" ref="F1977:F1981" si="317">(4847.5+4825.5+4735+4782.75)/4</f>
        <v>4797.6875</v>
      </c>
      <c r="G1977" s="3">
        <v>1</v>
      </c>
      <c r="H1977">
        <v>3361.5</v>
      </c>
      <c r="I1977">
        <v>1574.2</v>
      </c>
      <c r="J1977">
        <v>20785</v>
      </c>
      <c r="K1977">
        <v>38147</v>
      </c>
      <c r="L1977" s="2">
        <v>26.256250000000001</v>
      </c>
      <c r="M1977" s="5">
        <v>472.01249999999999</v>
      </c>
      <c r="N1977" s="1">
        <v>326.7423</v>
      </c>
      <c r="O1977" s="2">
        <v>4</v>
      </c>
      <c r="P1977">
        <v>358</v>
      </c>
    </row>
    <row r="1978" spans="1:16" x14ac:dyDescent="0.35">
      <c r="A1978" s="4">
        <v>45261</v>
      </c>
      <c r="B1978" t="s">
        <v>16</v>
      </c>
      <c r="C1978" t="s">
        <v>12</v>
      </c>
      <c r="D1978">
        <v>1</v>
      </c>
      <c r="E1978" s="2">
        <v>4790</v>
      </c>
      <c r="F1978" s="2">
        <f t="shared" si="317"/>
        <v>4797.6875</v>
      </c>
      <c r="G1978" s="3">
        <v>1</v>
      </c>
      <c r="H1978">
        <v>3361.5</v>
      </c>
      <c r="I1978">
        <v>1574.2</v>
      </c>
      <c r="J1978">
        <v>20785</v>
      </c>
      <c r="K1978">
        <v>38147</v>
      </c>
      <c r="L1978" s="2">
        <v>26.256250000000001</v>
      </c>
      <c r="M1978" s="5">
        <v>472.01249999999999</v>
      </c>
      <c r="N1978" s="1">
        <v>326.7423</v>
      </c>
      <c r="O1978" s="2">
        <v>4</v>
      </c>
      <c r="P1978">
        <v>358</v>
      </c>
    </row>
    <row r="1979" spans="1:16" x14ac:dyDescent="0.35">
      <c r="A1979" s="4">
        <v>45261</v>
      </c>
      <c r="B1979" t="s">
        <v>16</v>
      </c>
      <c r="C1979" t="s">
        <v>13</v>
      </c>
      <c r="D1979">
        <v>1</v>
      </c>
      <c r="E1979" s="2">
        <v>4662.5</v>
      </c>
      <c r="F1979" s="2">
        <f t="shared" si="317"/>
        <v>4797.6875</v>
      </c>
      <c r="G1979" s="3">
        <v>1</v>
      </c>
      <c r="H1979">
        <v>3361.5</v>
      </c>
      <c r="I1979">
        <v>1574.2</v>
      </c>
      <c r="J1979">
        <v>20785</v>
      </c>
      <c r="K1979">
        <v>38147</v>
      </c>
      <c r="L1979" s="2">
        <v>26.256250000000001</v>
      </c>
      <c r="M1979" s="5">
        <v>472.01249999999999</v>
      </c>
      <c r="N1979" s="1">
        <v>326.7423</v>
      </c>
      <c r="O1979" s="2">
        <v>4</v>
      </c>
      <c r="P1979">
        <v>358</v>
      </c>
    </row>
    <row r="1980" spans="1:16" x14ac:dyDescent="0.35">
      <c r="A1980" s="4">
        <v>45261</v>
      </c>
      <c r="B1980" t="s">
        <v>16</v>
      </c>
      <c r="C1980" t="s">
        <v>14</v>
      </c>
      <c r="D1980">
        <v>1</v>
      </c>
      <c r="E1980" s="2">
        <f>(4950+4925+5000*2)/4</f>
        <v>4968.75</v>
      </c>
      <c r="F1980" s="2">
        <f t="shared" si="317"/>
        <v>4797.6875</v>
      </c>
      <c r="G1980" s="3">
        <v>1</v>
      </c>
      <c r="H1980">
        <v>3361.5</v>
      </c>
      <c r="I1980">
        <v>1574.2</v>
      </c>
      <c r="J1980">
        <v>20785</v>
      </c>
      <c r="K1980">
        <v>38147</v>
      </c>
      <c r="L1980" s="2">
        <v>26.256250000000001</v>
      </c>
      <c r="M1980" s="5">
        <v>472.01249999999999</v>
      </c>
      <c r="N1980" s="1">
        <v>326.7423</v>
      </c>
      <c r="O1980" s="2">
        <v>4</v>
      </c>
      <c r="P1980">
        <v>358</v>
      </c>
    </row>
    <row r="1981" spans="1:16" x14ac:dyDescent="0.35">
      <c r="A1981" s="4">
        <v>45261</v>
      </c>
      <c r="B1981" t="s">
        <v>16</v>
      </c>
      <c r="C1981" t="s">
        <v>15</v>
      </c>
      <c r="D1981">
        <v>0</v>
      </c>
      <c r="E1981" s="2" t="s">
        <v>27</v>
      </c>
      <c r="F1981" s="2">
        <f t="shared" si="317"/>
        <v>4797.6875</v>
      </c>
      <c r="G1981" s="3">
        <v>1</v>
      </c>
      <c r="H1981">
        <v>3361.5</v>
      </c>
      <c r="I1981">
        <v>1574.2</v>
      </c>
      <c r="J1981">
        <v>20785</v>
      </c>
      <c r="K1981">
        <v>38147</v>
      </c>
      <c r="L1981" s="2">
        <v>26.256250000000001</v>
      </c>
      <c r="M1981" s="5">
        <v>472.01249999999999</v>
      </c>
      <c r="N1981" s="1">
        <v>326.7423</v>
      </c>
      <c r="O1981" s="2">
        <v>4</v>
      </c>
      <c r="P1981">
        <v>358</v>
      </c>
    </row>
    <row r="1982" spans="1:16" x14ac:dyDescent="0.35">
      <c r="A1982" s="4">
        <v>45261</v>
      </c>
      <c r="B1982" t="s">
        <v>17</v>
      </c>
      <c r="C1982" t="s">
        <v>10</v>
      </c>
      <c r="D1982">
        <v>1</v>
      </c>
      <c r="E1982" s="2">
        <f>(3750+3938+3650+3600)/4</f>
        <v>3734.5</v>
      </c>
      <c r="F1982" s="2">
        <f>(3704.6+3892.4+3910+3865.6)/4</f>
        <v>3843.15</v>
      </c>
      <c r="G1982" s="3">
        <v>1</v>
      </c>
      <c r="H1982">
        <v>3361.5</v>
      </c>
      <c r="I1982">
        <v>1574.2</v>
      </c>
      <c r="J1982">
        <v>20785</v>
      </c>
      <c r="K1982">
        <v>38147</v>
      </c>
      <c r="L1982" s="2">
        <v>26.256250000000001</v>
      </c>
      <c r="M1982" s="5">
        <v>472.01249999999999</v>
      </c>
      <c r="N1982" s="1">
        <v>326.7423</v>
      </c>
      <c r="O1982" s="2">
        <v>4</v>
      </c>
      <c r="P1982">
        <v>358</v>
      </c>
    </row>
    <row r="1983" spans="1:16" x14ac:dyDescent="0.35">
      <c r="A1983" s="4">
        <v>45261</v>
      </c>
      <c r="B1983" t="s">
        <v>17</v>
      </c>
      <c r="C1983" t="s">
        <v>11</v>
      </c>
      <c r="D1983">
        <v>1</v>
      </c>
      <c r="E1983" s="2">
        <v>3800</v>
      </c>
      <c r="F1983" s="2">
        <f t="shared" ref="F1983:F1987" si="318">(3704.6+3892.4+3910+3865.6)/4</f>
        <v>3843.15</v>
      </c>
      <c r="G1983" s="3">
        <v>1</v>
      </c>
      <c r="H1983">
        <v>3361.5</v>
      </c>
      <c r="I1983">
        <v>1574.2</v>
      </c>
      <c r="J1983">
        <v>20785</v>
      </c>
      <c r="K1983">
        <v>38147</v>
      </c>
      <c r="L1983" s="2">
        <v>26.256250000000001</v>
      </c>
      <c r="M1983" s="5">
        <v>472.01249999999999</v>
      </c>
      <c r="N1983" s="1">
        <v>326.7423</v>
      </c>
      <c r="O1983" s="2">
        <v>4</v>
      </c>
      <c r="P1983">
        <v>358</v>
      </c>
    </row>
    <row r="1984" spans="1:16" x14ac:dyDescent="0.35">
      <c r="A1984" s="4">
        <v>45261</v>
      </c>
      <c r="B1984" t="s">
        <v>17</v>
      </c>
      <c r="C1984" t="s">
        <v>12</v>
      </c>
      <c r="D1984">
        <v>1</v>
      </c>
      <c r="E1984" s="2">
        <v>4395</v>
      </c>
      <c r="F1984" s="2">
        <f t="shared" si="318"/>
        <v>3843.15</v>
      </c>
      <c r="G1984" s="3">
        <v>1</v>
      </c>
      <c r="H1984">
        <v>3361.5</v>
      </c>
      <c r="I1984">
        <v>1574.2</v>
      </c>
      <c r="J1984">
        <v>20785</v>
      </c>
      <c r="K1984">
        <v>38147</v>
      </c>
      <c r="L1984" s="2">
        <v>26.256250000000001</v>
      </c>
      <c r="M1984" s="5">
        <v>472.01249999999999</v>
      </c>
      <c r="N1984" s="1">
        <v>326.7423</v>
      </c>
      <c r="O1984" s="2">
        <v>4</v>
      </c>
      <c r="P1984">
        <v>358</v>
      </c>
    </row>
    <row r="1985" spans="1:16" x14ac:dyDescent="0.35">
      <c r="A1985" s="4">
        <v>45261</v>
      </c>
      <c r="B1985" t="s">
        <v>17</v>
      </c>
      <c r="C1985" t="s">
        <v>13</v>
      </c>
      <c r="D1985">
        <v>1</v>
      </c>
      <c r="E1985" s="2">
        <v>3800</v>
      </c>
      <c r="F1985" s="2">
        <f t="shared" si="318"/>
        <v>3843.15</v>
      </c>
      <c r="G1985" s="3">
        <v>1</v>
      </c>
      <c r="H1985">
        <v>3361.5</v>
      </c>
      <c r="I1985">
        <v>1574.2</v>
      </c>
      <c r="J1985">
        <v>20785</v>
      </c>
      <c r="K1985">
        <v>38147</v>
      </c>
      <c r="L1985" s="2">
        <v>26.256250000000001</v>
      </c>
      <c r="M1985" s="5">
        <v>472.01249999999999</v>
      </c>
      <c r="N1985" s="1">
        <v>326.7423</v>
      </c>
      <c r="O1985" s="2">
        <v>4</v>
      </c>
      <c r="P1985">
        <v>358</v>
      </c>
    </row>
    <row r="1986" spans="1:16" x14ac:dyDescent="0.35">
      <c r="A1986" s="4">
        <v>45261</v>
      </c>
      <c r="B1986" t="s">
        <v>17</v>
      </c>
      <c r="C1986" t="s">
        <v>14</v>
      </c>
      <c r="D1986">
        <v>1</v>
      </c>
      <c r="E1986" s="2">
        <f>(3633+3567+3767+3683)/4</f>
        <v>3662.5</v>
      </c>
      <c r="F1986" s="2">
        <f t="shared" si="318"/>
        <v>3843.15</v>
      </c>
      <c r="G1986" s="3">
        <v>1</v>
      </c>
      <c r="H1986">
        <v>3361.5</v>
      </c>
      <c r="I1986">
        <v>1574.2</v>
      </c>
      <c r="J1986">
        <v>20785</v>
      </c>
      <c r="K1986">
        <v>38147</v>
      </c>
      <c r="L1986" s="2">
        <v>26.256250000000001</v>
      </c>
      <c r="M1986" s="5">
        <v>472.01249999999999</v>
      </c>
      <c r="N1986" s="1">
        <v>326.7423</v>
      </c>
      <c r="O1986" s="2">
        <v>4</v>
      </c>
      <c r="P1986">
        <v>358</v>
      </c>
    </row>
    <row r="1987" spans="1:16" x14ac:dyDescent="0.35">
      <c r="A1987" s="4">
        <v>45261</v>
      </c>
      <c r="B1987" t="s">
        <v>17</v>
      </c>
      <c r="C1987" t="s">
        <v>15</v>
      </c>
      <c r="D1987">
        <v>0</v>
      </c>
      <c r="E1987" s="2" t="s">
        <v>27</v>
      </c>
      <c r="F1987" s="2">
        <f t="shared" si="318"/>
        <v>3843.15</v>
      </c>
      <c r="G1987" s="3">
        <v>1</v>
      </c>
      <c r="H1987">
        <v>3361.5</v>
      </c>
      <c r="I1987">
        <v>1574.2</v>
      </c>
      <c r="J1987">
        <v>20785</v>
      </c>
      <c r="K1987">
        <v>38147</v>
      </c>
      <c r="L1987" s="2">
        <v>26.256250000000001</v>
      </c>
      <c r="M1987" s="5">
        <v>472.01249999999999</v>
      </c>
      <c r="N1987" s="1">
        <v>326.7423</v>
      </c>
      <c r="O1987" s="2">
        <v>4</v>
      </c>
      <c r="P1987">
        <v>358</v>
      </c>
    </row>
    <row r="1988" spans="1:16" x14ac:dyDescent="0.35">
      <c r="A1988" s="4">
        <v>45261</v>
      </c>
      <c r="B1988" t="s">
        <v>18</v>
      </c>
      <c r="C1988" t="s">
        <v>10</v>
      </c>
      <c r="D1988">
        <v>1</v>
      </c>
      <c r="E1988" s="2">
        <f>(3133+3638+3138+3200)/4</f>
        <v>3277.25</v>
      </c>
      <c r="F1988" s="2">
        <f>(3280.38+3074.71+3204.13+3244.13)/4</f>
        <v>3200.8375000000005</v>
      </c>
      <c r="G1988" s="3">
        <v>1</v>
      </c>
      <c r="H1988">
        <v>3361.5</v>
      </c>
      <c r="I1988">
        <v>1574.2</v>
      </c>
      <c r="J1988">
        <v>20785</v>
      </c>
      <c r="K1988">
        <v>38147</v>
      </c>
      <c r="L1988" s="2">
        <v>26.256250000000001</v>
      </c>
      <c r="M1988" s="5">
        <v>472.01249999999999</v>
      </c>
      <c r="N1988" s="1">
        <v>326.7423</v>
      </c>
      <c r="O1988" s="2">
        <v>4</v>
      </c>
      <c r="P1988">
        <v>358</v>
      </c>
    </row>
    <row r="1989" spans="1:16" x14ac:dyDescent="0.35">
      <c r="A1989" s="4">
        <v>45261</v>
      </c>
      <c r="B1989" t="s">
        <v>18</v>
      </c>
      <c r="C1989" t="s">
        <v>11</v>
      </c>
      <c r="D1989">
        <v>1</v>
      </c>
      <c r="E1989" s="2">
        <f>(3300+3200*2+3250)/4</f>
        <v>3237.5</v>
      </c>
      <c r="F1989" s="2">
        <f t="shared" ref="F1989:F1993" si="319">(3280.38+3074.71+3204.13+3244.13)/4</f>
        <v>3200.8375000000005</v>
      </c>
      <c r="G1989" s="3">
        <v>1</v>
      </c>
      <c r="H1989">
        <v>3361.5</v>
      </c>
      <c r="I1989">
        <v>1574.2</v>
      </c>
      <c r="J1989">
        <v>20785</v>
      </c>
      <c r="K1989">
        <v>38147</v>
      </c>
      <c r="L1989" s="2">
        <v>26.256250000000001</v>
      </c>
      <c r="M1989" s="5">
        <v>472.01249999999999</v>
      </c>
      <c r="N1989" s="1">
        <v>326.7423</v>
      </c>
      <c r="O1989" s="2">
        <v>4</v>
      </c>
      <c r="P1989">
        <v>358</v>
      </c>
    </row>
    <row r="1990" spans="1:16" x14ac:dyDescent="0.35">
      <c r="A1990" s="4">
        <v>45261</v>
      </c>
      <c r="B1990" t="s">
        <v>18</v>
      </c>
      <c r="C1990" t="s">
        <v>12</v>
      </c>
      <c r="D1990">
        <v>1</v>
      </c>
      <c r="E1990" s="2">
        <v>2970</v>
      </c>
      <c r="F1990" s="2">
        <f t="shared" si="319"/>
        <v>3200.8375000000005</v>
      </c>
      <c r="G1990" s="3">
        <v>1</v>
      </c>
      <c r="H1990">
        <v>3361.5</v>
      </c>
      <c r="I1990">
        <v>1574.2</v>
      </c>
      <c r="J1990">
        <v>20785</v>
      </c>
      <c r="K1990">
        <v>38147</v>
      </c>
      <c r="L1990" s="2">
        <v>26.256250000000001</v>
      </c>
      <c r="M1990" s="5">
        <v>472.01249999999999</v>
      </c>
      <c r="N1990" s="1">
        <v>326.7423</v>
      </c>
      <c r="O1990" s="2">
        <v>4</v>
      </c>
      <c r="P1990">
        <v>358</v>
      </c>
    </row>
    <row r="1991" spans="1:16" x14ac:dyDescent="0.35">
      <c r="A1991" s="4">
        <v>45261</v>
      </c>
      <c r="B1991" t="s">
        <v>18</v>
      </c>
      <c r="C1991" t="s">
        <v>13</v>
      </c>
      <c r="D1991">
        <v>1</v>
      </c>
      <c r="E1991" s="2">
        <f>(3200+3050+3125+3150)/4</f>
        <v>3131.25</v>
      </c>
      <c r="F1991" s="2">
        <f t="shared" si="319"/>
        <v>3200.8375000000005</v>
      </c>
      <c r="G1991" s="3">
        <v>1</v>
      </c>
      <c r="H1991">
        <v>3361.5</v>
      </c>
      <c r="I1991">
        <v>1574.2</v>
      </c>
      <c r="J1991">
        <v>20785</v>
      </c>
      <c r="K1991">
        <v>38147</v>
      </c>
      <c r="L1991" s="2">
        <v>26.256250000000001</v>
      </c>
      <c r="M1991" s="5">
        <v>472.01249999999999</v>
      </c>
      <c r="N1991" s="1">
        <v>326.7423</v>
      </c>
      <c r="O1991" s="2">
        <v>4</v>
      </c>
      <c r="P1991">
        <v>358</v>
      </c>
    </row>
    <row r="1992" spans="1:16" x14ac:dyDescent="0.35">
      <c r="A1992" s="4">
        <v>45261</v>
      </c>
      <c r="B1992" t="s">
        <v>18</v>
      </c>
      <c r="C1992" t="s">
        <v>14</v>
      </c>
      <c r="D1992">
        <v>1</v>
      </c>
      <c r="E1992" s="2">
        <f>(3180+3125+3175+3233)/4</f>
        <v>3178.25</v>
      </c>
      <c r="F1992" s="2">
        <f t="shared" si="319"/>
        <v>3200.8375000000005</v>
      </c>
      <c r="G1992" s="3">
        <v>1</v>
      </c>
      <c r="H1992">
        <v>3361.5</v>
      </c>
      <c r="I1992">
        <v>1574.2</v>
      </c>
      <c r="J1992">
        <v>20785</v>
      </c>
      <c r="K1992">
        <v>38147</v>
      </c>
      <c r="L1992" s="2">
        <v>26.256250000000001</v>
      </c>
      <c r="M1992" s="5">
        <v>472.01249999999999</v>
      </c>
      <c r="N1992" s="1">
        <v>326.7423</v>
      </c>
      <c r="O1992" s="2">
        <v>4</v>
      </c>
      <c r="P1992">
        <v>358</v>
      </c>
    </row>
    <row r="1993" spans="1:16" x14ac:dyDescent="0.35">
      <c r="A1993" s="4">
        <v>45261</v>
      </c>
      <c r="B1993" t="s">
        <v>18</v>
      </c>
      <c r="C1993" t="s">
        <v>15</v>
      </c>
      <c r="D1993">
        <v>1</v>
      </c>
      <c r="E1993" s="2">
        <f>(3200*2+2950+3150)/4</f>
        <v>3125</v>
      </c>
      <c r="F1993" s="2">
        <f t="shared" si="319"/>
        <v>3200.8375000000005</v>
      </c>
      <c r="G1993" s="3">
        <v>1</v>
      </c>
      <c r="H1993">
        <v>3361.5</v>
      </c>
      <c r="I1993">
        <v>1574.2</v>
      </c>
      <c r="J1993">
        <v>20785</v>
      </c>
      <c r="K1993">
        <v>38147</v>
      </c>
      <c r="L1993" s="2">
        <v>26.256250000000001</v>
      </c>
      <c r="M1993" s="5">
        <v>472.01249999999999</v>
      </c>
      <c r="N1993" s="1">
        <v>326.7423</v>
      </c>
      <c r="O1993" s="2">
        <v>4</v>
      </c>
      <c r="P1993">
        <v>358</v>
      </c>
    </row>
    <row r="1994" spans="1:16" x14ac:dyDescent="0.35">
      <c r="A1994" s="4">
        <v>45261</v>
      </c>
      <c r="B1994" t="s">
        <v>19</v>
      </c>
      <c r="C1994" t="s">
        <v>10</v>
      </c>
      <c r="D1994">
        <v>1</v>
      </c>
      <c r="E1994" s="2">
        <f>(2966+3000+3100+2950)/4</f>
        <v>3004</v>
      </c>
      <c r="F1994" s="2">
        <f>(2829.71+2967.5+2923.75+2959.13)/4</f>
        <v>2920.0225</v>
      </c>
      <c r="G1994" s="3">
        <v>1</v>
      </c>
      <c r="H1994">
        <v>3361.5</v>
      </c>
      <c r="I1994">
        <v>1574.2</v>
      </c>
      <c r="J1994">
        <v>20785</v>
      </c>
      <c r="K1994">
        <v>38147</v>
      </c>
      <c r="L1994" s="2">
        <v>26.256250000000001</v>
      </c>
      <c r="M1994" s="5">
        <v>472.01249999999999</v>
      </c>
      <c r="N1994" s="1">
        <v>326.7423</v>
      </c>
      <c r="O1994" s="2">
        <v>4</v>
      </c>
      <c r="P1994">
        <v>358</v>
      </c>
    </row>
    <row r="1995" spans="1:16" x14ac:dyDescent="0.35">
      <c r="A1995" s="4">
        <v>45261</v>
      </c>
      <c r="B1995" t="s">
        <v>19</v>
      </c>
      <c r="C1995" t="s">
        <v>11</v>
      </c>
      <c r="D1995">
        <v>1</v>
      </c>
      <c r="E1995" s="2">
        <v>2800</v>
      </c>
      <c r="F1995" s="2">
        <f t="shared" ref="F1995:F1999" si="320">(2829.71+2967.5+2923.75+2959.13)/4</f>
        <v>2920.0225</v>
      </c>
      <c r="G1995" s="3">
        <v>1</v>
      </c>
      <c r="H1995">
        <v>3361.5</v>
      </c>
      <c r="I1995">
        <v>1574.2</v>
      </c>
      <c r="J1995">
        <v>20785</v>
      </c>
      <c r="K1995">
        <v>38147</v>
      </c>
      <c r="L1995" s="2">
        <v>26.256250000000001</v>
      </c>
      <c r="M1995" s="5">
        <v>472.01249999999999</v>
      </c>
      <c r="N1995" s="1">
        <v>326.7423</v>
      </c>
      <c r="O1995" s="2">
        <v>4</v>
      </c>
      <c r="P1995">
        <v>358</v>
      </c>
    </row>
    <row r="1996" spans="1:16" x14ac:dyDescent="0.35">
      <c r="A1996" s="4">
        <v>45261</v>
      </c>
      <c r="B1996" t="s">
        <v>19</v>
      </c>
      <c r="C1996" t="s">
        <v>12</v>
      </c>
      <c r="D1996">
        <v>1</v>
      </c>
      <c r="E1996" s="2">
        <v>2590</v>
      </c>
      <c r="F1996" s="2">
        <f t="shared" si="320"/>
        <v>2920.0225</v>
      </c>
      <c r="G1996" s="3">
        <v>1</v>
      </c>
      <c r="H1996">
        <v>3361.5</v>
      </c>
      <c r="I1996">
        <v>1574.2</v>
      </c>
      <c r="J1996">
        <v>20785</v>
      </c>
      <c r="K1996">
        <v>38147</v>
      </c>
      <c r="L1996" s="2">
        <v>26.256250000000001</v>
      </c>
      <c r="M1996" s="5">
        <v>472.01249999999999</v>
      </c>
      <c r="N1996" s="1">
        <v>326.7423</v>
      </c>
      <c r="O1996" s="2">
        <v>4</v>
      </c>
      <c r="P1996">
        <v>358</v>
      </c>
    </row>
    <row r="1997" spans="1:16" x14ac:dyDescent="0.35">
      <c r="A1997" s="4">
        <v>45261</v>
      </c>
      <c r="B1997" t="s">
        <v>19</v>
      </c>
      <c r="C1997" t="s">
        <v>13</v>
      </c>
      <c r="D1997">
        <v>1</v>
      </c>
      <c r="E1997" s="2">
        <v>2950</v>
      </c>
      <c r="F1997" s="2">
        <f t="shared" si="320"/>
        <v>2920.0225</v>
      </c>
      <c r="G1997" s="3">
        <v>1</v>
      </c>
      <c r="H1997">
        <v>3361.5</v>
      </c>
      <c r="I1997">
        <v>1574.2</v>
      </c>
      <c r="J1997">
        <v>20785</v>
      </c>
      <c r="K1997">
        <v>38147</v>
      </c>
      <c r="L1997" s="2">
        <v>26.256250000000001</v>
      </c>
      <c r="M1997" s="5">
        <v>472.01249999999999</v>
      </c>
      <c r="N1997" s="1">
        <v>326.7423</v>
      </c>
      <c r="O1997" s="2">
        <v>4</v>
      </c>
      <c r="P1997">
        <v>358</v>
      </c>
    </row>
    <row r="1998" spans="1:16" x14ac:dyDescent="0.35">
      <c r="A1998" s="4">
        <v>45261</v>
      </c>
      <c r="B1998" t="s">
        <v>19</v>
      </c>
      <c r="C1998" t="s">
        <v>14</v>
      </c>
      <c r="D1998">
        <v>1</v>
      </c>
      <c r="E1998" s="2">
        <f>(3000+3037+3000+2993)/4</f>
        <v>3007.5</v>
      </c>
      <c r="F1998" s="2">
        <f t="shared" si="320"/>
        <v>2920.0225</v>
      </c>
      <c r="G1998" s="3">
        <v>1</v>
      </c>
      <c r="H1998">
        <v>3361.5</v>
      </c>
      <c r="I1998">
        <v>1574.2</v>
      </c>
      <c r="J1998">
        <v>20785</v>
      </c>
      <c r="K1998">
        <v>38147</v>
      </c>
      <c r="L1998" s="2">
        <v>26.256250000000001</v>
      </c>
      <c r="M1998" s="5">
        <v>472.01249999999999</v>
      </c>
      <c r="N1998" s="1">
        <v>326.7423</v>
      </c>
      <c r="O1998" s="2">
        <v>4</v>
      </c>
      <c r="P1998">
        <v>358</v>
      </c>
    </row>
    <row r="1999" spans="1:16" x14ac:dyDescent="0.35">
      <c r="A1999" s="4">
        <v>45261</v>
      </c>
      <c r="B1999" t="s">
        <v>19</v>
      </c>
      <c r="C1999" t="s">
        <v>15</v>
      </c>
      <c r="D1999">
        <v>1</v>
      </c>
      <c r="E1999" s="2">
        <f>(2975+2950+2925+2850)/4</f>
        <v>2925</v>
      </c>
      <c r="F1999" s="2">
        <f t="shared" si="320"/>
        <v>2920.0225</v>
      </c>
      <c r="G1999" s="3">
        <v>1</v>
      </c>
      <c r="H1999">
        <v>3361.5</v>
      </c>
      <c r="I1999">
        <v>1574.2</v>
      </c>
      <c r="J1999">
        <v>20785</v>
      </c>
      <c r="K1999">
        <v>38147</v>
      </c>
      <c r="L1999" s="2">
        <v>26.256250000000001</v>
      </c>
      <c r="M1999" s="5">
        <v>472.01249999999999</v>
      </c>
      <c r="N1999" s="1">
        <v>326.7423</v>
      </c>
      <c r="O1999" s="2">
        <v>4</v>
      </c>
      <c r="P1999">
        <v>358</v>
      </c>
    </row>
    <row r="2000" spans="1:16" x14ac:dyDescent="0.35">
      <c r="A2000" s="4">
        <v>45261</v>
      </c>
      <c r="B2000" t="s">
        <v>20</v>
      </c>
      <c r="C2000" t="s">
        <v>10</v>
      </c>
      <c r="D2000">
        <v>1</v>
      </c>
      <c r="E2000" s="2">
        <f>(2466+2475+2537+2550)/4</f>
        <v>2507</v>
      </c>
      <c r="F2000" s="2">
        <f>(2673.63+2590.88+2672.13+2645)/4</f>
        <v>2645.41</v>
      </c>
      <c r="G2000" s="3">
        <v>1</v>
      </c>
      <c r="H2000">
        <v>3361.5</v>
      </c>
      <c r="I2000">
        <v>1574.2</v>
      </c>
      <c r="J2000">
        <v>20785</v>
      </c>
      <c r="K2000">
        <v>38147</v>
      </c>
      <c r="L2000" s="2">
        <v>26.256250000000001</v>
      </c>
      <c r="M2000" s="5">
        <v>472.01249999999999</v>
      </c>
      <c r="N2000" s="1">
        <v>326.7423</v>
      </c>
      <c r="O2000" s="2">
        <v>4</v>
      </c>
      <c r="P2000">
        <v>358</v>
      </c>
    </row>
    <row r="2001" spans="1:16" x14ac:dyDescent="0.35">
      <c r="A2001" s="4">
        <v>45261</v>
      </c>
      <c r="B2001" t="s">
        <v>20</v>
      </c>
      <c r="C2001" t="s">
        <v>11</v>
      </c>
      <c r="D2001">
        <v>1</v>
      </c>
      <c r="E2001" s="2">
        <v>2600</v>
      </c>
      <c r="F2001" s="2">
        <f t="shared" ref="F2001:F2005" si="321">(2673.63+2590.88+2672.13+2645)/4</f>
        <v>2645.41</v>
      </c>
      <c r="G2001" s="3">
        <v>1</v>
      </c>
      <c r="H2001">
        <v>3361.5</v>
      </c>
      <c r="I2001">
        <v>1574.2</v>
      </c>
      <c r="J2001">
        <v>20785</v>
      </c>
      <c r="K2001">
        <v>38147</v>
      </c>
      <c r="L2001" s="2">
        <v>26.256250000000001</v>
      </c>
      <c r="M2001" s="5">
        <v>472.01249999999999</v>
      </c>
      <c r="N2001" s="1">
        <v>326.7423</v>
      </c>
      <c r="O2001" s="2">
        <v>4</v>
      </c>
      <c r="P2001">
        <v>358</v>
      </c>
    </row>
    <row r="2002" spans="1:16" x14ac:dyDescent="0.35">
      <c r="A2002" s="4">
        <v>45261</v>
      </c>
      <c r="B2002" t="s">
        <v>20</v>
      </c>
      <c r="C2002" t="s">
        <v>12</v>
      </c>
      <c r="D2002">
        <v>1</v>
      </c>
      <c r="E2002" s="2">
        <v>2190</v>
      </c>
      <c r="F2002" s="2">
        <f t="shared" si="321"/>
        <v>2645.41</v>
      </c>
      <c r="G2002" s="3">
        <v>1</v>
      </c>
      <c r="H2002">
        <v>3361.5</v>
      </c>
      <c r="I2002">
        <v>1574.2</v>
      </c>
      <c r="J2002">
        <v>20785</v>
      </c>
      <c r="K2002">
        <v>38147</v>
      </c>
      <c r="L2002" s="2">
        <v>26.256250000000001</v>
      </c>
      <c r="M2002" s="5">
        <v>472.01249999999999</v>
      </c>
      <c r="N2002" s="1">
        <v>326.7423</v>
      </c>
      <c r="O2002" s="2">
        <v>4</v>
      </c>
      <c r="P2002">
        <v>358</v>
      </c>
    </row>
    <row r="2003" spans="1:16" x14ac:dyDescent="0.35">
      <c r="A2003" s="4">
        <v>45261</v>
      </c>
      <c r="B2003" t="s">
        <v>20</v>
      </c>
      <c r="C2003" t="s">
        <v>13</v>
      </c>
      <c r="D2003">
        <v>1</v>
      </c>
      <c r="E2003" s="2">
        <f>(2775+2725+2675+2800)/4</f>
        <v>2743.75</v>
      </c>
      <c r="F2003" s="2">
        <f t="shared" si="321"/>
        <v>2645.41</v>
      </c>
      <c r="G2003" s="3">
        <v>1</v>
      </c>
      <c r="H2003">
        <v>3361.5</v>
      </c>
      <c r="I2003">
        <v>1574.2</v>
      </c>
      <c r="J2003">
        <v>20785</v>
      </c>
      <c r="K2003">
        <v>38147</v>
      </c>
      <c r="L2003" s="2">
        <v>26.256250000000001</v>
      </c>
      <c r="M2003" s="5">
        <v>472.01249999999999</v>
      </c>
      <c r="N2003" s="1">
        <v>326.7423</v>
      </c>
      <c r="O2003" s="2">
        <v>4</v>
      </c>
      <c r="P2003">
        <v>358</v>
      </c>
    </row>
    <row r="2004" spans="1:16" x14ac:dyDescent="0.35">
      <c r="A2004" s="4">
        <v>45261</v>
      </c>
      <c r="B2004" t="s">
        <v>20</v>
      </c>
      <c r="C2004" t="s">
        <v>14</v>
      </c>
      <c r="D2004">
        <v>1</v>
      </c>
      <c r="E2004" s="2">
        <f>(2783+2737+2775+2770)/4</f>
        <v>2766.25</v>
      </c>
      <c r="F2004" s="2">
        <f t="shared" si="321"/>
        <v>2645.41</v>
      </c>
      <c r="G2004" s="3">
        <v>1</v>
      </c>
      <c r="H2004">
        <v>3361.5</v>
      </c>
      <c r="I2004">
        <v>1574.2</v>
      </c>
      <c r="J2004">
        <v>20785</v>
      </c>
      <c r="K2004">
        <v>38147</v>
      </c>
      <c r="L2004" s="2">
        <v>26.256250000000001</v>
      </c>
      <c r="M2004" s="5">
        <v>472.01249999999999</v>
      </c>
      <c r="N2004" s="1">
        <v>326.7423</v>
      </c>
      <c r="O2004" s="2">
        <v>4</v>
      </c>
      <c r="P2004">
        <v>358</v>
      </c>
    </row>
    <row r="2005" spans="1:16" x14ac:dyDescent="0.35">
      <c r="A2005" s="4">
        <v>45261</v>
      </c>
      <c r="B2005" t="s">
        <v>20</v>
      </c>
      <c r="C2005" t="s">
        <v>15</v>
      </c>
      <c r="D2005">
        <v>1</v>
      </c>
      <c r="E2005" s="2">
        <f>(2625+2650*2+2700)/4</f>
        <v>2656.25</v>
      </c>
      <c r="F2005" s="2">
        <f t="shared" si="321"/>
        <v>2645.41</v>
      </c>
      <c r="G2005" s="3">
        <v>1</v>
      </c>
      <c r="H2005">
        <v>3361.5</v>
      </c>
      <c r="I2005">
        <v>1574.2</v>
      </c>
      <c r="J2005">
        <v>20785</v>
      </c>
      <c r="K2005">
        <v>38147</v>
      </c>
      <c r="L2005" s="2">
        <v>26.256250000000001</v>
      </c>
      <c r="M2005" s="5">
        <v>472.01249999999999</v>
      </c>
      <c r="N2005" s="1">
        <v>326.7423</v>
      </c>
      <c r="O2005" s="2">
        <v>4</v>
      </c>
      <c r="P2005">
        <v>358</v>
      </c>
    </row>
    <row r="2006" spans="1:16" x14ac:dyDescent="0.35">
      <c r="A2006" s="4">
        <v>45261</v>
      </c>
      <c r="B2006" t="s">
        <v>21</v>
      </c>
      <c r="C2006" t="s">
        <v>10</v>
      </c>
      <c r="D2006">
        <v>1</v>
      </c>
      <c r="E2006" s="2">
        <f>(2200+2175+2300+2050)/4</f>
        <v>2181.25</v>
      </c>
      <c r="F2006" s="2">
        <f>(2459.38+2460.75+2467.75+2453.88)/4</f>
        <v>2460.44</v>
      </c>
      <c r="G2006" s="3">
        <v>1</v>
      </c>
      <c r="H2006">
        <v>3361.5</v>
      </c>
      <c r="I2006">
        <v>1574.2</v>
      </c>
      <c r="J2006">
        <v>20785</v>
      </c>
      <c r="K2006">
        <v>38147</v>
      </c>
      <c r="L2006" s="2">
        <v>26.256250000000001</v>
      </c>
      <c r="M2006" s="5">
        <v>472.01249999999999</v>
      </c>
      <c r="N2006" s="1">
        <v>326.7423</v>
      </c>
      <c r="O2006" s="2">
        <v>4</v>
      </c>
      <c r="P2006">
        <v>358</v>
      </c>
    </row>
    <row r="2007" spans="1:16" x14ac:dyDescent="0.35">
      <c r="A2007" s="4">
        <v>45261</v>
      </c>
      <c r="B2007" t="s">
        <v>21</v>
      </c>
      <c r="C2007" t="s">
        <v>11</v>
      </c>
      <c r="D2007">
        <v>1</v>
      </c>
      <c r="E2007" s="2">
        <v>2450</v>
      </c>
      <c r="F2007" s="2">
        <f t="shared" ref="F2007:F2011" si="322">(2459.38+2460.75+2467.75+2453.88)/4</f>
        <v>2460.44</v>
      </c>
      <c r="G2007" s="3">
        <v>1</v>
      </c>
      <c r="H2007">
        <v>3361.5</v>
      </c>
      <c r="I2007">
        <v>1574.2</v>
      </c>
      <c r="J2007">
        <v>20785</v>
      </c>
      <c r="K2007">
        <v>38147</v>
      </c>
      <c r="L2007" s="2">
        <v>26.256250000000001</v>
      </c>
      <c r="M2007" s="5">
        <v>472.01249999999999</v>
      </c>
      <c r="N2007" s="1">
        <v>326.7423</v>
      </c>
      <c r="O2007" s="2">
        <v>4</v>
      </c>
      <c r="P2007">
        <v>358</v>
      </c>
    </row>
    <row r="2008" spans="1:16" x14ac:dyDescent="0.35">
      <c r="A2008" s="4">
        <v>45261</v>
      </c>
      <c r="B2008" t="s">
        <v>21</v>
      </c>
      <c r="C2008" t="s">
        <v>12</v>
      </c>
      <c r="D2008">
        <v>1</v>
      </c>
      <c r="E2008" s="2">
        <v>2100</v>
      </c>
      <c r="F2008" s="2">
        <f t="shared" si="322"/>
        <v>2460.44</v>
      </c>
      <c r="G2008" s="3">
        <v>1</v>
      </c>
      <c r="H2008">
        <v>3361.5</v>
      </c>
      <c r="I2008">
        <v>1574.2</v>
      </c>
      <c r="J2008">
        <v>20785</v>
      </c>
      <c r="K2008">
        <v>38147</v>
      </c>
      <c r="L2008" s="2">
        <v>26.256250000000001</v>
      </c>
      <c r="M2008" s="5">
        <v>472.01249999999999</v>
      </c>
      <c r="N2008" s="1">
        <v>326.7423</v>
      </c>
      <c r="O2008" s="2">
        <v>4</v>
      </c>
      <c r="P2008">
        <v>358</v>
      </c>
    </row>
    <row r="2009" spans="1:16" x14ac:dyDescent="0.35">
      <c r="A2009" s="4">
        <v>45261</v>
      </c>
      <c r="B2009" t="s">
        <v>21</v>
      </c>
      <c r="C2009" t="s">
        <v>13</v>
      </c>
      <c r="D2009">
        <v>1</v>
      </c>
      <c r="E2009" s="2">
        <f>(2700+2675+2600+2650)/4</f>
        <v>2656.25</v>
      </c>
      <c r="F2009" s="2">
        <f t="shared" si="322"/>
        <v>2460.44</v>
      </c>
      <c r="G2009" s="3">
        <v>1</v>
      </c>
      <c r="H2009">
        <v>3361.5</v>
      </c>
      <c r="I2009">
        <v>1574.2</v>
      </c>
      <c r="J2009">
        <v>20785</v>
      </c>
      <c r="K2009">
        <v>38147</v>
      </c>
      <c r="L2009" s="2">
        <v>26.256250000000001</v>
      </c>
      <c r="M2009" s="5">
        <v>472.01249999999999</v>
      </c>
      <c r="N2009" s="1">
        <v>326.7423</v>
      </c>
      <c r="O2009" s="2">
        <v>4</v>
      </c>
      <c r="P2009">
        <v>358</v>
      </c>
    </row>
    <row r="2010" spans="1:16" x14ac:dyDescent="0.35">
      <c r="A2010" s="4">
        <v>45261</v>
      </c>
      <c r="B2010" t="s">
        <v>21</v>
      </c>
      <c r="C2010" t="s">
        <v>14</v>
      </c>
      <c r="D2010">
        <v>1</v>
      </c>
      <c r="E2010" s="2">
        <f>(2600+2536+2542+2506)/4</f>
        <v>2546</v>
      </c>
      <c r="F2010" s="2">
        <f t="shared" si="322"/>
        <v>2460.44</v>
      </c>
      <c r="G2010" s="3">
        <v>1</v>
      </c>
      <c r="H2010">
        <v>3361.5</v>
      </c>
      <c r="I2010">
        <v>1574.2</v>
      </c>
      <c r="J2010">
        <v>20785</v>
      </c>
      <c r="K2010">
        <v>38147</v>
      </c>
      <c r="L2010" s="2">
        <v>26.256250000000001</v>
      </c>
      <c r="M2010" s="5">
        <v>472.01249999999999</v>
      </c>
      <c r="N2010" s="1">
        <v>326.7423</v>
      </c>
      <c r="O2010" s="2">
        <v>4</v>
      </c>
      <c r="P2010">
        <v>358</v>
      </c>
    </row>
    <row r="2011" spans="1:16" x14ac:dyDescent="0.35">
      <c r="A2011" s="4">
        <v>45261</v>
      </c>
      <c r="B2011" t="s">
        <v>21</v>
      </c>
      <c r="C2011" t="s">
        <v>15</v>
      </c>
      <c r="D2011">
        <v>1</v>
      </c>
      <c r="E2011" s="2">
        <f>(2575+2600*2+2625)/4</f>
        <v>2600</v>
      </c>
      <c r="F2011" s="2">
        <f t="shared" si="322"/>
        <v>2460.44</v>
      </c>
      <c r="G2011" s="3">
        <v>1</v>
      </c>
      <c r="H2011">
        <v>3361.5</v>
      </c>
      <c r="I2011">
        <v>1574.2</v>
      </c>
      <c r="J2011">
        <v>20785</v>
      </c>
      <c r="K2011">
        <v>38147</v>
      </c>
      <c r="L2011" s="2">
        <v>26.256250000000001</v>
      </c>
      <c r="M2011" s="5">
        <v>472.01249999999999</v>
      </c>
      <c r="N2011" s="1">
        <v>326.7423</v>
      </c>
      <c r="O2011" s="2">
        <v>4</v>
      </c>
      <c r="P2011">
        <v>358</v>
      </c>
    </row>
    <row r="2012" spans="1:16" x14ac:dyDescent="0.35">
      <c r="A2012" s="4">
        <v>45261</v>
      </c>
      <c r="B2012" t="s">
        <v>22</v>
      </c>
      <c r="C2012" t="s">
        <v>10</v>
      </c>
      <c r="D2012">
        <v>0</v>
      </c>
      <c r="E2012" s="2" t="s">
        <v>27</v>
      </c>
      <c r="F2012" s="2">
        <f t="shared" ref="F2012:F2015" si="323">(2060+2100+2050+2067)/4</f>
        <v>2069.25</v>
      </c>
      <c r="G2012" s="3">
        <v>1</v>
      </c>
      <c r="H2012">
        <v>3361.5</v>
      </c>
      <c r="I2012">
        <v>1574.2</v>
      </c>
      <c r="J2012">
        <v>20785</v>
      </c>
      <c r="K2012">
        <v>38147</v>
      </c>
      <c r="L2012" s="2">
        <v>26.256250000000001</v>
      </c>
      <c r="M2012" s="5">
        <v>472.01249999999999</v>
      </c>
      <c r="N2012" s="1">
        <v>326.7423</v>
      </c>
      <c r="O2012" s="2">
        <v>4</v>
      </c>
      <c r="P2012">
        <v>358</v>
      </c>
    </row>
    <row r="2013" spans="1:16" x14ac:dyDescent="0.35">
      <c r="A2013" s="4">
        <v>45261</v>
      </c>
      <c r="B2013" t="s">
        <v>22</v>
      </c>
      <c r="C2013" t="s">
        <v>11</v>
      </c>
      <c r="D2013">
        <v>0</v>
      </c>
      <c r="E2013" s="2" t="s">
        <v>27</v>
      </c>
      <c r="F2013" s="2">
        <f t="shared" si="323"/>
        <v>2069.25</v>
      </c>
      <c r="G2013" s="3">
        <v>1</v>
      </c>
      <c r="H2013">
        <v>3361.5</v>
      </c>
      <c r="I2013">
        <v>1574.2</v>
      </c>
      <c r="J2013">
        <v>20785</v>
      </c>
      <c r="K2013">
        <v>38147</v>
      </c>
      <c r="L2013" s="2">
        <v>26.256250000000001</v>
      </c>
      <c r="M2013" s="5">
        <v>472.01249999999999</v>
      </c>
      <c r="N2013" s="1">
        <v>326.7423</v>
      </c>
      <c r="O2013" s="2">
        <v>4</v>
      </c>
      <c r="P2013">
        <v>358</v>
      </c>
    </row>
    <row r="2014" spans="1:16" x14ac:dyDescent="0.35">
      <c r="A2014" s="4">
        <v>45261</v>
      </c>
      <c r="B2014" t="s">
        <v>22</v>
      </c>
      <c r="C2014" t="s">
        <v>12</v>
      </c>
      <c r="D2014">
        <v>0</v>
      </c>
      <c r="E2014" s="2" t="s">
        <v>27</v>
      </c>
      <c r="F2014" s="2">
        <f t="shared" si="323"/>
        <v>2069.25</v>
      </c>
      <c r="G2014" s="3">
        <v>1</v>
      </c>
      <c r="H2014">
        <v>3361.5</v>
      </c>
      <c r="I2014">
        <v>1574.2</v>
      </c>
      <c r="J2014">
        <v>20785</v>
      </c>
      <c r="K2014">
        <v>38147</v>
      </c>
      <c r="L2014" s="2">
        <v>26.256250000000001</v>
      </c>
      <c r="M2014" s="5">
        <v>472.01249999999999</v>
      </c>
      <c r="N2014" s="1">
        <v>326.7423</v>
      </c>
      <c r="O2014" s="2">
        <v>4</v>
      </c>
      <c r="P2014">
        <v>358</v>
      </c>
    </row>
    <row r="2015" spans="1:16" x14ac:dyDescent="0.35">
      <c r="A2015" s="4">
        <v>45261</v>
      </c>
      <c r="B2015" t="s">
        <v>22</v>
      </c>
      <c r="C2015" t="s">
        <v>13</v>
      </c>
      <c r="D2015">
        <v>0</v>
      </c>
      <c r="E2015" s="2" t="s">
        <v>27</v>
      </c>
      <c r="F2015" s="2">
        <f t="shared" si="323"/>
        <v>2069.25</v>
      </c>
      <c r="G2015" s="3">
        <v>1</v>
      </c>
      <c r="H2015">
        <v>3361.5</v>
      </c>
      <c r="I2015">
        <v>1574.2</v>
      </c>
      <c r="J2015">
        <v>20785</v>
      </c>
      <c r="K2015">
        <v>38147</v>
      </c>
      <c r="L2015" s="2">
        <v>26.256250000000001</v>
      </c>
      <c r="M2015" s="5">
        <v>472.01249999999999</v>
      </c>
      <c r="N2015" s="1">
        <v>326.7423</v>
      </c>
      <c r="O2015" s="2">
        <v>4</v>
      </c>
      <c r="P2015">
        <v>358</v>
      </c>
    </row>
    <row r="2016" spans="1:16" x14ac:dyDescent="0.35">
      <c r="A2016" s="4">
        <v>45261</v>
      </c>
      <c r="B2016" t="s">
        <v>22</v>
      </c>
      <c r="C2016" t="s">
        <v>14</v>
      </c>
      <c r="D2016">
        <v>1</v>
      </c>
      <c r="E2016" s="2">
        <f>(2060+2100+2050+2067)/4</f>
        <v>2069.25</v>
      </c>
      <c r="F2016" s="2">
        <f>(2060+2100+2050+2067)/4</f>
        <v>2069.25</v>
      </c>
      <c r="G2016" s="3">
        <v>1</v>
      </c>
      <c r="H2016">
        <v>3361.5</v>
      </c>
      <c r="I2016">
        <v>1574.2</v>
      </c>
      <c r="J2016">
        <v>20785</v>
      </c>
      <c r="K2016">
        <v>38147</v>
      </c>
      <c r="L2016" s="2">
        <v>26.256250000000001</v>
      </c>
      <c r="M2016" s="5">
        <v>472.01249999999999</v>
      </c>
      <c r="N2016" s="1">
        <v>326.7423</v>
      </c>
      <c r="O2016" s="2">
        <v>4</v>
      </c>
      <c r="P2016">
        <v>358</v>
      </c>
    </row>
    <row r="2017" spans="1:16" x14ac:dyDescent="0.35">
      <c r="A2017" s="4">
        <v>45261</v>
      </c>
      <c r="B2017" t="s">
        <v>22</v>
      </c>
      <c r="C2017" t="s">
        <v>15</v>
      </c>
      <c r="D2017">
        <v>0</v>
      </c>
      <c r="E2017" s="2" t="s">
        <v>27</v>
      </c>
      <c r="F2017" s="2">
        <f>(2060+2100+2050+2067)/4</f>
        <v>2069.25</v>
      </c>
      <c r="G2017" s="3">
        <v>1</v>
      </c>
      <c r="H2017">
        <v>3361.5</v>
      </c>
      <c r="I2017">
        <v>1574.2</v>
      </c>
      <c r="J2017">
        <v>20785</v>
      </c>
      <c r="K2017">
        <v>38147</v>
      </c>
      <c r="L2017" s="2">
        <v>26.256250000000001</v>
      </c>
      <c r="M2017" s="5">
        <v>472.01249999999999</v>
      </c>
      <c r="N2017" s="1">
        <v>326.7423</v>
      </c>
      <c r="O2017" s="2">
        <v>4</v>
      </c>
      <c r="P2017">
        <v>358</v>
      </c>
    </row>
    <row r="2018" spans="1:16" x14ac:dyDescent="0.35">
      <c r="A2018" s="4">
        <v>45292</v>
      </c>
      <c r="B2018" t="s">
        <v>16</v>
      </c>
      <c r="C2018" t="s">
        <v>10</v>
      </c>
      <c r="D2018">
        <v>1</v>
      </c>
      <c r="E2018" s="2">
        <f>(4900+4950+4966+4900+4934)/5</f>
        <v>4930</v>
      </c>
      <c r="F2018" s="2">
        <f>(4810+4860+4870.25+4851.75+4843.25)/5</f>
        <v>4847.05</v>
      </c>
      <c r="G2018" s="3">
        <v>0</v>
      </c>
      <c r="H2018">
        <v>0</v>
      </c>
      <c r="I2018">
        <v>1330</v>
      </c>
      <c r="J2018">
        <v>21388</v>
      </c>
      <c r="K2018">
        <v>12400</v>
      </c>
      <c r="L2018" s="2">
        <v>25.613125</v>
      </c>
      <c r="M2018" s="5">
        <v>283.54450000000003</v>
      </c>
      <c r="N2018" s="1">
        <v>321.17059999999998</v>
      </c>
      <c r="O2018" s="2">
        <v>6.4</v>
      </c>
      <c r="P2018">
        <v>363</v>
      </c>
    </row>
    <row r="2019" spans="1:16" x14ac:dyDescent="0.35">
      <c r="A2019" s="4">
        <v>45292</v>
      </c>
      <c r="B2019" t="s">
        <v>16</v>
      </c>
      <c r="C2019" t="s">
        <v>11</v>
      </c>
      <c r="D2019">
        <v>0</v>
      </c>
      <c r="E2019" s="2" t="s">
        <v>27</v>
      </c>
      <c r="F2019" s="2">
        <f t="shared" ref="F2019:F2023" si="324">(4810+4860+4870.25+4851.75+4843.25)/5</f>
        <v>4847.05</v>
      </c>
      <c r="G2019" s="3">
        <v>0</v>
      </c>
      <c r="H2019">
        <v>0</v>
      </c>
      <c r="I2019">
        <v>1330</v>
      </c>
      <c r="J2019">
        <v>21388</v>
      </c>
      <c r="K2019">
        <v>12400</v>
      </c>
      <c r="L2019" s="2">
        <v>25.613125</v>
      </c>
      <c r="M2019" s="5">
        <v>283.54450000000003</v>
      </c>
      <c r="N2019" s="1">
        <v>321.17059999999998</v>
      </c>
      <c r="O2019" s="2">
        <v>6.4</v>
      </c>
      <c r="P2019">
        <v>363</v>
      </c>
    </row>
    <row r="2020" spans="1:16" x14ac:dyDescent="0.35">
      <c r="A2020" s="4">
        <v>45292</v>
      </c>
      <c r="B2020" t="s">
        <v>16</v>
      </c>
      <c r="C2020" t="s">
        <v>12</v>
      </c>
      <c r="D2020">
        <v>1</v>
      </c>
      <c r="E2020" s="2">
        <v>4790</v>
      </c>
      <c r="F2020" s="2">
        <f t="shared" si="324"/>
        <v>4847.05</v>
      </c>
      <c r="G2020" s="3">
        <v>0</v>
      </c>
      <c r="H2020">
        <v>0</v>
      </c>
      <c r="I2020">
        <v>1330</v>
      </c>
      <c r="J2020">
        <v>21388</v>
      </c>
      <c r="K2020">
        <v>12400</v>
      </c>
      <c r="L2020" s="2">
        <v>25.613125</v>
      </c>
      <c r="M2020" s="5">
        <v>283.54450000000003</v>
      </c>
      <c r="N2020" s="1">
        <v>321.17059999999998</v>
      </c>
      <c r="O2020" s="2">
        <v>6.4</v>
      </c>
      <c r="P2020">
        <v>363</v>
      </c>
    </row>
    <row r="2021" spans="1:16" x14ac:dyDescent="0.35">
      <c r="A2021" s="4">
        <v>45292</v>
      </c>
      <c r="B2021" t="s">
        <v>16</v>
      </c>
      <c r="C2021" t="s">
        <v>13</v>
      </c>
      <c r="D2021">
        <v>1</v>
      </c>
      <c r="E2021" s="2">
        <v>4750</v>
      </c>
      <c r="F2021" s="2">
        <f t="shared" si="324"/>
        <v>4847.05</v>
      </c>
      <c r="G2021" s="3">
        <v>0</v>
      </c>
      <c r="H2021">
        <v>0</v>
      </c>
      <c r="I2021">
        <v>1330</v>
      </c>
      <c r="J2021">
        <v>21388</v>
      </c>
      <c r="K2021">
        <v>12400</v>
      </c>
      <c r="L2021" s="2">
        <v>25.613125</v>
      </c>
      <c r="M2021" s="5">
        <v>283.54450000000003</v>
      </c>
      <c r="N2021" s="1">
        <v>321.17059999999998</v>
      </c>
      <c r="O2021" s="2">
        <v>6.4</v>
      </c>
      <c r="P2021">
        <v>363</v>
      </c>
    </row>
    <row r="2022" spans="1:16" x14ac:dyDescent="0.35">
      <c r="A2022" s="4">
        <v>45292</v>
      </c>
      <c r="B2022" t="s">
        <v>16</v>
      </c>
      <c r="C2022" t="s">
        <v>14</v>
      </c>
      <c r="D2022">
        <v>1</v>
      </c>
      <c r="E2022" s="2">
        <f>(5000+4967+4975+5000*2)/5</f>
        <v>4988.3999999999996</v>
      </c>
      <c r="F2022" s="2">
        <f t="shared" si="324"/>
        <v>4847.05</v>
      </c>
      <c r="G2022" s="3">
        <v>0</v>
      </c>
      <c r="H2022">
        <v>0</v>
      </c>
      <c r="I2022">
        <v>1330</v>
      </c>
      <c r="J2022">
        <v>21388</v>
      </c>
      <c r="K2022">
        <v>12400</v>
      </c>
      <c r="L2022" s="2">
        <v>25.613125</v>
      </c>
      <c r="M2022" s="5">
        <v>283.54450000000003</v>
      </c>
      <c r="N2022" s="1">
        <v>321.17059999999998</v>
      </c>
      <c r="O2022" s="2">
        <v>6.4</v>
      </c>
      <c r="P2022">
        <v>363</v>
      </c>
    </row>
    <row r="2023" spans="1:16" x14ac:dyDescent="0.35">
      <c r="A2023" s="4">
        <v>45292</v>
      </c>
      <c r="B2023" t="s">
        <v>16</v>
      </c>
      <c r="C2023" t="s">
        <v>15</v>
      </c>
      <c r="D2023">
        <v>0</v>
      </c>
      <c r="E2023" s="2" t="s">
        <v>27</v>
      </c>
      <c r="F2023" s="2">
        <f t="shared" si="324"/>
        <v>4847.05</v>
      </c>
      <c r="G2023" s="3">
        <v>0</v>
      </c>
      <c r="H2023">
        <v>0</v>
      </c>
      <c r="I2023">
        <v>1330</v>
      </c>
      <c r="J2023">
        <v>21388</v>
      </c>
      <c r="K2023">
        <v>12400</v>
      </c>
      <c r="L2023" s="2">
        <v>25.613125</v>
      </c>
      <c r="M2023" s="5">
        <v>283.54450000000003</v>
      </c>
      <c r="N2023" s="1">
        <v>321.17059999999998</v>
      </c>
      <c r="O2023" s="2">
        <v>6.4</v>
      </c>
      <c r="P2023">
        <v>363</v>
      </c>
    </row>
    <row r="2024" spans="1:16" x14ac:dyDescent="0.35">
      <c r="A2024" s="4">
        <v>45292</v>
      </c>
      <c r="B2024" t="s">
        <v>17</v>
      </c>
      <c r="C2024" t="s">
        <v>10</v>
      </c>
      <c r="D2024">
        <v>1</v>
      </c>
      <c r="E2024" s="2">
        <f>(3833+4033*2+4000+4016)/5</f>
        <v>3983</v>
      </c>
      <c r="F2024" s="2">
        <f>(3754.6+3791.2+3751.4+3708+3758)/5</f>
        <v>3752.6399999999994</v>
      </c>
      <c r="G2024" s="3">
        <v>0</v>
      </c>
      <c r="H2024">
        <v>0</v>
      </c>
      <c r="I2024">
        <v>1330</v>
      </c>
      <c r="J2024">
        <v>21388</v>
      </c>
      <c r="K2024">
        <v>12400</v>
      </c>
      <c r="L2024" s="2">
        <v>25.613125</v>
      </c>
      <c r="M2024" s="5">
        <v>283.54450000000003</v>
      </c>
      <c r="N2024" s="1">
        <v>321.17059999999998</v>
      </c>
      <c r="O2024" s="2">
        <v>6.4</v>
      </c>
      <c r="P2024">
        <v>363</v>
      </c>
    </row>
    <row r="2025" spans="1:16" x14ac:dyDescent="0.35">
      <c r="A2025" s="4">
        <v>45292</v>
      </c>
      <c r="B2025" t="s">
        <v>17</v>
      </c>
      <c r="C2025" t="s">
        <v>11</v>
      </c>
      <c r="D2025">
        <v>1</v>
      </c>
      <c r="E2025" s="2">
        <v>3500</v>
      </c>
      <c r="F2025" s="2">
        <f t="shared" ref="F2025:F2029" si="325">(3754.6+3791.2+3751.4+3708+3758)/5</f>
        <v>3752.6399999999994</v>
      </c>
      <c r="G2025" s="3">
        <v>0</v>
      </c>
      <c r="H2025">
        <v>0</v>
      </c>
      <c r="I2025">
        <v>1330</v>
      </c>
      <c r="J2025">
        <v>21388</v>
      </c>
      <c r="K2025">
        <v>12400</v>
      </c>
      <c r="L2025" s="2">
        <v>25.613125</v>
      </c>
      <c r="M2025" s="5">
        <v>283.54450000000003</v>
      </c>
      <c r="N2025" s="1">
        <v>321.17059999999998</v>
      </c>
      <c r="O2025" s="2">
        <v>6.4</v>
      </c>
      <c r="P2025">
        <v>363</v>
      </c>
    </row>
    <row r="2026" spans="1:16" x14ac:dyDescent="0.35">
      <c r="A2026" s="4">
        <v>45292</v>
      </c>
      <c r="B2026" t="s">
        <v>17</v>
      </c>
      <c r="C2026" t="s">
        <v>12</v>
      </c>
      <c r="D2026">
        <v>1</v>
      </c>
      <c r="E2026" s="2">
        <v>3590</v>
      </c>
      <c r="F2026" s="2">
        <f t="shared" si="325"/>
        <v>3752.6399999999994</v>
      </c>
      <c r="G2026" s="3">
        <v>0</v>
      </c>
      <c r="H2026">
        <v>0</v>
      </c>
      <c r="I2026">
        <v>1330</v>
      </c>
      <c r="J2026">
        <v>21388</v>
      </c>
      <c r="K2026">
        <v>12400</v>
      </c>
      <c r="L2026" s="2">
        <v>25.613125</v>
      </c>
      <c r="M2026" s="5">
        <v>283.54450000000003</v>
      </c>
      <c r="N2026" s="1">
        <v>321.17059999999998</v>
      </c>
      <c r="O2026" s="2">
        <v>6.4</v>
      </c>
      <c r="P2026">
        <v>363</v>
      </c>
    </row>
    <row r="2027" spans="1:16" x14ac:dyDescent="0.35">
      <c r="A2027" s="4">
        <v>45292</v>
      </c>
      <c r="B2027" t="s">
        <v>17</v>
      </c>
      <c r="C2027" t="s">
        <v>13</v>
      </c>
      <c r="D2027">
        <v>1</v>
      </c>
      <c r="E2027" s="2">
        <v>4000</v>
      </c>
      <c r="F2027" s="2">
        <f t="shared" si="325"/>
        <v>3752.6399999999994</v>
      </c>
      <c r="G2027" s="3">
        <v>0</v>
      </c>
      <c r="H2027">
        <v>0</v>
      </c>
      <c r="I2027">
        <v>1330</v>
      </c>
      <c r="J2027">
        <v>21388</v>
      </c>
      <c r="K2027">
        <v>12400</v>
      </c>
      <c r="L2027" s="2">
        <v>25.613125</v>
      </c>
      <c r="M2027" s="5">
        <v>283.54450000000003</v>
      </c>
      <c r="N2027" s="1">
        <v>321.17059999999998</v>
      </c>
      <c r="O2027" s="2">
        <v>6.4</v>
      </c>
      <c r="P2027">
        <v>363</v>
      </c>
    </row>
    <row r="2028" spans="1:16" x14ac:dyDescent="0.35">
      <c r="A2028" s="4">
        <v>45292</v>
      </c>
      <c r="B2028" t="s">
        <v>17</v>
      </c>
      <c r="C2028" t="s">
        <v>14</v>
      </c>
      <c r="D2028">
        <v>1</v>
      </c>
      <c r="E2028" s="2">
        <v>3667</v>
      </c>
      <c r="F2028" s="2">
        <f t="shared" si="325"/>
        <v>3752.6399999999994</v>
      </c>
      <c r="G2028" s="3">
        <v>0</v>
      </c>
      <c r="H2028">
        <v>0</v>
      </c>
      <c r="I2028">
        <v>1330</v>
      </c>
      <c r="J2028">
        <v>21388</v>
      </c>
      <c r="K2028">
        <v>12400</v>
      </c>
      <c r="L2028" s="2">
        <v>25.613125</v>
      </c>
      <c r="M2028" s="5">
        <v>283.54450000000003</v>
      </c>
      <c r="N2028" s="1">
        <v>321.17059999999998</v>
      </c>
      <c r="O2028" s="2">
        <v>6.4</v>
      </c>
      <c r="P2028">
        <v>363</v>
      </c>
    </row>
    <row r="2029" spans="1:16" x14ac:dyDescent="0.35">
      <c r="A2029" s="4">
        <v>45292</v>
      </c>
      <c r="B2029" t="s">
        <v>17</v>
      </c>
      <c r="C2029" t="s">
        <v>15</v>
      </c>
      <c r="D2029">
        <v>0</v>
      </c>
      <c r="E2029" s="2" t="s">
        <v>27</v>
      </c>
      <c r="F2029" s="2">
        <f t="shared" si="325"/>
        <v>3752.6399999999994</v>
      </c>
      <c r="G2029" s="3">
        <v>0</v>
      </c>
      <c r="H2029">
        <v>0</v>
      </c>
      <c r="I2029">
        <v>1330</v>
      </c>
      <c r="J2029">
        <v>21388</v>
      </c>
      <c r="K2029">
        <v>12400</v>
      </c>
      <c r="L2029" s="2">
        <v>25.613125</v>
      </c>
      <c r="M2029" s="5">
        <v>283.54450000000003</v>
      </c>
      <c r="N2029" s="1">
        <v>321.17059999999998</v>
      </c>
      <c r="O2029" s="2">
        <v>6.4</v>
      </c>
      <c r="P2029">
        <v>363</v>
      </c>
    </row>
    <row r="2030" spans="1:16" x14ac:dyDescent="0.35">
      <c r="A2030" s="4">
        <v>45292</v>
      </c>
      <c r="B2030" t="s">
        <v>18</v>
      </c>
      <c r="C2030" t="s">
        <v>10</v>
      </c>
      <c r="D2030">
        <v>1</v>
      </c>
      <c r="E2030" s="2">
        <f>(3300+3233+3600+3900+3850)/5</f>
        <v>3576.6</v>
      </c>
      <c r="F2030" s="2">
        <f>(3352.5+3343.13+3296.25+3237.88+3275)/5</f>
        <v>3300.9520000000002</v>
      </c>
      <c r="G2030" s="3">
        <v>0</v>
      </c>
      <c r="H2030">
        <v>0</v>
      </c>
      <c r="I2030">
        <v>1330</v>
      </c>
      <c r="J2030">
        <v>21388</v>
      </c>
      <c r="K2030">
        <v>12400</v>
      </c>
      <c r="L2030" s="2">
        <v>25.613125</v>
      </c>
      <c r="M2030" s="5">
        <v>283.54450000000003</v>
      </c>
      <c r="N2030" s="1">
        <v>321.17059999999998</v>
      </c>
      <c r="O2030" s="2">
        <v>6.4</v>
      </c>
      <c r="P2030">
        <v>363</v>
      </c>
    </row>
    <row r="2031" spans="1:16" x14ac:dyDescent="0.35">
      <c r="A2031" s="4">
        <v>45292</v>
      </c>
      <c r="B2031" t="s">
        <v>18</v>
      </c>
      <c r="C2031" t="s">
        <v>11</v>
      </c>
      <c r="D2031">
        <v>1</v>
      </c>
      <c r="E2031" s="2">
        <v>3180</v>
      </c>
      <c r="F2031" s="2">
        <f t="shared" ref="F2031:F2035" si="326">(3352.5+3343.13+3296.25+3237.88+3275)/5</f>
        <v>3300.9520000000002</v>
      </c>
      <c r="G2031" s="3">
        <v>0</v>
      </c>
      <c r="H2031">
        <v>0</v>
      </c>
      <c r="I2031">
        <v>1330</v>
      </c>
      <c r="J2031">
        <v>21388</v>
      </c>
      <c r="K2031">
        <v>12400</v>
      </c>
      <c r="L2031" s="2">
        <v>25.613125</v>
      </c>
      <c r="M2031" s="5">
        <v>283.54450000000003</v>
      </c>
      <c r="N2031" s="1">
        <v>321.17059999999998</v>
      </c>
      <c r="O2031" s="2">
        <v>6.4</v>
      </c>
      <c r="P2031">
        <v>363</v>
      </c>
    </row>
    <row r="2032" spans="1:16" x14ac:dyDescent="0.35">
      <c r="A2032" s="4">
        <v>45292</v>
      </c>
      <c r="B2032" t="s">
        <v>18</v>
      </c>
      <c r="C2032" t="s">
        <v>12</v>
      </c>
      <c r="D2032">
        <v>1</v>
      </c>
      <c r="E2032" s="2">
        <v>2970</v>
      </c>
      <c r="F2032" s="2">
        <f t="shared" si="326"/>
        <v>3300.9520000000002</v>
      </c>
      <c r="G2032" s="3">
        <v>0</v>
      </c>
      <c r="H2032">
        <v>0</v>
      </c>
      <c r="I2032">
        <v>1330</v>
      </c>
      <c r="J2032">
        <v>21388</v>
      </c>
      <c r="K2032">
        <v>12400</v>
      </c>
      <c r="L2032" s="2">
        <v>25.613125</v>
      </c>
      <c r="M2032" s="5">
        <v>283.54450000000003</v>
      </c>
      <c r="N2032" s="1">
        <v>321.17059999999998</v>
      </c>
      <c r="O2032" s="2">
        <v>6.4</v>
      </c>
      <c r="P2032">
        <v>363</v>
      </c>
    </row>
    <row r="2033" spans="1:16" x14ac:dyDescent="0.35">
      <c r="A2033" s="4">
        <v>45292</v>
      </c>
      <c r="B2033" t="s">
        <v>18</v>
      </c>
      <c r="C2033" t="s">
        <v>13</v>
      </c>
      <c r="D2033">
        <v>1</v>
      </c>
      <c r="E2033" s="2">
        <v>3250</v>
      </c>
      <c r="F2033" s="2">
        <f t="shared" si="326"/>
        <v>3300.9520000000002</v>
      </c>
      <c r="G2033" s="3">
        <v>0</v>
      </c>
      <c r="H2033">
        <v>0</v>
      </c>
      <c r="I2033">
        <v>1330</v>
      </c>
      <c r="J2033">
        <v>21388</v>
      </c>
      <c r="K2033">
        <v>12400</v>
      </c>
      <c r="L2033" s="2">
        <v>25.613125</v>
      </c>
      <c r="M2033" s="5">
        <v>283.54450000000003</v>
      </c>
      <c r="N2033" s="1">
        <v>321.17059999999998</v>
      </c>
      <c r="O2033" s="2">
        <v>6.4</v>
      </c>
      <c r="P2033">
        <v>363</v>
      </c>
    </row>
    <row r="2034" spans="1:16" x14ac:dyDescent="0.35">
      <c r="A2034" s="4">
        <v>45292</v>
      </c>
      <c r="B2034" t="s">
        <v>18</v>
      </c>
      <c r="C2034" t="s">
        <v>14</v>
      </c>
      <c r="D2034">
        <v>1</v>
      </c>
      <c r="E2034" s="2">
        <f>(3220+3325+3250+3200+3180)/5</f>
        <v>3235</v>
      </c>
      <c r="F2034" s="2">
        <f t="shared" si="326"/>
        <v>3300.9520000000002</v>
      </c>
      <c r="G2034" s="3">
        <v>0</v>
      </c>
      <c r="H2034">
        <v>0</v>
      </c>
      <c r="I2034">
        <v>1330</v>
      </c>
      <c r="J2034">
        <v>21388</v>
      </c>
      <c r="K2034">
        <v>12400</v>
      </c>
      <c r="L2034" s="2">
        <v>25.613125</v>
      </c>
      <c r="M2034" s="5">
        <v>283.54450000000003</v>
      </c>
      <c r="N2034" s="1">
        <v>321.17059999999998</v>
      </c>
      <c r="O2034" s="2">
        <v>6.4</v>
      </c>
      <c r="P2034">
        <v>363</v>
      </c>
    </row>
    <row r="2035" spans="1:16" x14ac:dyDescent="0.35">
      <c r="A2035" s="4">
        <v>45292</v>
      </c>
      <c r="B2035" t="s">
        <v>18</v>
      </c>
      <c r="C2035" t="s">
        <v>15</v>
      </c>
      <c r="D2035">
        <v>1</v>
      </c>
      <c r="E2035" s="2">
        <f>(3200+3350*3+3400)/5</f>
        <v>3330</v>
      </c>
      <c r="F2035" s="2">
        <f t="shared" si="326"/>
        <v>3300.9520000000002</v>
      </c>
      <c r="G2035" s="3">
        <v>0</v>
      </c>
      <c r="H2035">
        <v>0</v>
      </c>
      <c r="I2035">
        <v>1330</v>
      </c>
      <c r="J2035">
        <v>21388</v>
      </c>
      <c r="K2035">
        <v>12400</v>
      </c>
      <c r="L2035" s="2">
        <v>25.613125</v>
      </c>
      <c r="M2035" s="5">
        <v>283.54450000000003</v>
      </c>
      <c r="N2035" s="1">
        <v>321.17059999999998</v>
      </c>
      <c r="O2035" s="2">
        <v>6.4</v>
      </c>
      <c r="P2035">
        <v>363</v>
      </c>
    </row>
    <row r="2036" spans="1:16" x14ac:dyDescent="0.35">
      <c r="A2036" s="4">
        <v>45292</v>
      </c>
      <c r="B2036" t="s">
        <v>19</v>
      </c>
      <c r="C2036" t="s">
        <v>10</v>
      </c>
      <c r="D2036">
        <v>1</v>
      </c>
      <c r="E2036" s="2">
        <f>(2883+2900+3000*3)/5</f>
        <v>2956.6</v>
      </c>
      <c r="F2036" s="2">
        <f>(2947.75+2982.88+3013.63+3017.5+3008.25)/5</f>
        <v>2994.002</v>
      </c>
      <c r="G2036" s="3">
        <v>0</v>
      </c>
      <c r="H2036">
        <v>0</v>
      </c>
      <c r="I2036">
        <v>1330</v>
      </c>
      <c r="J2036">
        <v>21388</v>
      </c>
      <c r="K2036">
        <v>12400</v>
      </c>
      <c r="L2036" s="2">
        <v>25.613125</v>
      </c>
      <c r="M2036" s="5">
        <v>283.54450000000003</v>
      </c>
      <c r="N2036" s="1">
        <v>321.17059999999998</v>
      </c>
      <c r="O2036" s="2">
        <v>6.4</v>
      </c>
      <c r="P2036">
        <v>363</v>
      </c>
    </row>
    <row r="2037" spans="1:16" x14ac:dyDescent="0.35">
      <c r="A2037" s="4">
        <v>45292</v>
      </c>
      <c r="B2037" t="s">
        <v>19</v>
      </c>
      <c r="C2037" t="s">
        <v>11</v>
      </c>
      <c r="D2037">
        <v>1</v>
      </c>
      <c r="E2037" s="2">
        <v>3000</v>
      </c>
      <c r="F2037" s="2">
        <f t="shared" ref="F2037:F2041" si="327">(2947.75+2982.88+3013.63+3017.5+3008.25)/5</f>
        <v>2994.002</v>
      </c>
      <c r="G2037" s="3">
        <v>0</v>
      </c>
      <c r="H2037">
        <v>0</v>
      </c>
      <c r="I2037">
        <v>1330</v>
      </c>
      <c r="J2037">
        <v>21388</v>
      </c>
      <c r="K2037">
        <v>12400</v>
      </c>
      <c r="L2037" s="2">
        <v>25.613125</v>
      </c>
      <c r="M2037" s="5">
        <v>283.54450000000003</v>
      </c>
      <c r="N2037" s="1">
        <v>321.17059999999998</v>
      </c>
      <c r="O2037" s="2">
        <v>6.4</v>
      </c>
      <c r="P2037">
        <v>363</v>
      </c>
    </row>
    <row r="2038" spans="1:16" x14ac:dyDescent="0.35">
      <c r="A2038" s="4">
        <v>45292</v>
      </c>
      <c r="B2038" t="s">
        <v>19</v>
      </c>
      <c r="C2038" t="s">
        <v>12</v>
      </c>
      <c r="D2038">
        <v>1</v>
      </c>
      <c r="E2038" s="2">
        <v>2695</v>
      </c>
      <c r="F2038" s="2">
        <f t="shared" si="327"/>
        <v>2994.002</v>
      </c>
      <c r="G2038" s="3">
        <v>0</v>
      </c>
      <c r="H2038">
        <v>0</v>
      </c>
      <c r="I2038">
        <v>1330</v>
      </c>
      <c r="J2038">
        <v>21388</v>
      </c>
      <c r="K2038">
        <v>12400</v>
      </c>
      <c r="L2038" s="2">
        <v>25.613125</v>
      </c>
      <c r="M2038" s="5">
        <v>283.54450000000003</v>
      </c>
      <c r="N2038" s="1">
        <v>321.17059999999998</v>
      </c>
      <c r="O2038" s="2">
        <v>6.4</v>
      </c>
      <c r="P2038">
        <v>363</v>
      </c>
    </row>
    <row r="2039" spans="1:16" x14ac:dyDescent="0.35">
      <c r="A2039" s="4">
        <v>45292</v>
      </c>
      <c r="B2039" t="s">
        <v>19</v>
      </c>
      <c r="C2039" t="s">
        <v>13</v>
      </c>
      <c r="D2039">
        <v>1</v>
      </c>
      <c r="E2039" s="2">
        <v>3050</v>
      </c>
      <c r="F2039" s="2">
        <f t="shared" si="327"/>
        <v>2994.002</v>
      </c>
      <c r="G2039" s="3">
        <v>0</v>
      </c>
      <c r="H2039">
        <v>0</v>
      </c>
      <c r="I2039">
        <v>1330</v>
      </c>
      <c r="J2039">
        <v>21388</v>
      </c>
      <c r="K2039">
        <v>12400</v>
      </c>
      <c r="L2039" s="2">
        <v>25.613125</v>
      </c>
      <c r="M2039" s="5">
        <v>283.54450000000003</v>
      </c>
      <c r="N2039" s="1">
        <v>321.17059999999998</v>
      </c>
      <c r="O2039" s="2">
        <v>6.4</v>
      </c>
      <c r="P2039">
        <v>363</v>
      </c>
    </row>
    <row r="2040" spans="1:16" x14ac:dyDescent="0.35">
      <c r="A2040" s="4">
        <v>45292</v>
      </c>
      <c r="B2040" t="s">
        <v>19</v>
      </c>
      <c r="C2040" t="s">
        <v>14</v>
      </c>
      <c r="D2040">
        <v>1</v>
      </c>
      <c r="E2040" s="2">
        <f>(3029+3033+3064+3100+3071)/5</f>
        <v>3059.4</v>
      </c>
      <c r="F2040" s="2">
        <f t="shared" si="327"/>
        <v>2994.002</v>
      </c>
      <c r="G2040" s="3">
        <v>0</v>
      </c>
      <c r="H2040">
        <v>0</v>
      </c>
      <c r="I2040">
        <v>1330</v>
      </c>
      <c r="J2040">
        <v>21388</v>
      </c>
      <c r="K2040">
        <v>12400</v>
      </c>
      <c r="L2040" s="2">
        <v>25.613125</v>
      </c>
      <c r="M2040" s="5">
        <v>283.54450000000003</v>
      </c>
      <c r="N2040" s="1">
        <v>321.17059999999998</v>
      </c>
      <c r="O2040" s="2">
        <v>6.4</v>
      </c>
      <c r="P2040">
        <v>363</v>
      </c>
    </row>
    <row r="2041" spans="1:16" x14ac:dyDescent="0.35">
      <c r="A2041" s="4">
        <v>45292</v>
      </c>
      <c r="B2041" t="s">
        <v>19</v>
      </c>
      <c r="C2041" t="s">
        <v>15</v>
      </c>
      <c r="D2041">
        <v>1</v>
      </c>
      <c r="E2041" s="2">
        <f>(3100*3+3050+2975)/5</f>
        <v>3065</v>
      </c>
      <c r="F2041" s="2">
        <f t="shared" si="327"/>
        <v>2994.002</v>
      </c>
      <c r="G2041" s="3">
        <v>0</v>
      </c>
      <c r="H2041">
        <v>0</v>
      </c>
      <c r="I2041">
        <v>1330</v>
      </c>
      <c r="J2041">
        <v>21388</v>
      </c>
      <c r="K2041">
        <v>12400</v>
      </c>
      <c r="L2041" s="2">
        <v>25.613125</v>
      </c>
      <c r="M2041" s="5">
        <v>283.54450000000003</v>
      </c>
      <c r="N2041" s="1">
        <v>321.17059999999998</v>
      </c>
      <c r="O2041" s="2">
        <v>6.4</v>
      </c>
      <c r="P2041">
        <v>363</v>
      </c>
    </row>
    <row r="2042" spans="1:16" x14ac:dyDescent="0.35">
      <c r="A2042" s="4">
        <v>45292</v>
      </c>
      <c r="B2042" t="s">
        <v>20</v>
      </c>
      <c r="C2042" t="s">
        <v>10</v>
      </c>
      <c r="D2042">
        <v>1</v>
      </c>
      <c r="E2042" s="2">
        <f>(2550+2600+2566+2550+2666)/5</f>
        <v>2586.4</v>
      </c>
      <c r="F2042" s="2">
        <f>(2673.13+2650.38+2655.75+2536.25+2615.75)/5</f>
        <v>2626.252</v>
      </c>
      <c r="G2042" s="3">
        <v>0</v>
      </c>
      <c r="H2042">
        <v>0</v>
      </c>
      <c r="I2042">
        <v>1330</v>
      </c>
      <c r="J2042">
        <v>21388</v>
      </c>
      <c r="K2042">
        <v>12400</v>
      </c>
      <c r="L2042" s="2">
        <v>25.613125</v>
      </c>
      <c r="M2042" s="5">
        <v>283.54450000000003</v>
      </c>
      <c r="N2042" s="1">
        <v>321.17059999999998</v>
      </c>
      <c r="O2042" s="2">
        <v>6.4</v>
      </c>
      <c r="P2042">
        <v>363</v>
      </c>
    </row>
    <row r="2043" spans="1:16" x14ac:dyDescent="0.35">
      <c r="A2043" s="4">
        <v>45292</v>
      </c>
      <c r="B2043" t="s">
        <v>20</v>
      </c>
      <c r="C2043" t="s">
        <v>11</v>
      </c>
      <c r="D2043">
        <v>1</v>
      </c>
      <c r="E2043" s="2">
        <v>2660</v>
      </c>
      <c r="F2043" s="2">
        <f t="shared" ref="F2043:F2047" si="328">(2673.13+2650.38+2655.75+2536.25+2615.75)/5</f>
        <v>2626.252</v>
      </c>
      <c r="G2043" s="3">
        <v>0</v>
      </c>
      <c r="H2043">
        <v>0</v>
      </c>
      <c r="I2043">
        <v>1330</v>
      </c>
      <c r="J2043">
        <v>21388</v>
      </c>
      <c r="K2043">
        <v>12400</v>
      </c>
      <c r="L2043" s="2">
        <v>25.613125</v>
      </c>
      <c r="M2043" s="5">
        <v>283.54450000000003</v>
      </c>
      <c r="N2043" s="1">
        <v>321.17059999999998</v>
      </c>
      <c r="O2043" s="2">
        <v>6.4</v>
      </c>
      <c r="P2043">
        <v>363</v>
      </c>
    </row>
    <row r="2044" spans="1:16" x14ac:dyDescent="0.35">
      <c r="A2044" s="4">
        <v>45292</v>
      </c>
      <c r="B2044" t="s">
        <v>20</v>
      </c>
      <c r="C2044" t="s">
        <v>12</v>
      </c>
      <c r="D2044">
        <v>1</v>
      </c>
      <c r="E2044" s="2">
        <v>2190</v>
      </c>
      <c r="F2044" s="2">
        <f t="shared" si="328"/>
        <v>2626.252</v>
      </c>
      <c r="G2044" s="3">
        <v>0</v>
      </c>
      <c r="H2044">
        <v>0</v>
      </c>
      <c r="I2044">
        <v>1330</v>
      </c>
      <c r="J2044">
        <v>21388</v>
      </c>
      <c r="K2044">
        <v>12400</v>
      </c>
      <c r="L2044" s="2">
        <v>25.613125</v>
      </c>
      <c r="M2044" s="5">
        <v>283.54450000000003</v>
      </c>
      <c r="N2044" s="1">
        <v>321.17059999999998</v>
      </c>
      <c r="O2044" s="2">
        <v>6.4</v>
      </c>
      <c r="P2044">
        <v>363</v>
      </c>
    </row>
    <row r="2045" spans="1:16" x14ac:dyDescent="0.35">
      <c r="A2045" s="4">
        <v>45292</v>
      </c>
      <c r="B2045" t="s">
        <v>20</v>
      </c>
      <c r="C2045" t="s">
        <v>13</v>
      </c>
      <c r="D2045">
        <v>1</v>
      </c>
      <c r="E2045" s="2">
        <v>2750</v>
      </c>
      <c r="F2045" s="2">
        <f t="shared" si="328"/>
        <v>2626.252</v>
      </c>
      <c r="G2045" s="3">
        <v>0</v>
      </c>
      <c r="H2045">
        <v>0</v>
      </c>
      <c r="I2045">
        <v>1330</v>
      </c>
      <c r="J2045">
        <v>21388</v>
      </c>
      <c r="K2045">
        <v>12400</v>
      </c>
      <c r="L2045" s="2">
        <v>25.613125</v>
      </c>
      <c r="M2045" s="5">
        <v>283.54450000000003</v>
      </c>
      <c r="N2045" s="1">
        <v>321.17059999999998</v>
      </c>
      <c r="O2045" s="2">
        <v>6.4</v>
      </c>
      <c r="P2045">
        <v>363</v>
      </c>
    </row>
    <row r="2046" spans="1:16" x14ac:dyDescent="0.35">
      <c r="A2046" s="4">
        <v>45292</v>
      </c>
      <c r="B2046" t="s">
        <v>20</v>
      </c>
      <c r="C2046" t="s">
        <v>14</v>
      </c>
      <c r="D2046">
        <v>1</v>
      </c>
      <c r="E2046" s="2">
        <f>(2770+2775+2740+2763+2820)/5</f>
        <v>2773.6</v>
      </c>
      <c r="F2046" s="2">
        <f t="shared" si="328"/>
        <v>2626.252</v>
      </c>
      <c r="G2046" s="3">
        <v>0</v>
      </c>
      <c r="H2046">
        <v>0</v>
      </c>
      <c r="I2046">
        <v>1330</v>
      </c>
      <c r="J2046">
        <v>21388</v>
      </c>
      <c r="K2046">
        <v>12400</v>
      </c>
      <c r="L2046" s="2">
        <v>25.613125</v>
      </c>
      <c r="M2046" s="5">
        <v>283.54450000000003</v>
      </c>
      <c r="N2046" s="1">
        <v>321.17059999999998</v>
      </c>
      <c r="O2046" s="2">
        <v>6.4</v>
      </c>
      <c r="P2046">
        <v>363</v>
      </c>
    </row>
    <row r="2047" spans="1:16" x14ac:dyDescent="0.35">
      <c r="A2047" s="4">
        <v>45292</v>
      </c>
      <c r="B2047" t="s">
        <v>20</v>
      </c>
      <c r="C2047" t="s">
        <v>15</v>
      </c>
      <c r="D2047">
        <v>1</v>
      </c>
      <c r="E2047" s="2">
        <f>(2700+2775+2750+2800*2)/5</f>
        <v>2765</v>
      </c>
      <c r="F2047" s="2">
        <f t="shared" si="328"/>
        <v>2626.252</v>
      </c>
      <c r="G2047" s="3">
        <v>0</v>
      </c>
      <c r="H2047">
        <v>0</v>
      </c>
      <c r="I2047">
        <v>1330</v>
      </c>
      <c r="J2047">
        <v>21388</v>
      </c>
      <c r="K2047">
        <v>12400</v>
      </c>
      <c r="L2047" s="2">
        <v>25.613125</v>
      </c>
      <c r="M2047" s="5">
        <v>283.54450000000003</v>
      </c>
      <c r="N2047" s="1">
        <v>321.17059999999998</v>
      </c>
      <c r="O2047" s="2">
        <v>6.4</v>
      </c>
      <c r="P2047">
        <v>363</v>
      </c>
    </row>
    <row r="2048" spans="1:16" x14ac:dyDescent="0.35">
      <c r="A2048" s="4">
        <v>45292</v>
      </c>
      <c r="B2048" t="s">
        <v>21</v>
      </c>
      <c r="C2048" t="s">
        <v>10</v>
      </c>
      <c r="D2048">
        <v>1</v>
      </c>
      <c r="E2048" s="2">
        <f>(2433+2250+2283+2250+2183)/5</f>
        <v>2279.8000000000002</v>
      </c>
      <c r="F2048" s="2">
        <f>(2416.29+2482.13+2491.63+2493.75+2504.13)/5</f>
        <v>2477.5860000000002</v>
      </c>
      <c r="G2048" s="3">
        <v>0</v>
      </c>
      <c r="H2048">
        <v>0</v>
      </c>
      <c r="I2048">
        <v>1330</v>
      </c>
      <c r="J2048">
        <v>21388</v>
      </c>
      <c r="K2048">
        <v>12400</v>
      </c>
      <c r="L2048" s="2">
        <v>25.613125</v>
      </c>
      <c r="M2048" s="5">
        <v>283.54450000000003</v>
      </c>
      <c r="N2048" s="1">
        <v>321.17059999999998</v>
      </c>
      <c r="O2048" s="2">
        <v>6.4</v>
      </c>
      <c r="P2048">
        <v>363</v>
      </c>
    </row>
    <row r="2049" spans="1:16" x14ac:dyDescent="0.35">
      <c r="A2049" s="4">
        <v>45292</v>
      </c>
      <c r="B2049" t="s">
        <v>21</v>
      </c>
      <c r="C2049" t="s">
        <v>11</v>
      </c>
      <c r="D2049">
        <v>1</v>
      </c>
      <c r="E2049" s="2">
        <v>2540</v>
      </c>
      <c r="F2049" s="2">
        <f t="shared" ref="F2049:F2053" si="329">(2416.29+2482.13+2491.63+2493.75+2504.13)/5</f>
        <v>2477.5860000000002</v>
      </c>
      <c r="G2049" s="3">
        <v>0</v>
      </c>
      <c r="H2049">
        <v>0</v>
      </c>
      <c r="I2049">
        <v>1330</v>
      </c>
      <c r="J2049">
        <v>21388</v>
      </c>
      <c r="K2049">
        <v>12400</v>
      </c>
      <c r="L2049" s="2">
        <v>25.613125</v>
      </c>
      <c r="M2049" s="5">
        <v>283.54450000000003</v>
      </c>
      <c r="N2049" s="1">
        <v>321.17059999999998</v>
      </c>
      <c r="O2049" s="2">
        <v>6.4</v>
      </c>
      <c r="P2049">
        <v>363</v>
      </c>
    </row>
    <row r="2050" spans="1:16" x14ac:dyDescent="0.35">
      <c r="A2050" s="4">
        <v>45292</v>
      </c>
      <c r="B2050" t="s">
        <v>21</v>
      </c>
      <c r="C2050" t="s">
        <v>12</v>
      </c>
      <c r="D2050">
        <v>1</v>
      </c>
      <c r="E2050" s="2">
        <v>2100</v>
      </c>
      <c r="F2050" s="2">
        <f t="shared" si="329"/>
        <v>2477.5860000000002</v>
      </c>
      <c r="G2050" s="3">
        <v>0</v>
      </c>
      <c r="H2050">
        <v>0</v>
      </c>
      <c r="I2050">
        <v>1330</v>
      </c>
      <c r="J2050">
        <v>21388</v>
      </c>
      <c r="K2050">
        <v>12400</v>
      </c>
      <c r="L2050" s="2">
        <v>25.613125</v>
      </c>
      <c r="M2050" s="5">
        <v>283.54450000000003</v>
      </c>
      <c r="N2050" s="1">
        <v>321.17059999999998</v>
      </c>
      <c r="O2050" s="2">
        <v>6.4</v>
      </c>
      <c r="P2050">
        <v>363</v>
      </c>
    </row>
    <row r="2051" spans="1:16" x14ac:dyDescent="0.35">
      <c r="A2051" s="4">
        <v>45292</v>
      </c>
      <c r="B2051" t="s">
        <v>21</v>
      </c>
      <c r="C2051" t="s">
        <v>13</v>
      </c>
      <c r="D2051">
        <v>1</v>
      </c>
      <c r="E2051" s="2">
        <v>2650</v>
      </c>
      <c r="F2051" s="2">
        <f t="shared" si="329"/>
        <v>2477.5860000000002</v>
      </c>
      <c r="G2051" s="3">
        <v>0</v>
      </c>
      <c r="H2051">
        <v>0</v>
      </c>
      <c r="I2051">
        <v>1330</v>
      </c>
      <c r="J2051">
        <v>21388</v>
      </c>
      <c r="K2051">
        <v>12400</v>
      </c>
      <c r="L2051" s="2">
        <v>25.613125</v>
      </c>
      <c r="M2051" s="5">
        <v>283.54450000000003</v>
      </c>
      <c r="N2051" s="1">
        <v>321.17059999999998</v>
      </c>
      <c r="O2051" s="2">
        <v>6.4</v>
      </c>
      <c r="P2051">
        <v>363</v>
      </c>
    </row>
    <row r="2052" spans="1:16" x14ac:dyDescent="0.35">
      <c r="A2052" s="4">
        <v>45292</v>
      </c>
      <c r="B2052" t="s">
        <v>21</v>
      </c>
      <c r="C2052" t="s">
        <v>14</v>
      </c>
      <c r="D2052">
        <v>1</v>
      </c>
      <c r="E2052" s="2">
        <f>(2531+2607+2625+2650+2700)/5</f>
        <v>2622.6</v>
      </c>
      <c r="F2052" s="2">
        <f t="shared" si="329"/>
        <v>2477.5860000000002</v>
      </c>
      <c r="G2052" s="3">
        <v>0</v>
      </c>
      <c r="H2052">
        <v>0</v>
      </c>
      <c r="I2052">
        <v>1330</v>
      </c>
      <c r="J2052">
        <v>21388</v>
      </c>
      <c r="K2052">
        <v>12400</v>
      </c>
      <c r="L2052" s="2">
        <v>25.613125</v>
      </c>
      <c r="M2052" s="5">
        <v>283.54450000000003</v>
      </c>
      <c r="N2052" s="1">
        <v>321.17059999999998</v>
      </c>
      <c r="O2052" s="2">
        <v>6.4</v>
      </c>
      <c r="P2052">
        <v>363</v>
      </c>
    </row>
    <row r="2053" spans="1:16" x14ac:dyDescent="0.35">
      <c r="A2053" s="4">
        <v>45292</v>
      </c>
      <c r="B2053" t="s">
        <v>21</v>
      </c>
      <c r="C2053" t="s">
        <v>15</v>
      </c>
      <c r="D2053">
        <v>1</v>
      </c>
      <c r="E2053" s="2">
        <v>2690</v>
      </c>
      <c r="F2053" s="2">
        <f t="shared" si="329"/>
        <v>2477.5860000000002</v>
      </c>
      <c r="G2053" s="3">
        <v>0</v>
      </c>
      <c r="H2053">
        <v>0</v>
      </c>
      <c r="I2053">
        <v>1330</v>
      </c>
      <c r="J2053">
        <v>21388</v>
      </c>
      <c r="K2053">
        <v>12400</v>
      </c>
      <c r="L2053" s="2">
        <v>25.613125</v>
      </c>
      <c r="M2053" s="5">
        <v>283.54450000000003</v>
      </c>
      <c r="N2053" s="1">
        <v>321.17059999999998</v>
      </c>
      <c r="O2053" s="2">
        <v>6.4</v>
      </c>
      <c r="P2053">
        <v>363</v>
      </c>
    </row>
    <row r="2054" spans="1:16" x14ac:dyDescent="0.35">
      <c r="A2054" s="4">
        <v>45292</v>
      </c>
      <c r="B2054" t="s">
        <v>22</v>
      </c>
      <c r="C2054" t="s">
        <v>10</v>
      </c>
      <c r="D2054">
        <v>0</v>
      </c>
      <c r="E2054" s="2" t="s">
        <v>27</v>
      </c>
      <c r="F2054" s="2">
        <f t="shared" ref="F2054:F2057" si="330">(2140+2075+2040+2100+2060)/5</f>
        <v>2083</v>
      </c>
      <c r="G2054" s="3">
        <v>0</v>
      </c>
      <c r="H2054">
        <v>0</v>
      </c>
      <c r="I2054">
        <v>1330</v>
      </c>
      <c r="J2054">
        <v>21388</v>
      </c>
      <c r="K2054">
        <v>12400</v>
      </c>
      <c r="L2054" s="2">
        <v>25.613125</v>
      </c>
      <c r="M2054" s="5">
        <v>283.54450000000003</v>
      </c>
      <c r="N2054" s="1">
        <v>321.17059999999998</v>
      </c>
      <c r="O2054" s="2">
        <v>6.4</v>
      </c>
      <c r="P2054">
        <v>363</v>
      </c>
    </row>
    <row r="2055" spans="1:16" x14ac:dyDescent="0.35">
      <c r="A2055" s="4">
        <v>45292</v>
      </c>
      <c r="B2055" t="s">
        <v>22</v>
      </c>
      <c r="C2055" t="s">
        <v>11</v>
      </c>
      <c r="D2055">
        <v>0</v>
      </c>
      <c r="E2055" s="2" t="s">
        <v>27</v>
      </c>
      <c r="F2055" s="2">
        <f t="shared" si="330"/>
        <v>2083</v>
      </c>
      <c r="G2055" s="3">
        <v>0</v>
      </c>
      <c r="H2055">
        <v>0</v>
      </c>
      <c r="I2055">
        <v>1330</v>
      </c>
      <c r="J2055">
        <v>21388</v>
      </c>
      <c r="K2055">
        <v>12400</v>
      </c>
      <c r="L2055" s="2">
        <v>25.613125</v>
      </c>
      <c r="M2055" s="5">
        <v>283.54450000000003</v>
      </c>
      <c r="N2055" s="1">
        <v>321.17059999999998</v>
      </c>
      <c r="O2055" s="2">
        <v>6.4</v>
      </c>
      <c r="P2055">
        <v>363</v>
      </c>
    </row>
    <row r="2056" spans="1:16" x14ac:dyDescent="0.35">
      <c r="A2056" s="4">
        <v>45292</v>
      </c>
      <c r="B2056" t="s">
        <v>22</v>
      </c>
      <c r="C2056" t="s">
        <v>12</v>
      </c>
      <c r="D2056">
        <v>0</v>
      </c>
      <c r="E2056" s="2" t="s">
        <v>27</v>
      </c>
      <c r="F2056" s="2">
        <f t="shared" si="330"/>
        <v>2083</v>
      </c>
      <c r="G2056" s="3">
        <v>0</v>
      </c>
      <c r="H2056">
        <v>0</v>
      </c>
      <c r="I2056">
        <v>1330</v>
      </c>
      <c r="J2056">
        <v>21388</v>
      </c>
      <c r="K2056">
        <v>12400</v>
      </c>
      <c r="L2056" s="2">
        <v>25.613125</v>
      </c>
      <c r="M2056" s="5">
        <v>283.54450000000003</v>
      </c>
      <c r="N2056" s="1">
        <v>321.17059999999998</v>
      </c>
      <c r="O2056" s="2">
        <v>6.4</v>
      </c>
      <c r="P2056">
        <v>363</v>
      </c>
    </row>
    <row r="2057" spans="1:16" x14ac:dyDescent="0.35">
      <c r="A2057" s="4">
        <v>45292</v>
      </c>
      <c r="B2057" t="s">
        <v>22</v>
      </c>
      <c r="C2057" t="s">
        <v>13</v>
      </c>
      <c r="D2057">
        <v>0</v>
      </c>
      <c r="E2057" s="2" t="s">
        <v>27</v>
      </c>
      <c r="F2057" s="2">
        <f t="shared" si="330"/>
        <v>2083</v>
      </c>
      <c r="G2057" s="3">
        <v>0</v>
      </c>
      <c r="H2057">
        <v>0</v>
      </c>
      <c r="I2057">
        <v>1330</v>
      </c>
      <c r="J2057">
        <v>21388</v>
      </c>
      <c r="K2057">
        <v>12400</v>
      </c>
      <c r="L2057" s="2">
        <v>25.613125</v>
      </c>
      <c r="M2057" s="5">
        <v>283.54450000000003</v>
      </c>
      <c r="N2057" s="1">
        <v>321.17059999999998</v>
      </c>
      <c r="O2057" s="2">
        <v>6.4</v>
      </c>
      <c r="P2057">
        <v>363</v>
      </c>
    </row>
    <row r="2058" spans="1:16" x14ac:dyDescent="0.35">
      <c r="A2058" s="4">
        <v>45292</v>
      </c>
      <c r="B2058" t="s">
        <v>22</v>
      </c>
      <c r="C2058" t="s">
        <v>14</v>
      </c>
      <c r="D2058">
        <v>1</v>
      </c>
      <c r="E2058" s="2">
        <f>(2140+2075+2040+2100+2060)/5</f>
        <v>2083</v>
      </c>
      <c r="F2058" s="2">
        <f>(2140+2075+2040+2100+2060)/5</f>
        <v>2083</v>
      </c>
      <c r="G2058" s="3">
        <v>0</v>
      </c>
      <c r="H2058">
        <v>0</v>
      </c>
      <c r="I2058">
        <v>1330</v>
      </c>
      <c r="J2058">
        <v>21388</v>
      </c>
      <c r="K2058">
        <v>12400</v>
      </c>
      <c r="L2058" s="2">
        <v>25.613125</v>
      </c>
      <c r="M2058" s="5">
        <v>283.54450000000003</v>
      </c>
      <c r="N2058" s="1">
        <v>321.17059999999998</v>
      </c>
      <c r="O2058" s="2">
        <v>6.4</v>
      </c>
      <c r="P2058">
        <v>363</v>
      </c>
    </row>
    <row r="2059" spans="1:16" x14ac:dyDescent="0.35">
      <c r="A2059" s="4">
        <v>45292</v>
      </c>
      <c r="B2059" t="s">
        <v>22</v>
      </c>
      <c r="C2059" t="s">
        <v>15</v>
      </c>
      <c r="D2059">
        <v>0</v>
      </c>
      <c r="E2059" s="2" t="s">
        <v>27</v>
      </c>
      <c r="F2059" s="2">
        <f>(2140+2075+2040+2100+2060)/5</f>
        <v>2083</v>
      </c>
      <c r="G2059" s="3">
        <v>0</v>
      </c>
      <c r="H2059">
        <v>0</v>
      </c>
      <c r="I2059">
        <v>1330</v>
      </c>
      <c r="J2059">
        <v>21388</v>
      </c>
      <c r="K2059">
        <v>12400</v>
      </c>
      <c r="L2059" s="2">
        <v>25.613125</v>
      </c>
      <c r="M2059" s="5">
        <v>283.54450000000003</v>
      </c>
      <c r="N2059" s="1">
        <v>321.17059999999998</v>
      </c>
      <c r="O2059" s="2">
        <v>6.4</v>
      </c>
      <c r="P2059">
        <v>363</v>
      </c>
    </row>
    <row r="2060" spans="1:16" x14ac:dyDescent="0.35">
      <c r="A2060" s="4">
        <v>45323</v>
      </c>
      <c r="B2060" t="s">
        <v>16</v>
      </c>
      <c r="C2060" t="s">
        <v>10</v>
      </c>
      <c r="D2060">
        <v>1</v>
      </c>
      <c r="E2060" s="2">
        <f>(5000*2+4900+4975)/4</f>
        <v>4968.75</v>
      </c>
      <c r="F2060" s="2">
        <f>(4872.5+4866.25+4810+4791.25)/4</f>
        <v>4835</v>
      </c>
      <c r="G2060" s="3">
        <v>0</v>
      </c>
      <c r="H2060">
        <v>0</v>
      </c>
      <c r="I2060">
        <v>1330</v>
      </c>
      <c r="J2060">
        <v>17593</v>
      </c>
      <c r="K2060">
        <v>17360</v>
      </c>
      <c r="L2060" s="2">
        <v>26.340000000000003</v>
      </c>
      <c r="M2060" s="5">
        <v>29.858500000000003</v>
      </c>
      <c r="N2060" s="1">
        <v>312.58010000000002</v>
      </c>
      <c r="O2060" s="2">
        <v>5.9</v>
      </c>
      <c r="P2060">
        <v>363</v>
      </c>
    </row>
    <row r="2061" spans="1:16" x14ac:dyDescent="0.35">
      <c r="A2061" s="4">
        <v>45323</v>
      </c>
      <c r="B2061" t="s">
        <v>16</v>
      </c>
      <c r="C2061" t="s">
        <v>11</v>
      </c>
      <c r="D2061">
        <v>0</v>
      </c>
      <c r="E2061" s="2" t="s">
        <v>27</v>
      </c>
      <c r="F2061" s="2">
        <f t="shared" ref="F2061:F2065" si="331">(4872.5+4866.25+4810+4791.25)/4</f>
        <v>4835</v>
      </c>
      <c r="G2061" s="3">
        <v>0</v>
      </c>
      <c r="H2061">
        <v>0</v>
      </c>
      <c r="I2061">
        <v>1330</v>
      </c>
      <c r="J2061">
        <v>17593</v>
      </c>
      <c r="K2061">
        <v>17360</v>
      </c>
      <c r="L2061" s="2">
        <v>26.340000000000003</v>
      </c>
      <c r="M2061" s="5">
        <v>29.858500000000003</v>
      </c>
      <c r="N2061" s="1">
        <v>312.58010000000002</v>
      </c>
      <c r="O2061" s="2">
        <v>5.9</v>
      </c>
      <c r="P2061">
        <v>363</v>
      </c>
    </row>
    <row r="2062" spans="1:16" x14ac:dyDescent="0.35">
      <c r="A2062" s="4">
        <v>45323</v>
      </c>
      <c r="B2062" t="s">
        <v>16</v>
      </c>
      <c r="C2062" t="s">
        <v>12</v>
      </c>
      <c r="D2062">
        <v>1</v>
      </c>
      <c r="E2062" s="2">
        <v>4790</v>
      </c>
      <c r="F2062" s="2">
        <f t="shared" si="331"/>
        <v>4835</v>
      </c>
      <c r="G2062" s="3">
        <v>0</v>
      </c>
      <c r="H2062">
        <v>0</v>
      </c>
      <c r="I2062">
        <v>1330</v>
      </c>
      <c r="J2062">
        <v>17593</v>
      </c>
      <c r="K2062">
        <v>17360</v>
      </c>
      <c r="L2062" s="2">
        <v>26.340000000000003</v>
      </c>
      <c r="M2062" s="5">
        <v>29.858500000000003</v>
      </c>
      <c r="N2062" s="1">
        <v>312.58010000000002</v>
      </c>
      <c r="O2062" s="2">
        <v>5.9</v>
      </c>
      <c r="P2062">
        <v>363</v>
      </c>
    </row>
    <row r="2063" spans="1:16" x14ac:dyDescent="0.35">
      <c r="A2063" s="4">
        <v>45323</v>
      </c>
      <c r="B2063" t="s">
        <v>16</v>
      </c>
      <c r="C2063" t="s">
        <v>13</v>
      </c>
      <c r="D2063">
        <v>1</v>
      </c>
      <c r="E2063" s="2">
        <v>4625</v>
      </c>
      <c r="F2063" s="2">
        <f t="shared" si="331"/>
        <v>4835</v>
      </c>
      <c r="G2063" s="3">
        <v>0</v>
      </c>
      <c r="H2063">
        <v>0</v>
      </c>
      <c r="I2063">
        <v>1330</v>
      </c>
      <c r="J2063">
        <v>17593</v>
      </c>
      <c r="K2063">
        <v>17360</v>
      </c>
      <c r="L2063" s="2">
        <v>26.340000000000003</v>
      </c>
      <c r="M2063" s="5">
        <v>29.858500000000003</v>
      </c>
      <c r="N2063" s="1">
        <v>312.58010000000002</v>
      </c>
      <c r="O2063" s="2">
        <v>5.9</v>
      </c>
      <c r="P2063">
        <v>363</v>
      </c>
    </row>
    <row r="2064" spans="1:16" x14ac:dyDescent="0.35">
      <c r="A2064" s="4">
        <v>45323</v>
      </c>
      <c r="B2064" t="s">
        <v>16</v>
      </c>
      <c r="C2064" t="s">
        <v>14</v>
      </c>
      <c r="D2064">
        <v>1</v>
      </c>
      <c r="E2064" s="2">
        <f>(4925*2+4975+5000)/4</f>
        <v>4956.25</v>
      </c>
      <c r="F2064" s="2">
        <f t="shared" si="331"/>
        <v>4835</v>
      </c>
      <c r="G2064" s="3">
        <v>0</v>
      </c>
      <c r="H2064">
        <v>0</v>
      </c>
      <c r="I2064">
        <v>1330</v>
      </c>
      <c r="J2064">
        <v>17593</v>
      </c>
      <c r="K2064">
        <v>17360</v>
      </c>
      <c r="L2064" s="2">
        <v>26.340000000000003</v>
      </c>
      <c r="M2064" s="5">
        <v>29.858500000000003</v>
      </c>
      <c r="N2064" s="1">
        <v>312.58010000000002</v>
      </c>
      <c r="O2064" s="2">
        <v>5.9</v>
      </c>
      <c r="P2064">
        <v>363</v>
      </c>
    </row>
    <row r="2065" spans="1:16" x14ac:dyDescent="0.35">
      <c r="A2065" s="4">
        <v>45323</v>
      </c>
      <c r="B2065" t="s">
        <v>16</v>
      </c>
      <c r="C2065" t="s">
        <v>15</v>
      </c>
      <c r="D2065">
        <v>0</v>
      </c>
      <c r="E2065" s="2" t="s">
        <v>27</v>
      </c>
      <c r="F2065" s="2">
        <f t="shared" si="331"/>
        <v>4835</v>
      </c>
      <c r="G2065" s="3">
        <v>0</v>
      </c>
      <c r="H2065">
        <v>0</v>
      </c>
      <c r="I2065">
        <v>1330</v>
      </c>
      <c r="J2065">
        <v>17593</v>
      </c>
      <c r="K2065">
        <v>17360</v>
      </c>
      <c r="L2065" s="2">
        <v>26.340000000000003</v>
      </c>
      <c r="M2065" s="5">
        <v>29.858500000000003</v>
      </c>
      <c r="N2065" s="1">
        <v>312.58010000000002</v>
      </c>
      <c r="O2065" s="2">
        <v>5.9</v>
      </c>
      <c r="P2065">
        <v>363</v>
      </c>
    </row>
    <row r="2066" spans="1:16" x14ac:dyDescent="0.35">
      <c r="A2066" s="4">
        <v>45323</v>
      </c>
      <c r="B2066" t="s">
        <v>17</v>
      </c>
      <c r="C2066" t="s">
        <v>10</v>
      </c>
      <c r="D2066">
        <v>1</v>
      </c>
      <c r="E2066" s="2">
        <f>(3800+3875+3650+3683)/4</f>
        <v>3752</v>
      </c>
      <c r="F2066" s="2">
        <f>(3703+3701.4+3671.4+3718)/4</f>
        <v>3698.45</v>
      </c>
      <c r="G2066" s="3">
        <v>0</v>
      </c>
      <c r="H2066">
        <v>0</v>
      </c>
      <c r="I2066">
        <v>1330</v>
      </c>
      <c r="J2066">
        <v>17593</v>
      </c>
      <c r="K2066">
        <v>17360</v>
      </c>
      <c r="L2066" s="2">
        <v>26.340000000000003</v>
      </c>
      <c r="M2066" s="5">
        <v>29.858500000000003</v>
      </c>
      <c r="N2066" s="1">
        <v>312.58010000000002</v>
      </c>
      <c r="O2066" s="2">
        <v>5.9</v>
      </c>
      <c r="P2066">
        <v>363</v>
      </c>
    </row>
    <row r="2067" spans="1:16" x14ac:dyDescent="0.35">
      <c r="A2067" s="4">
        <v>45323</v>
      </c>
      <c r="B2067" t="s">
        <v>17</v>
      </c>
      <c r="C2067" t="s">
        <v>11</v>
      </c>
      <c r="D2067">
        <v>1</v>
      </c>
      <c r="E2067" s="2">
        <v>3525</v>
      </c>
      <c r="F2067" s="2">
        <f t="shared" ref="F2067:F2071" si="332">(3703+3701.4+3671.4+3718)/4</f>
        <v>3698.45</v>
      </c>
      <c r="G2067" s="3">
        <v>0</v>
      </c>
      <c r="H2067">
        <v>0</v>
      </c>
      <c r="I2067">
        <v>1330</v>
      </c>
      <c r="J2067">
        <v>17593</v>
      </c>
      <c r="K2067">
        <v>17360</v>
      </c>
      <c r="L2067" s="2">
        <v>26.340000000000003</v>
      </c>
      <c r="M2067" s="5">
        <v>29.858500000000003</v>
      </c>
      <c r="N2067" s="1">
        <v>312.58010000000002</v>
      </c>
      <c r="O2067" s="2">
        <v>5.9</v>
      </c>
      <c r="P2067">
        <v>363</v>
      </c>
    </row>
    <row r="2068" spans="1:16" x14ac:dyDescent="0.35">
      <c r="A2068" s="4">
        <v>45323</v>
      </c>
      <c r="B2068" t="s">
        <v>17</v>
      </c>
      <c r="C2068" t="s">
        <v>12</v>
      </c>
      <c r="D2068">
        <v>1</v>
      </c>
      <c r="E2068" s="2">
        <v>3590</v>
      </c>
      <c r="F2068" s="2">
        <f t="shared" si="332"/>
        <v>3698.45</v>
      </c>
      <c r="G2068" s="3">
        <v>0</v>
      </c>
      <c r="H2068">
        <v>0</v>
      </c>
      <c r="I2068">
        <v>1330</v>
      </c>
      <c r="J2068">
        <v>17593</v>
      </c>
      <c r="K2068">
        <v>17360</v>
      </c>
      <c r="L2068" s="2">
        <v>26.340000000000003</v>
      </c>
      <c r="M2068" s="5">
        <v>29.858500000000003</v>
      </c>
      <c r="N2068" s="1">
        <v>312.58010000000002</v>
      </c>
      <c r="O2068" s="2">
        <v>5.9</v>
      </c>
      <c r="P2068">
        <v>363</v>
      </c>
    </row>
    <row r="2069" spans="1:16" x14ac:dyDescent="0.35">
      <c r="A2069" s="4">
        <v>45323</v>
      </c>
      <c r="B2069" t="s">
        <v>17</v>
      </c>
      <c r="C2069" t="s">
        <v>13</v>
      </c>
      <c r="D2069">
        <v>1</v>
      </c>
      <c r="E2069" s="2">
        <v>4075</v>
      </c>
      <c r="F2069" s="2">
        <f t="shared" si="332"/>
        <v>3698.45</v>
      </c>
      <c r="G2069" s="3">
        <v>0</v>
      </c>
      <c r="H2069">
        <v>0</v>
      </c>
      <c r="I2069">
        <v>1330</v>
      </c>
      <c r="J2069">
        <v>17593</v>
      </c>
      <c r="K2069">
        <v>17360</v>
      </c>
      <c r="L2069" s="2">
        <v>26.340000000000003</v>
      </c>
      <c r="M2069" s="5">
        <v>29.858500000000003</v>
      </c>
      <c r="N2069" s="1">
        <v>312.58010000000002</v>
      </c>
      <c r="O2069" s="2">
        <v>5.9</v>
      </c>
      <c r="P2069">
        <v>363</v>
      </c>
    </row>
    <row r="2070" spans="1:16" x14ac:dyDescent="0.35">
      <c r="A2070" s="4">
        <v>45323</v>
      </c>
      <c r="B2070" t="s">
        <v>17</v>
      </c>
      <c r="C2070" t="s">
        <v>14</v>
      </c>
      <c r="D2070">
        <v>1</v>
      </c>
      <c r="E2070" s="2">
        <f>(3667+3567+3500+3467)/4</f>
        <v>3550.25</v>
      </c>
      <c r="F2070" s="2">
        <f t="shared" si="332"/>
        <v>3698.45</v>
      </c>
      <c r="G2070" s="3">
        <v>0</v>
      </c>
      <c r="H2070">
        <v>0</v>
      </c>
      <c r="I2070">
        <v>1330</v>
      </c>
      <c r="J2070">
        <v>17593</v>
      </c>
      <c r="K2070">
        <v>17360</v>
      </c>
      <c r="L2070" s="2">
        <v>26.340000000000003</v>
      </c>
      <c r="M2070" s="5">
        <v>29.858500000000003</v>
      </c>
      <c r="N2070" s="1">
        <v>312.58010000000002</v>
      </c>
      <c r="O2070" s="2">
        <v>5.9</v>
      </c>
      <c r="P2070">
        <v>363</v>
      </c>
    </row>
    <row r="2071" spans="1:16" x14ac:dyDescent="0.35">
      <c r="A2071" s="4">
        <v>45323</v>
      </c>
      <c r="B2071" t="s">
        <v>17</v>
      </c>
      <c r="C2071" t="s">
        <v>15</v>
      </c>
      <c r="D2071">
        <v>0</v>
      </c>
      <c r="E2071" s="2" t="s">
        <v>27</v>
      </c>
      <c r="F2071" s="2">
        <f t="shared" si="332"/>
        <v>3698.45</v>
      </c>
      <c r="G2071" s="3">
        <v>0</v>
      </c>
      <c r="H2071">
        <v>0</v>
      </c>
      <c r="I2071">
        <v>1330</v>
      </c>
      <c r="J2071">
        <v>17593</v>
      </c>
      <c r="K2071">
        <v>17360</v>
      </c>
      <c r="L2071" s="2">
        <v>26.340000000000003</v>
      </c>
      <c r="M2071" s="5">
        <v>29.858500000000003</v>
      </c>
      <c r="N2071" s="1">
        <v>312.58010000000002</v>
      </c>
      <c r="O2071" s="2">
        <v>5.9</v>
      </c>
      <c r="P2071">
        <v>363</v>
      </c>
    </row>
    <row r="2072" spans="1:16" x14ac:dyDescent="0.35">
      <c r="A2072" s="4">
        <v>45323</v>
      </c>
      <c r="B2072" t="s">
        <v>18</v>
      </c>
      <c r="C2072" t="s">
        <v>10</v>
      </c>
      <c r="D2072">
        <v>1</v>
      </c>
      <c r="E2072" s="2">
        <f>(3250+3750+3400+3266)/4</f>
        <v>3416.5</v>
      </c>
      <c r="F2072" s="2">
        <f>(3308.63+3286.88+3285.88+3237.13)/4</f>
        <v>3279.63</v>
      </c>
      <c r="G2072" s="3">
        <v>0</v>
      </c>
      <c r="H2072">
        <v>0</v>
      </c>
      <c r="I2072">
        <v>1330</v>
      </c>
      <c r="J2072">
        <v>17593</v>
      </c>
      <c r="K2072">
        <v>17360</v>
      </c>
      <c r="L2072" s="2">
        <v>26.340000000000003</v>
      </c>
      <c r="M2072" s="5">
        <v>29.858500000000003</v>
      </c>
      <c r="N2072" s="1">
        <v>312.58010000000002</v>
      </c>
      <c r="O2072" s="2">
        <v>5.9</v>
      </c>
      <c r="P2072">
        <v>363</v>
      </c>
    </row>
    <row r="2073" spans="1:16" x14ac:dyDescent="0.35">
      <c r="A2073" s="4">
        <v>45323</v>
      </c>
      <c r="B2073" t="s">
        <v>18</v>
      </c>
      <c r="C2073" t="s">
        <v>11</v>
      </c>
      <c r="D2073">
        <v>1</v>
      </c>
      <c r="E2073" s="2">
        <v>3150</v>
      </c>
      <c r="F2073" s="2">
        <f t="shared" ref="F2073:F2077" si="333">(3308.63+3286.88+3285.88+3237.13)/4</f>
        <v>3279.63</v>
      </c>
      <c r="G2073" s="3">
        <v>0</v>
      </c>
      <c r="H2073">
        <v>0</v>
      </c>
      <c r="I2073">
        <v>1330</v>
      </c>
      <c r="J2073">
        <v>17593</v>
      </c>
      <c r="K2073">
        <v>17360</v>
      </c>
      <c r="L2073" s="2">
        <v>26.340000000000003</v>
      </c>
      <c r="M2073" s="5">
        <v>29.858500000000003</v>
      </c>
      <c r="N2073" s="1">
        <v>312.58010000000002</v>
      </c>
      <c r="O2073" s="2">
        <v>5.9</v>
      </c>
      <c r="P2073">
        <v>363</v>
      </c>
    </row>
    <row r="2074" spans="1:16" x14ac:dyDescent="0.35">
      <c r="A2074" s="4">
        <v>45323</v>
      </c>
      <c r="B2074" t="s">
        <v>18</v>
      </c>
      <c r="C2074" t="s">
        <v>12</v>
      </c>
      <c r="D2074">
        <v>1</v>
      </c>
      <c r="E2074" s="2">
        <v>2970</v>
      </c>
      <c r="F2074" s="2">
        <f t="shared" si="333"/>
        <v>3279.63</v>
      </c>
      <c r="G2074" s="3">
        <v>0</v>
      </c>
      <c r="H2074">
        <v>0</v>
      </c>
      <c r="I2074">
        <v>1330</v>
      </c>
      <c r="J2074">
        <v>17593</v>
      </c>
      <c r="K2074">
        <v>17360</v>
      </c>
      <c r="L2074" s="2">
        <v>26.340000000000003</v>
      </c>
      <c r="M2074" s="5">
        <v>29.858500000000003</v>
      </c>
      <c r="N2074" s="1">
        <v>312.58010000000002</v>
      </c>
      <c r="O2074" s="2">
        <v>5.9</v>
      </c>
      <c r="P2074">
        <v>363</v>
      </c>
    </row>
    <row r="2075" spans="1:16" x14ac:dyDescent="0.35">
      <c r="A2075" s="4">
        <v>45323</v>
      </c>
      <c r="B2075" t="s">
        <v>18</v>
      </c>
      <c r="C2075" t="s">
        <v>13</v>
      </c>
      <c r="D2075">
        <v>1</v>
      </c>
      <c r="E2075" s="2">
        <v>3300</v>
      </c>
      <c r="F2075" s="2">
        <f t="shared" si="333"/>
        <v>3279.63</v>
      </c>
      <c r="G2075" s="3">
        <v>0</v>
      </c>
      <c r="H2075">
        <v>0</v>
      </c>
      <c r="I2075">
        <v>1330</v>
      </c>
      <c r="J2075">
        <v>17593</v>
      </c>
      <c r="K2075">
        <v>17360</v>
      </c>
      <c r="L2075" s="2">
        <v>26.340000000000003</v>
      </c>
      <c r="M2075" s="5">
        <v>29.858500000000003</v>
      </c>
      <c r="N2075" s="1">
        <v>312.58010000000002</v>
      </c>
      <c r="O2075" s="2">
        <v>5.9</v>
      </c>
      <c r="P2075">
        <v>363</v>
      </c>
    </row>
    <row r="2076" spans="1:16" x14ac:dyDescent="0.35">
      <c r="A2076" s="4">
        <v>45323</v>
      </c>
      <c r="B2076" t="s">
        <v>18</v>
      </c>
      <c r="C2076" t="s">
        <v>14</v>
      </c>
      <c r="D2076">
        <v>1</v>
      </c>
      <c r="E2076" s="2">
        <f>(3167*2+3125+3233)/4</f>
        <v>3173</v>
      </c>
      <c r="F2076" s="2">
        <f t="shared" si="333"/>
        <v>3279.63</v>
      </c>
      <c r="G2076" s="3">
        <v>0</v>
      </c>
      <c r="H2076">
        <v>0</v>
      </c>
      <c r="I2076">
        <v>1330</v>
      </c>
      <c r="J2076">
        <v>17593</v>
      </c>
      <c r="K2076">
        <v>17360</v>
      </c>
      <c r="L2076" s="2">
        <v>26.340000000000003</v>
      </c>
      <c r="M2076" s="5">
        <v>29.858500000000003</v>
      </c>
      <c r="N2076" s="1">
        <v>312.58010000000002</v>
      </c>
      <c r="O2076" s="2">
        <v>5.9</v>
      </c>
      <c r="P2076">
        <v>363</v>
      </c>
    </row>
    <row r="2077" spans="1:16" x14ac:dyDescent="0.35">
      <c r="A2077" s="4">
        <v>45323</v>
      </c>
      <c r="B2077" t="s">
        <v>18</v>
      </c>
      <c r="C2077" t="s">
        <v>15</v>
      </c>
      <c r="D2077">
        <v>1</v>
      </c>
      <c r="E2077" s="2">
        <v>3325</v>
      </c>
      <c r="F2077" s="2">
        <f t="shared" si="333"/>
        <v>3279.63</v>
      </c>
      <c r="G2077" s="3">
        <v>0</v>
      </c>
      <c r="H2077">
        <v>0</v>
      </c>
      <c r="I2077">
        <v>1330</v>
      </c>
      <c r="J2077">
        <v>17593</v>
      </c>
      <c r="K2077">
        <v>17360</v>
      </c>
      <c r="L2077" s="2">
        <v>26.340000000000003</v>
      </c>
      <c r="M2077" s="5">
        <v>29.858500000000003</v>
      </c>
      <c r="N2077" s="1">
        <v>312.58010000000002</v>
      </c>
      <c r="O2077" s="2">
        <v>5.9</v>
      </c>
      <c r="P2077">
        <v>363</v>
      </c>
    </row>
    <row r="2078" spans="1:16" x14ac:dyDescent="0.35">
      <c r="A2078" s="4">
        <v>45323</v>
      </c>
      <c r="B2078" t="s">
        <v>19</v>
      </c>
      <c r="C2078" t="s">
        <v>10</v>
      </c>
      <c r="D2078">
        <v>1</v>
      </c>
      <c r="E2078" s="2">
        <f>(3033+2850+3100+3033)/4</f>
        <v>3004</v>
      </c>
      <c r="F2078" s="2">
        <f>(2977.5+2961.88+3005.63+3061.63)/4</f>
        <v>3001.66</v>
      </c>
      <c r="G2078" s="3">
        <v>0</v>
      </c>
      <c r="H2078">
        <v>0</v>
      </c>
      <c r="I2078">
        <v>1330</v>
      </c>
      <c r="J2078">
        <v>17593</v>
      </c>
      <c r="K2078">
        <v>17360</v>
      </c>
      <c r="L2078" s="2">
        <v>26.340000000000003</v>
      </c>
      <c r="M2078" s="5">
        <v>29.858500000000003</v>
      </c>
      <c r="N2078" s="1">
        <v>312.58010000000002</v>
      </c>
      <c r="O2078" s="2">
        <v>5.9</v>
      </c>
      <c r="P2078">
        <v>363</v>
      </c>
    </row>
    <row r="2079" spans="1:16" x14ac:dyDescent="0.35">
      <c r="A2079" s="4">
        <v>45323</v>
      </c>
      <c r="B2079" t="s">
        <v>19</v>
      </c>
      <c r="C2079" t="s">
        <v>11</v>
      </c>
      <c r="D2079">
        <v>1</v>
      </c>
      <c r="E2079" s="2">
        <v>3000</v>
      </c>
      <c r="F2079" s="2">
        <f t="shared" ref="F2079:F2083" si="334">(2977.5+2961.88+3005.63+3061.63)/4</f>
        <v>3001.66</v>
      </c>
      <c r="G2079" s="3">
        <v>0</v>
      </c>
      <c r="H2079">
        <v>0</v>
      </c>
      <c r="I2079">
        <v>1330</v>
      </c>
      <c r="J2079">
        <v>17593</v>
      </c>
      <c r="K2079">
        <v>17360</v>
      </c>
      <c r="L2079" s="2">
        <v>26.340000000000003</v>
      </c>
      <c r="M2079" s="5">
        <v>29.858500000000003</v>
      </c>
      <c r="N2079" s="1">
        <v>312.58010000000002</v>
      </c>
      <c r="O2079" s="2">
        <v>5.9</v>
      </c>
      <c r="P2079">
        <v>363</v>
      </c>
    </row>
    <row r="2080" spans="1:16" x14ac:dyDescent="0.35">
      <c r="A2080" s="4">
        <v>45323</v>
      </c>
      <c r="B2080" t="s">
        <v>19</v>
      </c>
      <c r="C2080" t="s">
        <v>12</v>
      </c>
      <c r="D2080">
        <v>1</v>
      </c>
      <c r="E2080" s="2">
        <v>2695</v>
      </c>
      <c r="F2080" s="2">
        <f t="shared" si="334"/>
        <v>3001.66</v>
      </c>
      <c r="G2080" s="3">
        <v>0</v>
      </c>
      <c r="H2080">
        <v>0</v>
      </c>
      <c r="I2080">
        <v>1330</v>
      </c>
      <c r="J2080">
        <v>17593</v>
      </c>
      <c r="K2080">
        <v>17360</v>
      </c>
      <c r="L2080" s="2">
        <v>26.340000000000003</v>
      </c>
      <c r="M2080" s="5">
        <v>29.858500000000003</v>
      </c>
      <c r="N2080" s="1">
        <v>312.58010000000002</v>
      </c>
      <c r="O2080" s="2">
        <v>5.9</v>
      </c>
      <c r="P2080">
        <v>363</v>
      </c>
    </row>
    <row r="2081" spans="1:16" x14ac:dyDescent="0.35">
      <c r="A2081" s="4">
        <v>45323</v>
      </c>
      <c r="B2081" t="s">
        <v>19</v>
      </c>
      <c r="C2081" t="s">
        <v>13</v>
      </c>
      <c r="D2081">
        <v>1</v>
      </c>
      <c r="E2081" s="2">
        <v>3912.5</v>
      </c>
      <c r="F2081" s="2">
        <f t="shared" si="334"/>
        <v>3001.66</v>
      </c>
      <c r="G2081" s="3">
        <v>0</v>
      </c>
      <c r="H2081">
        <v>0</v>
      </c>
      <c r="I2081">
        <v>1330</v>
      </c>
      <c r="J2081">
        <v>17593</v>
      </c>
      <c r="K2081">
        <v>17360</v>
      </c>
      <c r="L2081" s="2">
        <v>26.340000000000003</v>
      </c>
      <c r="M2081" s="5">
        <v>29.858500000000003</v>
      </c>
      <c r="N2081" s="1">
        <v>312.58010000000002</v>
      </c>
      <c r="O2081" s="2">
        <v>5.9</v>
      </c>
      <c r="P2081">
        <v>363</v>
      </c>
    </row>
    <row r="2082" spans="1:16" x14ac:dyDescent="0.35">
      <c r="A2082" s="4">
        <v>45323</v>
      </c>
      <c r="B2082" t="s">
        <v>19</v>
      </c>
      <c r="C2082" t="s">
        <v>14</v>
      </c>
      <c r="D2082">
        <v>1</v>
      </c>
      <c r="E2082" s="2">
        <f>(3000+3090+2975+2967)/4</f>
        <v>3008</v>
      </c>
      <c r="F2082" s="2">
        <f t="shared" si="334"/>
        <v>3001.66</v>
      </c>
      <c r="G2082" s="3">
        <v>0</v>
      </c>
      <c r="H2082">
        <v>0</v>
      </c>
      <c r="I2082">
        <v>1330</v>
      </c>
      <c r="J2082">
        <v>17593</v>
      </c>
      <c r="K2082">
        <v>17360</v>
      </c>
      <c r="L2082" s="2">
        <v>26.340000000000003</v>
      </c>
      <c r="M2082" s="5">
        <v>29.858500000000003</v>
      </c>
      <c r="N2082" s="1">
        <v>312.58010000000002</v>
      </c>
      <c r="O2082" s="2">
        <v>5.9</v>
      </c>
      <c r="P2082">
        <v>363</v>
      </c>
    </row>
    <row r="2083" spans="1:16" x14ac:dyDescent="0.35">
      <c r="A2083" s="4">
        <v>45323</v>
      </c>
      <c r="B2083" t="s">
        <v>19</v>
      </c>
      <c r="C2083" t="s">
        <v>15</v>
      </c>
      <c r="D2083">
        <v>1</v>
      </c>
      <c r="E2083" s="2">
        <v>3037.5</v>
      </c>
      <c r="F2083" s="2">
        <f t="shared" si="334"/>
        <v>3001.66</v>
      </c>
      <c r="G2083" s="3">
        <v>0</v>
      </c>
      <c r="H2083">
        <v>0</v>
      </c>
      <c r="I2083">
        <v>1330</v>
      </c>
      <c r="J2083">
        <v>17593</v>
      </c>
      <c r="K2083">
        <v>17360</v>
      </c>
      <c r="L2083" s="2">
        <v>26.340000000000003</v>
      </c>
      <c r="M2083" s="5">
        <v>29.858500000000003</v>
      </c>
      <c r="N2083" s="1">
        <v>312.58010000000002</v>
      </c>
      <c r="O2083" s="2">
        <v>5.9</v>
      </c>
      <c r="P2083">
        <v>363</v>
      </c>
    </row>
    <row r="2084" spans="1:16" x14ac:dyDescent="0.35">
      <c r="A2084" s="4">
        <v>45323</v>
      </c>
      <c r="B2084" t="s">
        <v>20</v>
      </c>
      <c r="C2084" t="s">
        <v>10</v>
      </c>
      <c r="D2084">
        <v>1</v>
      </c>
      <c r="E2084" s="2">
        <f>(2433+2500+2700+2717)/4</f>
        <v>2587.5</v>
      </c>
      <c r="F2084" s="2">
        <f>(2653.5+2639.38+2644.13+2669.88)/4</f>
        <v>2651.7224999999999</v>
      </c>
      <c r="G2084" s="3">
        <v>0</v>
      </c>
      <c r="H2084">
        <v>0</v>
      </c>
      <c r="I2084">
        <v>1330</v>
      </c>
      <c r="J2084">
        <v>17593</v>
      </c>
      <c r="K2084">
        <v>17360</v>
      </c>
      <c r="L2084" s="2">
        <v>26.340000000000003</v>
      </c>
      <c r="M2084" s="5">
        <v>29.858500000000003</v>
      </c>
      <c r="N2084" s="1">
        <v>312.58010000000002</v>
      </c>
      <c r="O2084" s="2">
        <v>5.9</v>
      </c>
      <c r="P2084">
        <v>363</v>
      </c>
    </row>
    <row r="2085" spans="1:16" x14ac:dyDescent="0.35">
      <c r="A2085" s="4">
        <v>45323</v>
      </c>
      <c r="B2085" t="s">
        <v>20</v>
      </c>
      <c r="C2085" t="s">
        <v>11</v>
      </c>
      <c r="D2085">
        <v>1</v>
      </c>
      <c r="E2085" s="2">
        <v>2650</v>
      </c>
      <c r="F2085" s="2">
        <f t="shared" ref="F2085:F2089" si="335">(2653.5+2639.38+2644.13+2669.88)/4</f>
        <v>2651.7224999999999</v>
      </c>
      <c r="G2085" s="3">
        <v>0</v>
      </c>
      <c r="H2085">
        <v>0</v>
      </c>
      <c r="I2085">
        <v>1330</v>
      </c>
      <c r="J2085">
        <v>17593</v>
      </c>
      <c r="K2085">
        <v>17360</v>
      </c>
      <c r="L2085" s="2">
        <v>26.340000000000003</v>
      </c>
      <c r="M2085" s="5">
        <v>29.858500000000003</v>
      </c>
      <c r="N2085" s="1">
        <v>312.58010000000002</v>
      </c>
      <c r="O2085" s="2">
        <v>5.9</v>
      </c>
      <c r="P2085">
        <v>363</v>
      </c>
    </row>
    <row r="2086" spans="1:16" x14ac:dyDescent="0.35">
      <c r="A2086" s="4">
        <v>45323</v>
      </c>
      <c r="B2086" t="s">
        <v>20</v>
      </c>
      <c r="C2086" t="s">
        <v>12</v>
      </c>
      <c r="D2086">
        <v>1</v>
      </c>
      <c r="E2086" s="2">
        <v>2190</v>
      </c>
      <c r="F2086" s="2">
        <f t="shared" si="335"/>
        <v>2651.7224999999999</v>
      </c>
      <c r="G2086" s="3">
        <v>0</v>
      </c>
      <c r="H2086">
        <v>0</v>
      </c>
      <c r="I2086">
        <v>1330</v>
      </c>
      <c r="J2086">
        <v>17593</v>
      </c>
      <c r="K2086">
        <v>17360</v>
      </c>
      <c r="L2086" s="2">
        <v>26.340000000000003</v>
      </c>
      <c r="M2086" s="5">
        <v>29.858500000000003</v>
      </c>
      <c r="N2086" s="1">
        <v>312.58010000000002</v>
      </c>
      <c r="O2086" s="2">
        <v>5.9</v>
      </c>
      <c r="P2086">
        <v>363</v>
      </c>
    </row>
    <row r="2087" spans="1:16" x14ac:dyDescent="0.35">
      <c r="A2087" s="4">
        <v>45323</v>
      </c>
      <c r="B2087" t="s">
        <v>20</v>
      </c>
      <c r="C2087" t="s">
        <v>13</v>
      </c>
      <c r="D2087">
        <v>1</v>
      </c>
      <c r="E2087" s="2">
        <v>2775</v>
      </c>
      <c r="F2087" s="2">
        <f t="shared" si="335"/>
        <v>2651.7224999999999</v>
      </c>
      <c r="G2087" s="3">
        <v>0</v>
      </c>
      <c r="H2087">
        <v>0</v>
      </c>
      <c r="I2087">
        <v>1330</v>
      </c>
      <c r="J2087">
        <v>17593</v>
      </c>
      <c r="K2087">
        <v>17360</v>
      </c>
      <c r="L2087" s="2">
        <v>26.340000000000003</v>
      </c>
      <c r="M2087" s="5">
        <v>29.858500000000003</v>
      </c>
      <c r="N2087" s="1">
        <v>312.58010000000002</v>
      </c>
      <c r="O2087" s="2">
        <v>5.9</v>
      </c>
      <c r="P2087">
        <v>363</v>
      </c>
    </row>
    <row r="2088" spans="1:16" x14ac:dyDescent="0.35">
      <c r="A2088" s="4">
        <v>45323</v>
      </c>
      <c r="B2088" t="s">
        <v>20</v>
      </c>
      <c r="C2088" t="s">
        <v>14</v>
      </c>
      <c r="D2088">
        <v>1</v>
      </c>
      <c r="E2088" s="2">
        <f>(2830+2725+2688+2713)/4</f>
        <v>2739</v>
      </c>
      <c r="F2088" s="2">
        <f t="shared" si="335"/>
        <v>2651.7224999999999</v>
      </c>
      <c r="G2088" s="3">
        <v>0</v>
      </c>
      <c r="H2088">
        <v>0</v>
      </c>
      <c r="I2088">
        <v>1330</v>
      </c>
      <c r="J2088">
        <v>17593</v>
      </c>
      <c r="K2088">
        <v>17360</v>
      </c>
      <c r="L2088" s="2">
        <v>26.340000000000003</v>
      </c>
      <c r="M2088" s="5">
        <v>29.858500000000003</v>
      </c>
      <c r="N2088" s="1">
        <v>312.58010000000002</v>
      </c>
      <c r="O2088" s="2">
        <v>5.9</v>
      </c>
      <c r="P2088">
        <v>363</v>
      </c>
    </row>
    <row r="2089" spans="1:16" x14ac:dyDescent="0.35">
      <c r="A2089" s="4">
        <v>45323</v>
      </c>
      <c r="B2089" t="s">
        <v>20</v>
      </c>
      <c r="C2089" t="s">
        <v>15</v>
      </c>
      <c r="D2089">
        <v>1</v>
      </c>
      <c r="E2089" s="2">
        <f>(2725+2750+2800+2850)/4</f>
        <v>2781.25</v>
      </c>
      <c r="F2089" s="2">
        <f t="shared" si="335"/>
        <v>2651.7224999999999</v>
      </c>
      <c r="G2089" s="3">
        <v>0</v>
      </c>
      <c r="H2089">
        <v>0</v>
      </c>
      <c r="I2089">
        <v>1330</v>
      </c>
      <c r="J2089">
        <v>17593</v>
      </c>
      <c r="K2089">
        <v>17360</v>
      </c>
      <c r="L2089" s="2">
        <v>26.340000000000003</v>
      </c>
      <c r="M2089" s="5">
        <v>29.858500000000003</v>
      </c>
      <c r="N2089" s="1">
        <v>312.58010000000002</v>
      </c>
      <c r="O2089" s="2">
        <v>5.9</v>
      </c>
      <c r="P2089">
        <v>363</v>
      </c>
    </row>
    <row r="2090" spans="1:16" x14ac:dyDescent="0.35">
      <c r="A2090" s="4">
        <v>45323</v>
      </c>
      <c r="B2090" t="s">
        <v>21</v>
      </c>
      <c r="C2090" t="s">
        <v>10</v>
      </c>
      <c r="D2090">
        <v>1</v>
      </c>
      <c r="E2090" s="2">
        <f>(2316+2350+2320+2100)/4</f>
        <v>2271.5</v>
      </c>
      <c r="F2090" s="2">
        <f>(2485+2491.13+2499.38+2489.88)/4</f>
        <v>2491.3474999999999</v>
      </c>
      <c r="G2090" s="3">
        <v>0</v>
      </c>
      <c r="H2090">
        <v>0</v>
      </c>
      <c r="I2090">
        <v>1330</v>
      </c>
      <c r="J2090">
        <v>17593</v>
      </c>
      <c r="K2090">
        <v>17360</v>
      </c>
      <c r="L2090" s="2">
        <v>26.340000000000003</v>
      </c>
      <c r="M2090" s="5">
        <v>29.858500000000003</v>
      </c>
      <c r="N2090" s="1">
        <v>312.58010000000002</v>
      </c>
      <c r="O2090" s="2">
        <v>5.9</v>
      </c>
      <c r="P2090">
        <v>363</v>
      </c>
    </row>
    <row r="2091" spans="1:16" x14ac:dyDescent="0.35">
      <c r="A2091" s="4">
        <v>45323</v>
      </c>
      <c r="B2091" t="s">
        <v>21</v>
      </c>
      <c r="C2091" t="s">
        <v>11</v>
      </c>
      <c r="D2091">
        <v>1</v>
      </c>
      <c r="E2091" s="2">
        <v>2550</v>
      </c>
      <c r="F2091" s="2">
        <f t="shared" ref="F2091:F2095" si="336">(2485+2491.13+2499.38+2489.88)/4</f>
        <v>2491.3474999999999</v>
      </c>
      <c r="G2091" s="3">
        <v>0</v>
      </c>
      <c r="H2091">
        <v>0</v>
      </c>
      <c r="I2091">
        <v>1330</v>
      </c>
      <c r="J2091">
        <v>17593</v>
      </c>
      <c r="K2091">
        <v>17360</v>
      </c>
      <c r="L2091" s="2">
        <v>26.340000000000003</v>
      </c>
      <c r="M2091" s="5">
        <v>29.858500000000003</v>
      </c>
      <c r="N2091" s="1">
        <v>312.58010000000002</v>
      </c>
      <c r="O2091" s="2">
        <v>5.9</v>
      </c>
      <c r="P2091">
        <v>363</v>
      </c>
    </row>
    <row r="2092" spans="1:16" x14ac:dyDescent="0.35">
      <c r="A2092" s="4">
        <v>45323</v>
      </c>
      <c r="B2092" t="s">
        <v>21</v>
      </c>
      <c r="C2092" t="s">
        <v>12</v>
      </c>
      <c r="D2092">
        <v>1</v>
      </c>
      <c r="E2092" s="2">
        <v>2100</v>
      </c>
      <c r="F2092" s="2">
        <f t="shared" si="336"/>
        <v>2491.3474999999999</v>
      </c>
      <c r="G2092" s="3">
        <v>0</v>
      </c>
      <c r="H2092">
        <v>0</v>
      </c>
      <c r="I2092">
        <v>1330</v>
      </c>
      <c r="J2092">
        <v>17593</v>
      </c>
      <c r="K2092">
        <v>17360</v>
      </c>
      <c r="L2092" s="2">
        <v>26.340000000000003</v>
      </c>
      <c r="M2092" s="5">
        <v>29.858500000000003</v>
      </c>
      <c r="N2092" s="1">
        <v>312.58010000000002</v>
      </c>
      <c r="O2092" s="2">
        <v>5.9</v>
      </c>
      <c r="P2092">
        <v>363</v>
      </c>
    </row>
    <row r="2093" spans="1:16" x14ac:dyDescent="0.35">
      <c r="A2093" s="4">
        <v>45323</v>
      </c>
      <c r="B2093" t="s">
        <v>21</v>
      </c>
      <c r="C2093" t="s">
        <v>13</v>
      </c>
      <c r="D2093">
        <v>1</v>
      </c>
      <c r="E2093" s="2">
        <v>2650</v>
      </c>
      <c r="F2093" s="2">
        <f t="shared" si="336"/>
        <v>2491.3474999999999</v>
      </c>
      <c r="G2093" s="3">
        <v>0</v>
      </c>
      <c r="H2093">
        <v>0</v>
      </c>
      <c r="I2093">
        <v>1330</v>
      </c>
      <c r="J2093">
        <v>17593</v>
      </c>
      <c r="K2093">
        <v>17360</v>
      </c>
      <c r="L2093" s="2">
        <v>26.340000000000003</v>
      </c>
      <c r="M2093" s="5">
        <v>29.858500000000003</v>
      </c>
      <c r="N2093" s="1">
        <v>312.58010000000002</v>
      </c>
      <c r="O2093" s="2">
        <v>5.9</v>
      </c>
      <c r="P2093">
        <v>363</v>
      </c>
    </row>
    <row r="2094" spans="1:16" x14ac:dyDescent="0.35">
      <c r="A2094" s="4">
        <v>45323</v>
      </c>
      <c r="B2094" t="s">
        <v>21</v>
      </c>
      <c r="C2094" t="s">
        <v>14</v>
      </c>
      <c r="D2094">
        <v>1</v>
      </c>
      <c r="E2094" s="2">
        <f>(2614+2629+2600+2669)/4</f>
        <v>2628</v>
      </c>
      <c r="F2094" s="2">
        <f t="shared" si="336"/>
        <v>2491.3474999999999</v>
      </c>
      <c r="G2094" s="3">
        <v>0</v>
      </c>
      <c r="H2094">
        <v>0</v>
      </c>
      <c r="I2094">
        <v>1330</v>
      </c>
      <c r="J2094">
        <v>17593</v>
      </c>
      <c r="K2094">
        <v>17360</v>
      </c>
      <c r="L2094" s="2">
        <v>26.340000000000003</v>
      </c>
      <c r="M2094" s="5">
        <v>29.858500000000003</v>
      </c>
      <c r="N2094" s="1">
        <v>312.58010000000002</v>
      </c>
      <c r="O2094" s="2">
        <v>5.9</v>
      </c>
      <c r="P2094">
        <v>363</v>
      </c>
    </row>
    <row r="2095" spans="1:16" x14ac:dyDescent="0.35">
      <c r="A2095" s="4">
        <v>45323</v>
      </c>
      <c r="B2095" t="s">
        <v>21</v>
      </c>
      <c r="C2095" t="s">
        <v>15</v>
      </c>
      <c r="D2095">
        <v>1</v>
      </c>
      <c r="E2095" s="2">
        <f>(2725+2675+2650+2725)/4</f>
        <v>2693.75</v>
      </c>
      <c r="F2095" s="2">
        <f t="shared" si="336"/>
        <v>2491.3474999999999</v>
      </c>
      <c r="G2095" s="3">
        <v>0</v>
      </c>
      <c r="H2095">
        <v>0</v>
      </c>
      <c r="I2095">
        <v>1330</v>
      </c>
      <c r="J2095">
        <v>17593</v>
      </c>
      <c r="K2095">
        <v>17360</v>
      </c>
      <c r="L2095" s="2">
        <v>26.340000000000003</v>
      </c>
      <c r="M2095" s="5">
        <v>29.858500000000003</v>
      </c>
      <c r="N2095" s="1">
        <v>312.58010000000002</v>
      </c>
      <c r="O2095" s="2">
        <v>5.9</v>
      </c>
      <c r="P2095">
        <v>363</v>
      </c>
    </row>
    <row r="2096" spans="1:16" x14ac:dyDescent="0.35">
      <c r="A2096" s="4">
        <v>45323</v>
      </c>
      <c r="B2096" t="s">
        <v>22</v>
      </c>
      <c r="C2096" t="s">
        <v>10</v>
      </c>
      <c r="D2096">
        <v>0</v>
      </c>
      <c r="E2096" s="2" t="s">
        <v>27</v>
      </c>
      <c r="F2096" s="2">
        <f t="shared" ref="F2096:F2099" si="337">(2075+2180+2000+2050)/4</f>
        <v>2076.25</v>
      </c>
      <c r="G2096" s="3">
        <v>0</v>
      </c>
      <c r="H2096">
        <v>0</v>
      </c>
      <c r="I2096">
        <v>1330</v>
      </c>
      <c r="J2096">
        <v>17593</v>
      </c>
      <c r="K2096">
        <v>17360</v>
      </c>
      <c r="L2096" s="2">
        <v>26.340000000000003</v>
      </c>
      <c r="M2096" s="5">
        <v>29.858500000000003</v>
      </c>
      <c r="N2096" s="1">
        <v>312.58010000000002</v>
      </c>
      <c r="O2096" s="2">
        <v>5.9</v>
      </c>
      <c r="P2096">
        <v>363</v>
      </c>
    </row>
    <row r="2097" spans="1:16" x14ac:dyDescent="0.35">
      <c r="A2097" s="4">
        <v>45323</v>
      </c>
      <c r="B2097" t="s">
        <v>22</v>
      </c>
      <c r="C2097" t="s">
        <v>11</v>
      </c>
      <c r="D2097">
        <v>0</v>
      </c>
      <c r="E2097" s="2" t="s">
        <v>27</v>
      </c>
      <c r="F2097" s="2">
        <f t="shared" si="337"/>
        <v>2076.25</v>
      </c>
      <c r="G2097" s="3">
        <v>0</v>
      </c>
      <c r="H2097">
        <v>0</v>
      </c>
      <c r="I2097">
        <v>1330</v>
      </c>
      <c r="J2097">
        <v>17593</v>
      </c>
      <c r="K2097">
        <v>17360</v>
      </c>
      <c r="L2097" s="2">
        <v>26.340000000000003</v>
      </c>
      <c r="M2097" s="5">
        <v>29.858500000000003</v>
      </c>
      <c r="N2097" s="1">
        <v>312.58010000000002</v>
      </c>
      <c r="O2097" s="2">
        <v>5.9</v>
      </c>
      <c r="P2097">
        <v>363</v>
      </c>
    </row>
    <row r="2098" spans="1:16" x14ac:dyDescent="0.35">
      <c r="A2098" s="4">
        <v>45323</v>
      </c>
      <c r="B2098" t="s">
        <v>22</v>
      </c>
      <c r="C2098" t="s">
        <v>12</v>
      </c>
      <c r="D2098">
        <v>0</v>
      </c>
      <c r="E2098" s="2" t="s">
        <v>27</v>
      </c>
      <c r="F2098" s="2">
        <f t="shared" si="337"/>
        <v>2076.25</v>
      </c>
      <c r="G2098" s="3">
        <v>0</v>
      </c>
      <c r="H2098">
        <v>0</v>
      </c>
      <c r="I2098">
        <v>1330</v>
      </c>
      <c r="J2098">
        <v>17593</v>
      </c>
      <c r="K2098">
        <v>17360</v>
      </c>
      <c r="L2098" s="2">
        <v>26.340000000000003</v>
      </c>
      <c r="M2098" s="5">
        <v>29.858500000000003</v>
      </c>
      <c r="N2098" s="1">
        <v>312.58010000000002</v>
      </c>
      <c r="O2098" s="2">
        <v>5.9</v>
      </c>
      <c r="P2098">
        <v>363</v>
      </c>
    </row>
    <row r="2099" spans="1:16" x14ac:dyDescent="0.35">
      <c r="A2099" s="4">
        <v>45323</v>
      </c>
      <c r="B2099" t="s">
        <v>22</v>
      </c>
      <c r="C2099" t="s">
        <v>13</v>
      </c>
      <c r="D2099">
        <v>0</v>
      </c>
      <c r="E2099" s="2" t="s">
        <v>27</v>
      </c>
      <c r="F2099" s="2">
        <f t="shared" si="337"/>
        <v>2076.25</v>
      </c>
      <c r="G2099" s="3">
        <v>0</v>
      </c>
      <c r="H2099">
        <v>0</v>
      </c>
      <c r="I2099">
        <v>1330</v>
      </c>
      <c r="J2099">
        <v>17593</v>
      </c>
      <c r="K2099">
        <v>17360</v>
      </c>
      <c r="L2099" s="2">
        <v>26.340000000000003</v>
      </c>
      <c r="M2099" s="5">
        <v>29.858500000000003</v>
      </c>
      <c r="N2099" s="1">
        <v>312.58010000000002</v>
      </c>
      <c r="O2099" s="2">
        <v>5.9</v>
      </c>
      <c r="P2099">
        <v>363</v>
      </c>
    </row>
    <row r="2100" spans="1:16" x14ac:dyDescent="0.35">
      <c r="A2100" s="4">
        <v>45323</v>
      </c>
      <c r="B2100" t="s">
        <v>22</v>
      </c>
      <c r="C2100" t="s">
        <v>14</v>
      </c>
      <c r="D2100">
        <v>1</v>
      </c>
      <c r="E2100" s="2">
        <f>(2075+2180+2000+2050)/4</f>
        <v>2076.25</v>
      </c>
      <c r="F2100" s="2">
        <f>(2075+2180+2000+2050)/4</f>
        <v>2076.25</v>
      </c>
      <c r="G2100" s="3">
        <v>0</v>
      </c>
      <c r="H2100">
        <v>0</v>
      </c>
      <c r="I2100">
        <v>1330</v>
      </c>
      <c r="J2100">
        <v>17593</v>
      </c>
      <c r="K2100">
        <v>17360</v>
      </c>
      <c r="L2100" s="2">
        <v>26.340000000000003</v>
      </c>
      <c r="M2100" s="5">
        <v>29.858500000000003</v>
      </c>
      <c r="N2100" s="1">
        <v>312.58010000000002</v>
      </c>
      <c r="O2100" s="2">
        <v>5.9</v>
      </c>
      <c r="P2100">
        <v>363</v>
      </c>
    </row>
    <row r="2101" spans="1:16" x14ac:dyDescent="0.35">
      <c r="A2101" s="4">
        <v>45323</v>
      </c>
      <c r="B2101" t="s">
        <v>22</v>
      </c>
      <c r="C2101" t="s">
        <v>15</v>
      </c>
      <c r="D2101">
        <v>0</v>
      </c>
      <c r="E2101" s="2" t="s">
        <v>27</v>
      </c>
      <c r="F2101" s="2">
        <f>(2075+2180+2000+2050)/4</f>
        <v>2076.25</v>
      </c>
      <c r="G2101" s="3">
        <v>0</v>
      </c>
      <c r="H2101">
        <v>0</v>
      </c>
      <c r="I2101">
        <v>1330</v>
      </c>
      <c r="J2101">
        <v>17593</v>
      </c>
      <c r="K2101">
        <v>17360</v>
      </c>
      <c r="L2101" s="2">
        <v>26.340000000000003</v>
      </c>
      <c r="M2101" s="5">
        <v>29.858500000000003</v>
      </c>
      <c r="N2101" s="1">
        <v>312.58010000000002</v>
      </c>
      <c r="O2101" s="2">
        <v>5.9</v>
      </c>
      <c r="P2101">
        <v>363</v>
      </c>
    </row>
    <row r="2102" spans="1:16" x14ac:dyDescent="0.35">
      <c r="A2102" s="4">
        <v>45352</v>
      </c>
      <c r="B2102" t="s">
        <v>16</v>
      </c>
      <c r="C2102" t="s">
        <v>10</v>
      </c>
      <c r="D2102">
        <v>1</v>
      </c>
      <c r="E2102" s="2">
        <f>(4933+4733+5000*2)/4</f>
        <v>4916.5</v>
      </c>
      <c r="F2102" s="2">
        <f>(4816.25+4822.5+4724.5*2)/4</f>
        <v>4771.9375</v>
      </c>
      <c r="G2102" s="3">
        <v>0</v>
      </c>
      <c r="H2102">
        <v>0</v>
      </c>
      <c r="I2102">
        <v>1140</v>
      </c>
      <c r="J2102">
        <v>26581</v>
      </c>
      <c r="K2102">
        <v>19840</v>
      </c>
      <c r="L2102" s="2">
        <v>27.113125</v>
      </c>
      <c r="M2102" s="5">
        <v>41.225000000000001</v>
      </c>
      <c r="N2102" s="1">
        <v>305.66500000000002</v>
      </c>
      <c r="O2102" s="2">
        <v>0.9</v>
      </c>
      <c r="P2102">
        <v>363</v>
      </c>
    </row>
    <row r="2103" spans="1:16" x14ac:dyDescent="0.35">
      <c r="A2103" s="4">
        <v>45352</v>
      </c>
      <c r="B2103" t="s">
        <v>16</v>
      </c>
      <c r="C2103" t="s">
        <v>11</v>
      </c>
      <c r="D2103">
        <v>0</v>
      </c>
      <c r="E2103" s="2" t="s">
        <v>27</v>
      </c>
      <c r="F2103" s="2">
        <f t="shared" ref="F2103:F2107" si="338">(4816.25+4822.5+4724.5*2)/4</f>
        <v>4771.9375</v>
      </c>
      <c r="G2103" s="3">
        <v>0</v>
      </c>
      <c r="H2103">
        <v>0</v>
      </c>
      <c r="I2103">
        <v>1140</v>
      </c>
      <c r="J2103">
        <v>26581</v>
      </c>
      <c r="K2103">
        <v>19840</v>
      </c>
      <c r="L2103" s="2">
        <v>27.113125</v>
      </c>
      <c r="M2103" s="5">
        <v>41.225000000000001</v>
      </c>
      <c r="N2103" s="1">
        <v>305.66500000000002</v>
      </c>
      <c r="O2103" s="2">
        <v>0.9</v>
      </c>
      <c r="P2103">
        <v>363</v>
      </c>
    </row>
    <row r="2104" spans="1:16" x14ac:dyDescent="0.35">
      <c r="A2104" s="4">
        <v>45352</v>
      </c>
      <c r="B2104" t="s">
        <v>16</v>
      </c>
      <c r="C2104" t="s">
        <v>12</v>
      </c>
      <c r="D2104">
        <v>1</v>
      </c>
      <c r="E2104" s="2">
        <v>4740</v>
      </c>
      <c r="F2104" s="2">
        <f t="shared" si="338"/>
        <v>4771.9375</v>
      </c>
      <c r="G2104" s="3">
        <v>0</v>
      </c>
      <c r="H2104">
        <v>0</v>
      </c>
      <c r="I2104">
        <v>1140</v>
      </c>
      <c r="J2104">
        <v>26581</v>
      </c>
      <c r="K2104">
        <v>19840</v>
      </c>
      <c r="L2104" s="2">
        <v>27.113125</v>
      </c>
      <c r="M2104" s="5">
        <v>41.225000000000001</v>
      </c>
      <c r="N2104" s="1">
        <v>305.66500000000002</v>
      </c>
      <c r="O2104" s="2">
        <v>0.9</v>
      </c>
      <c r="P2104">
        <v>363</v>
      </c>
    </row>
    <row r="2105" spans="1:16" x14ac:dyDescent="0.35">
      <c r="A2105" s="4">
        <v>45352</v>
      </c>
      <c r="B2105" t="s">
        <v>16</v>
      </c>
      <c r="C2105" t="s">
        <v>13</v>
      </c>
      <c r="D2105">
        <v>1</v>
      </c>
      <c r="E2105" s="2">
        <v>4600</v>
      </c>
      <c r="F2105" s="2">
        <f t="shared" si="338"/>
        <v>4771.9375</v>
      </c>
      <c r="G2105" s="3">
        <v>0</v>
      </c>
      <c r="H2105">
        <v>0</v>
      </c>
      <c r="I2105">
        <v>1140</v>
      </c>
      <c r="J2105">
        <v>26581</v>
      </c>
      <c r="K2105">
        <v>19840</v>
      </c>
      <c r="L2105" s="2">
        <v>27.113125</v>
      </c>
      <c r="M2105" s="5">
        <v>41.225000000000001</v>
      </c>
      <c r="N2105" s="1">
        <v>305.66500000000002</v>
      </c>
      <c r="O2105" s="2">
        <v>0.9</v>
      </c>
      <c r="P2105">
        <v>363</v>
      </c>
    </row>
    <row r="2106" spans="1:16" x14ac:dyDescent="0.35">
      <c r="A2106" s="4">
        <v>45352</v>
      </c>
      <c r="B2106" t="s">
        <v>16</v>
      </c>
      <c r="C2106" t="s">
        <v>14</v>
      </c>
      <c r="D2106">
        <v>1</v>
      </c>
      <c r="E2106" s="2">
        <v>4825</v>
      </c>
      <c r="F2106" s="2">
        <f t="shared" si="338"/>
        <v>4771.9375</v>
      </c>
      <c r="G2106" s="3">
        <v>0</v>
      </c>
      <c r="H2106">
        <v>0</v>
      </c>
      <c r="I2106">
        <v>1140</v>
      </c>
      <c r="J2106">
        <v>26581</v>
      </c>
      <c r="K2106">
        <v>19840</v>
      </c>
      <c r="L2106" s="2">
        <v>27.113125</v>
      </c>
      <c r="M2106" s="5">
        <v>41.225000000000001</v>
      </c>
      <c r="N2106" s="1">
        <v>305.66500000000002</v>
      </c>
      <c r="O2106" s="2">
        <v>0.9</v>
      </c>
      <c r="P2106">
        <v>363</v>
      </c>
    </row>
    <row r="2107" spans="1:16" x14ac:dyDescent="0.35">
      <c r="A2107" s="4">
        <v>45352</v>
      </c>
      <c r="B2107" t="s">
        <v>16</v>
      </c>
      <c r="C2107" t="s">
        <v>15</v>
      </c>
      <c r="D2107">
        <v>0</v>
      </c>
      <c r="E2107" s="2" t="s">
        <v>27</v>
      </c>
      <c r="F2107" s="2">
        <f t="shared" si="338"/>
        <v>4771.9375</v>
      </c>
      <c r="G2107" s="3">
        <v>0</v>
      </c>
      <c r="H2107">
        <v>0</v>
      </c>
      <c r="I2107">
        <v>1140</v>
      </c>
      <c r="J2107">
        <v>26581</v>
      </c>
      <c r="K2107">
        <v>19840</v>
      </c>
      <c r="L2107" s="2">
        <v>27.113125</v>
      </c>
      <c r="M2107" s="5">
        <v>41.225000000000001</v>
      </c>
      <c r="N2107" s="1">
        <v>305.66500000000002</v>
      </c>
      <c r="O2107" s="2">
        <v>0.9</v>
      </c>
      <c r="P2107">
        <v>363</v>
      </c>
    </row>
    <row r="2108" spans="1:16" x14ac:dyDescent="0.35">
      <c r="A2108" s="4">
        <v>45352</v>
      </c>
      <c r="B2108" t="s">
        <v>17</v>
      </c>
      <c r="C2108" t="s">
        <v>10</v>
      </c>
      <c r="D2108">
        <v>1</v>
      </c>
      <c r="E2108" s="2">
        <f>(3700+3933+3800+3950)/4</f>
        <v>3845.75</v>
      </c>
      <c r="F2108" s="2">
        <f>(3774.5+3863+3813.6+3850.4)/4</f>
        <v>3825.375</v>
      </c>
      <c r="G2108" s="3">
        <v>0</v>
      </c>
      <c r="H2108">
        <v>0</v>
      </c>
      <c r="I2108">
        <v>1140</v>
      </c>
      <c r="J2108">
        <v>26581</v>
      </c>
      <c r="K2108">
        <v>19840</v>
      </c>
      <c r="L2108" s="2">
        <v>27.113125</v>
      </c>
      <c r="M2108" s="5">
        <v>41.225000000000001</v>
      </c>
      <c r="N2108" s="1">
        <v>305.66500000000002</v>
      </c>
      <c r="O2108" s="2">
        <v>0.9</v>
      </c>
      <c r="P2108">
        <v>363</v>
      </c>
    </row>
    <row r="2109" spans="1:16" x14ac:dyDescent="0.35">
      <c r="A2109" s="4">
        <v>45352</v>
      </c>
      <c r="B2109" t="s">
        <v>17</v>
      </c>
      <c r="C2109" t="s">
        <v>11</v>
      </c>
      <c r="D2109">
        <v>1</v>
      </c>
      <c r="E2109" s="2">
        <v>3800</v>
      </c>
      <c r="F2109" s="2">
        <f t="shared" ref="F2109:F2113" si="339">(3774.5+3863+3813.6+3850.4)/4</f>
        <v>3825.375</v>
      </c>
      <c r="G2109" s="3">
        <v>0</v>
      </c>
      <c r="H2109">
        <v>0</v>
      </c>
      <c r="I2109">
        <v>1140</v>
      </c>
      <c r="J2109">
        <v>26581</v>
      </c>
      <c r="K2109">
        <v>19840</v>
      </c>
      <c r="L2109" s="2">
        <v>27.113125</v>
      </c>
      <c r="M2109" s="5">
        <v>41.225000000000001</v>
      </c>
      <c r="N2109" s="1">
        <v>305.66500000000002</v>
      </c>
      <c r="O2109" s="2">
        <v>0.9</v>
      </c>
      <c r="P2109">
        <v>363</v>
      </c>
    </row>
    <row r="2110" spans="1:16" x14ac:dyDescent="0.35">
      <c r="A2110" s="4">
        <v>45352</v>
      </c>
      <c r="B2110" t="s">
        <v>17</v>
      </c>
      <c r="C2110" t="s">
        <v>12</v>
      </c>
      <c r="D2110">
        <v>1</v>
      </c>
      <c r="E2110" s="2">
        <f>(3785*2+3590*2)/4</f>
        <v>3687.5</v>
      </c>
      <c r="F2110" s="2">
        <f t="shared" si="339"/>
        <v>3825.375</v>
      </c>
      <c r="G2110" s="3">
        <v>0</v>
      </c>
      <c r="H2110">
        <v>0</v>
      </c>
      <c r="I2110">
        <v>1140</v>
      </c>
      <c r="J2110">
        <v>26581</v>
      </c>
      <c r="K2110">
        <v>19840</v>
      </c>
      <c r="L2110" s="2">
        <v>27.113125</v>
      </c>
      <c r="M2110" s="5">
        <v>41.225000000000001</v>
      </c>
      <c r="N2110" s="1">
        <v>305.66500000000002</v>
      </c>
      <c r="O2110" s="2">
        <v>0.9</v>
      </c>
      <c r="P2110">
        <v>363</v>
      </c>
    </row>
    <row r="2111" spans="1:16" x14ac:dyDescent="0.35">
      <c r="A2111" s="4">
        <v>45352</v>
      </c>
      <c r="B2111" t="s">
        <v>17</v>
      </c>
      <c r="C2111" t="s">
        <v>13</v>
      </c>
      <c r="D2111">
        <v>1</v>
      </c>
      <c r="E2111" s="2">
        <f>(3950*2+4025+4050)/4</f>
        <v>3993.75</v>
      </c>
      <c r="F2111" s="2">
        <f t="shared" si="339"/>
        <v>3825.375</v>
      </c>
      <c r="G2111" s="3">
        <v>0</v>
      </c>
      <c r="H2111">
        <v>0</v>
      </c>
      <c r="I2111">
        <v>1140</v>
      </c>
      <c r="J2111">
        <v>26581</v>
      </c>
      <c r="K2111">
        <v>19840</v>
      </c>
      <c r="L2111" s="2">
        <v>27.113125</v>
      </c>
      <c r="M2111" s="5">
        <v>41.225000000000001</v>
      </c>
      <c r="N2111" s="1">
        <v>305.66500000000002</v>
      </c>
      <c r="O2111" s="2">
        <v>0.9</v>
      </c>
      <c r="P2111">
        <v>363</v>
      </c>
    </row>
    <row r="2112" spans="1:16" x14ac:dyDescent="0.35">
      <c r="A2112" s="4">
        <v>45352</v>
      </c>
      <c r="B2112" t="s">
        <v>17</v>
      </c>
      <c r="C2112" t="s">
        <v>14</v>
      </c>
      <c r="D2112">
        <v>1</v>
      </c>
      <c r="E2112" s="2">
        <f>(3767+3733*2+3967)/4</f>
        <v>3800</v>
      </c>
      <c r="F2112" s="2">
        <f t="shared" si="339"/>
        <v>3825.375</v>
      </c>
      <c r="G2112" s="3">
        <v>0</v>
      </c>
      <c r="H2112">
        <v>0</v>
      </c>
      <c r="I2112">
        <v>1140</v>
      </c>
      <c r="J2112">
        <v>26581</v>
      </c>
      <c r="K2112">
        <v>19840</v>
      </c>
      <c r="L2112" s="2">
        <v>27.113125</v>
      </c>
      <c r="M2112" s="5">
        <v>41.225000000000001</v>
      </c>
      <c r="N2112" s="1">
        <v>305.66500000000002</v>
      </c>
      <c r="O2112" s="2">
        <v>0.9</v>
      </c>
      <c r="P2112">
        <v>363</v>
      </c>
    </row>
    <row r="2113" spans="1:16" x14ac:dyDescent="0.35">
      <c r="A2113" s="4">
        <v>45352</v>
      </c>
      <c r="B2113" t="s">
        <v>17</v>
      </c>
      <c r="C2113" t="s">
        <v>15</v>
      </c>
      <c r="D2113">
        <v>0</v>
      </c>
      <c r="E2113" s="2" t="s">
        <v>27</v>
      </c>
      <c r="F2113" s="2">
        <f t="shared" si="339"/>
        <v>3825.375</v>
      </c>
      <c r="G2113" s="3">
        <v>0</v>
      </c>
      <c r="H2113">
        <v>0</v>
      </c>
      <c r="I2113">
        <v>1140</v>
      </c>
      <c r="J2113">
        <v>26581</v>
      </c>
      <c r="K2113">
        <v>19840</v>
      </c>
      <c r="L2113" s="2">
        <v>27.113125</v>
      </c>
      <c r="M2113" s="5">
        <v>41.225000000000001</v>
      </c>
      <c r="N2113" s="1">
        <v>305.66500000000002</v>
      </c>
      <c r="O2113" s="2">
        <v>0.9</v>
      </c>
      <c r="P2113">
        <v>363</v>
      </c>
    </row>
    <row r="2114" spans="1:16" x14ac:dyDescent="0.35">
      <c r="A2114" s="4">
        <v>45352</v>
      </c>
      <c r="B2114" t="s">
        <v>18</v>
      </c>
      <c r="C2114" t="s">
        <v>10</v>
      </c>
      <c r="D2114">
        <v>1</v>
      </c>
      <c r="E2114" s="2">
        <f>(3416+3338+3500+3200)/4</f>
        <v>3363.5</v>
      </c>
      <c r="F2114" s="2">
        <f>(3432.63+3400+3324.63+3289.13)/4</f>
        <v>3361.5974999999999</v>
      </c>
      <c r="G2114" s="3">
        <v>0</v>
      </c>
      <c r="H2114">
        <v>0</v>
      </c>
      <c r="I2114">
        <v>1140</v>
      </c>
      <c r="J2114">
        <v>26581</v>
      </c>
      <c r="K2114">
        <v>19840</v>
      </c>
      <c r="L2114" s="2">
        <v>27.113125</v>
      </c>
      <c r="M2114" s="5">
        <v>41.225000000000001</v>
      </c>
      <c r="N2114" s="1">
        <v>305.66500000000002</v>
      </c>
      <c r="O2114" s="2">
        <v>0.9</v>
      </c>
      <c r="P2114">
        <v>363</v>
      </c>
    </row>
    <row r="2115" spans="1:16" x14ac:dyDescent="0.35">
      <c r="A2115" s="4">
        <v>45352</v>
      </c>
      <c r="B2115" t="s">
        <v>18</v>
      </c>
      <c r="C2115" t="s">
        <v>11</v>
      </c>
      <c r="D2115">
        <v>1</v>
      </c>
      <c r="E2115" s="2">
        <v>3575</v>
      </c>
      <c r="F2115" s="2">
        <f t="shared" ref="F2115:F2119" si="340">(3432.63+3400+3324.63+3289.13)/4</f>
        <v>3361.5974999999999</v>
      </c>
      <c r="G2115" s="3">
        <v>0</v>
      </c>
      <c r="H2115">
        <v>0</v>
      </c>
      <c r="I2115">
        <v>1140</v>
      </c>
      <c r="J2115">
        <v>26581</v>
      </c>
      <c r="K2115">
        <v>19840</v>
      </c>
      <c r="L2115" s="2">
        <v>27.113125</v>
      </c>
      <c r="M2115" s="5">
        <v>41.225000000000001</v>
      </c>
      <c r="N2115" s="1">
        <v>305.66500000000002</v>
      </c>
      <c r="O2115" s="2">
        <v>0.9</v>
      </c>
      <c r="P2115">
        <v>363</v>
      </c>
    </row>
    <row r="2116" spans="1:16" x14ac:dyDescent="0.35">
      <c r="A2116" s="4">
        <v>45352</v>
      </c>
      <c r="B2116" t="s">
        <v>18</v>
      </c>
      <c r="C2116" t="s">
        <v>12</v>
      </c>
      <c r="D2116">
        <v>1</v>
      </c>
      <c r="E2116" s="2">
        <f>(3470+2980)/2</f>
        <v>3225</v>
      </c>
      <c r="F2116" s="2">
        <f t="shared" si="340"/>
        <v>3361.5974999999999</v>
      </c>
      <c r="G2116" s="3">
        <v>0</v>
      </c>
      <c r="H2116">
        <v>0</v>
      </c>
      <c r="I2116">
        <v>1140</v>
      </c>
      <c r="J2116">
        <v>26581</v>
      </c>
      <c r="K2116">
        <v>19840</v>
      </c>
      <c r="L2116" s="2">
        <v>27.113125</v>
      </c>
      <c r="M2116" s="5">
        <v>41.225000000000001</v>
      </c>
      <c r="N2116" s="1">
        <v>305.66500000000002</v>
      </c>
      <c r="O2116" s="2">
        <v>0.9</v>
      </c>
      <c r="P2116">
        <v>363</v>
      </c>
    </row>
    <row r="2117" spans="1:16" x14ac:dyDescent="0.35">
      <c r="A2117" s="4">
        <v>45352</v>
      </c>
      <c r="B2117" t="s">
        <v>18</v>
      </c>
      <c r="C2117" t="s">
        <v>13</v>
      </c>
      <c r="D2117">
        <v>1</v>
      </c>
      <c r="E2117" s="2">
        <v>3350</v>
      </c>
      <c r="F2117" s="2">
        <f t="shared" si="340"/>
        <v>3361.5974999999999</v>
      </c>
      <c r="G2117" s="3">
        <v>0</v>
      </c>
      <c r="H2117">
        <v>0</v>
      </c>
      <c r="I2117">
        <v>1140</v>
      </c>
      <c r="J2117">
        <v>26581</v>
      </c>
      <c r="K2117">
        <v>19840</v>
      </c>
      <c r="L2117" s="2">
        <v>27.113125</v>
      </c>
      <c r="M2117" s="5">
        <v>41.225000000000001</v>
      </c>
      <c r="N2117" s="1">
        <v>305.66500000000002</v>
      </c>
      <c r="O2117" s="2">
        <v>0.9</v>
      </c>
      <c r="P2117">
        <v>363</v>
      </c>
    </row>
    <row r="2118" spans="1:16" x14ac:dyDescent="0.35">
      <c r="A2118" s="4">
        <v>45352</v>
      </c>
      <c r="B2118" t="s">
        <v>18</v>
      </c>
      <c r="C2118" t="s">
        <v>14</v>
      </c>
      <c r="D2118">
        <v>1</v>
      </c>
      <c r="E2118" s="2">
        <f>(3433+3267+3367+3300)/4</f>
        <v>3341.75</v>
      </c>
      <c r="F2118" s="2">
        <f t="shared" si="340"/>
        <v>3361.5974999999999</v>
      </c>
      <c r="G2118" s="3">
        <v>0</v>
      </c>
      <c r="H2118">
        <v>0</v>
      </c>
      <c r="I2118">
        <v>1140</v>
      </c>
      <c r="J2118">
        <v>26581</v>
      </c>
      <c r="K2118">
        <v>19840</v>
      </c>
      <c r="L2118" s="2">
        <v>27.113125</v>
      </c>
      <c r="M2118" s="5">
        <v>41.225000000000001</v>
      </c>
      <c r="N2118" s="1">
        <v>305.66500000000002</v>
      </c>
      <c r="O2118" s="2">
        <v>0.9</v>
      </c>
      <c r="P2118">
        <v>363</v>
      </c>
    </row>
    <row r="2119" spans="1:16" x14ac:dyDescent="0.35">
      <c r="A2119" s="4">
        <v>45352</v>
      </c>
      <c r="B2119" t="s">
        <v>18</v>
      </c>
      <c r="C2119" t="s">
        <v>15</v>
      </c>
      <c r="D2119">
        <v>1</v>
      </c>
      <c r="E2119" s="2">
        <f>(3250+3500+3375*2)/4</f>
        <v>3375</v>
      </c>
      <c r="F2119" s="2">
        <f t="shared" si="340"/>
        <v>3361.5974999999999</v>
      </c>
      <c r="G2119" s="3">
        <v>0</v>
      </c>
      <c r="H2119">
        <v>0</v>
      </c>
      <c r="I2119">
        <v>1140</v>
      </c>
      <c r="J2119">
        <v>26581</v>
      </c>
      <c r="K2119">
        <v>19840</v>
      </c>
      <c r="L2119" s="2">
        <v>27.113125</v>
      </c>
      <c r="M2119" s="5">
        <v>41.225000000000001</v>
      </c>
      <c r="N2119" s="1">
        <v>305.66500000000002</v>
      </c>
      <c r="O2119" s="2">
        <v>0.9</v>
      </c>
      <c r="P2119">
        <v>363</v>
      </c>
    </row>
    <row r="2120" spans="1:16" x14ac:dyDescent="0.35">
      <c r="A2120" s="4">
        <v>45352</v>
      </c>
      <c r="B2120" t="s">
        <v>19</v>
      </c>
      <c r="C2120" t="s">
        <v>10</v>
      </c>
      <c r="D2120">
        <v>1</v>
      </c>
      <c r="E2120" s="2">
        <f>(2833+3100+3000+3416)/4</f>
        <v>3087.25</v>
      </c>
      <c r="F2120" s="2">
        <f>(3170.13+3095.63+3053.5+2953.5)/4</f>
        <v>3068.19</v>
      </c>
      <c r="G2120" s="3">
        <v>0</v>
      </c>
      <c r="H2120">
        <v>0</v>
      </c>
      <c r="I2120">
        <v>1140</v>
      </c>
      <c r="J2120">
        <v>26581</v>
      </c>
      <c r="K2120">
        <v>19840</v>
      </c>
      <c r="L2120" s="2">
        <v>27.113125</v>
      </c>
      <c r="M2120" s="5">
        <v>41.225000000000001</v>
      </c>
      <c r="N2120" s="1">
        <v>305.66500000000002</v>
      </c>
      <c r="O2120" s="2">
        <v>0.9</v>
      </c>
      <c r="P2120">
        <v>363</v>
      </c>
    </row>
    <row r="2121" spans="1:16" x14ac:dyDescent="0.35">
      <c r="A2121" s="4">
        <v>45352</v>
      </c>
      <c r="B2121" t="s">
        <v>19</v>
      </c>
      <c r="C2121" t="s">
        <v>11</v>
      </c>
      <c r="D2121">
        <v>1</v>
      </c>
      <c r="E2121" s="2">
        <v>3350</v>
      </c>
      <c r="F2121" s="2">
        <f t="shared" ref="F2121:F2125" si="341">(3170.13+3095.63+3053.5+2953.5)/4</f>
        <v>3068.19</v>
      </c>
      <c r="G2121" s="3">
        <v>0</v>
      </c>
      <c r="H2121">
        <v>0</v>
      </c>
      <c r="I2121">
        <v>1140</v>
      </c>
      <c r="J2121">
        <v>26581</v>
      </c>
      <c r="K2121">
        <v>19840</v>
      </c>
      <c r="L2121" s="2">
        <v>27.113125</v>
      </c>
      <c r="M2121" s="5">
        <v>41.225000000000001</v>
      </c>
      <c r="N2121" s="1">
        <v>305.66500000000002</v>
      </c>
      <c r="O2121" s="2">
        <v>0.9</v>
      </c>
      <c r="P2121">
        <v>363</v>
      </c>
    </row>
    <row r="2122" spans="1:16" x14ac:dyDescent="0.35">
      <c r="A2122" s="4">
        <v>45352</v>
      </c>
      <c r="B2122" t="s">
        <v>19</v>
      </c>
      <c r="C2122" t="s">
        <v>12</v>
      </c>
      <c r="D2122">
        <v>1</v>
      </c>
      <c r="E2122" s="2">
        <f>(2695+3090)/2</f>
        <v>2892.5</v>
      </c>
      <c r="F2122" s="2">
        <f t="shared" si="341"/>
        <v>3068.19</v>
      </c>
      <c r="G2122" s="3">
        <v>0</v>
      </c>
      <c r="H2122">
        <v>0</v>
      </c>
      <c r="I2122">
        <v>1140</v>
      </c>
      <c r="J2122">
        <v>26581</v>
      </c>
      <c r="K2122">
        <v>19840</v>
      </c>
      <c r="L2122" s="2">
        <v>27.113125</v>
      </c>
      <c r="M2122" s="5">
        <v>41.225000000000001</v>
      </c>
      <c r="N2122" s="1">
        <v>305.66500000000002</v>
      </c>
      <c r="O2122" s="2">
        <v>0.9</v>
      </c>
      <c r="P2122">
        <v>363</v>
      </c>
    </row>
    <row r="2123" spans="1:16" x14ac:dyDescent="0.35">
      <c r="A2123" s="4">
        <v>45352</v>
      </c>
      <c r="B2123" t="s">
        <v>19</v>
      </c>
      <c r="C2123" t="s">
        <v>13</v>
      </c>
      <c r="D2123">
        <v>1</v>
      </c>
      <c r="E2123" s="2">
        <v>3025</v>
      </c>
      <c r="F2123" s="2">
        <f t="shared" si="341"/>
        <v>3068.19</v>
      </c>
      <c r="G2123" s="3">
        <v>0</v>
      </c>
      <c r="H2123">
        <v>0</v>
      </c>
      <c r="I2123">
        <v>1140</v>
      </c>
      <c r="J2123">
        <v>26581</v>
      </c>
      <c r="K2123">
        <v>19840</v>
      </c>
      <c r="L2123" s="2">
        <v>27.113125</v>
      </c>
      <c r="M2123" s="5">
        <v>41.225000000000001</v>
      </c>
      <c r="N2123" s="1">
        <v>305.66500000000002</v>
      </c>
      <c r="O2123" s="2">
        <v>0.9</v>
      </c>
      <c r="P2123">
        <v>363</v>
      </c>
    </row>
    <row r="2124" spans="1:16" x14ac:dyDescent="0.35">
      <c r="A2124" s="4">
        <v>45352</v>
      </c>
      <c r="B2124" t="s">
        <v>19</v>
      </c>
      <c r="C2124" t="s">
        <v>14</v>
      </c>
      <c r="D2124">
        <v>1</v>
      </c>
      <c r="E2124" s="2">
        <v>3058.25</v>
      </c>
      <c r="F2124" s="2">
        <f t="shared" si="341"/>
        <v>3068.19</v>
      </c>
      <c r="G2124" s="3">
        <v>0</v>
      </c>
      <c r="H2124">
        <v>0</v>
      </c>
      <c r="I2124">
        <v>1140</v>
      </c>
      <c r="J2124">
        <v>26581</v>
      </c>
      <c r="K2124">
        <v>19840</v>
      </c>
      <c r="L2124" s="2">
        <v>27.113125</v>
      </c>
      <c r="M2124" s="5">
        <v>41.225000000000001</v>
      </c>
      <c r="N2124" s="1">
        <v>305.66500000000002</v>
      </c>
      <c r="O2124" s="2">
        <v>0.9</v>
      </c>
      <c r="P2124">
        <v>363</v>
      </c>
    </row>
    <row r="2125" spans="1:16" x14ac:dyDescent="0.35">
      <c r="A2125" s="4">
        <v>45352</v>
      </c>
      <c r="B2125" t="s">
        <v>19</v>
      </c>
      <c r="C2125" t="s">
        <v>15</v>
      </c>
      <c r="D2125">
        <v>1</v>
      </c>
      <c r="E2125" s="2">
        <v>3062.5</v>
      </c>
      <c r="F2125" s="2">
        <f t="shared" si="341"/>
        <v>3068.19</v>
      </c>
      <c r="G2125" s="3">
        <v>0</v>
      </c>
      <c r="H2125">
        <v>0</v>
      </c>
      <c r="I2125">
        <v>1140</v>
      </c>
      <c r="J2125">
        <v>26581</v>
      </c>
      <c r="K2125">
        <v>19840</v>
      </c>
      <c r="L2125" s="2">
        <v>27.113125</v>
      </c>
      <c r="M2125" s="5">
        <v>41.225000000000001</v>
      </c>
      <c r="N2125" s="1">
        <v>305.66500000000002</v>
      </c>
      <c r="O2125" s="2">
        <v>0.9</v>
      </c>
      <c r="P2125">
        <v>363</v>
      </c>
    </row>
    <row r="2126" spans="1:16" x14ac:dyDescent="0.35">
      <c r="A2126" s="4">
        <v>45352</v>
      </c>
      <c r="B2126" t="s">
        <v>20</v>
      </c>
      <c r="C2126" t="s">
        <v>10</v>
      </c>
      <c r="D2126">
        <v>1</v>
      </c>
      <c r="E2126" s="2">
        <f>(2583+2566+2800+2750)/4</f>
        <v>2674.75</v>
      </c>
      <c r="F2126" s="2">
        <f>(2695.63+2666+2619.5+2623.5)/4</f>
        <v>2651.1575000000003</v>
      </c>
      <c r="G2126" s="3">
        <v>0</v>
      </c>
      <c r="H2126">
        <v>0</v>
      </c>
      <c r="I2126">
        <v>1140</v>
      </c>
      <c r="J2126">
        <v>26581</v>
      </c>
      <c r="K2126">
        <v>19840</v>
      </c>
      <c r="L2126" s="2">
        <v>27.113125</v>
      </c>
      <c r="M2126" s="5">
        <v>41.225000000000001</v>
      </c>
      <c r="N2126" s="1">
        <v>305.66500000000002</v>
      </c>
      <c r="O2126" s="2">
        <v>0.9</v>
      </c>
      <c r="P2126">
        <v>363</v>
      </c>
    </row>
    <row r="2127" spans="1:16" x14ac:dyDescent="0.35">
      <c r="A2127" s="4">
        <v>45352</v>
      </c>
      <c r="B2127" t="s">
        <v>20</v>
      </c>
      <c r="C2127" t="s">
        <v>11</v>
      </c>
      <c r="D2127">
        <v>1</v>
      </c>
      <c r="E2127" s="2">
        <v>2675</v>
      </c>
      <c r="F2127" s="2">
        <f t="shared" ref="F2127:F2131" si="342">(2695.63+2666+2619.5+2623.5)/4</f>
        <v>2651.1575000000003</v>
      </c>
      <c r="G2127" s="3">
        <v>0</v>
      </c>
      <c r="H2127">
        <v>0</v>
      </c>
      <c r="I2127">
        <v>1140</v>
      </c>
      <c r="J2127">
        <v>26581</v>
      </c>
      <c r="K2127">
        <v>19840</v>
      </c>
      <c r="L2127" s="2">
        <v>27.113125</v>
      </c>
      <c r="M2127" s="5">
        <v>41.225000000000001</v>
      </c>
      <c r="N2127" s="1">
        <v>305.66500000000002</v>
      </c>
      <c r="O2127" s="2">
        <v>0.9</v>
      </c>
      <c r="P2127">
        <v>363</v>
      </c>
    </row>
    <row r="2128" spans="1:16" x14ac:dyDescent="0.35">
      <c r="A2128" s="4">
        <v>45352</v>
      </c>
      <c r="B2128" t="s">
        <v>20</v>
      </c>
      <c r="C2128" t="s">
        <v>12</v>
      </c>
      <c r="D2128">
        <v>1</v>
      </c>
      <c r="E2128" s="2">
        <v>2190</v>
      </c>
      <c r="F2128" s="2">
        <f t="shared" si="342"/>
        <v>2651.1575000000003</v>
      </c>
      <c r="G2128" s="3">
        <v>0</v>
      </c>
      <c r="H2128">
        <v>0</v>
      </c>
      <c r="I2128">
        <v>1140</v>
      </c>
      <c r="J2128">
        <v>26581</v>
      </c>
      <c r="K2128">
        <v>19840</v>
      </c>
      <c r="L2128" s="2">
        <v>27.113125</v>
      </c>
      <c r="M2128" s="5">
        <v>41.225000000000001</v>
      </c>
      <c r="N2128" s="1">
        <v>305.66500000000002</v>
      </c>
      <c r="O2128" s="2">
        <v>0.9</v>
      </c>
      <c r="P2128">
        <v>363</v>
      </c>
    </row>
    <row r="2129" spans="1:16" x14ac:dyDescent="0.35">
      <c r="A2129" s="4">
        <v>45352</v>
      </c>
      <c r="B2129" t="s">
        <v>20</v>
      </c>
      <c r="C2129" t="s">
        <v>13</v>
      </c>
      <c r="D2129">
        <v>1</v>
      </c>
      <c r="E2129" s="2">
        <v>2750</v>
      </c>
      <c r="F2129" s="2">
        <f t="shared" si="342"/>
        <v>2651.1575000000003</v>
      </c>
      <c r="G2129" s="3">
        <v>0</v>
      </c>
      <c r="H2129">
        <v>0</v>
      </c>
      <c r="I2129">
        <v>1140</v>
      </c>
      <c r="J2129">
        <v>26581</v>
      </c>
      <c r="K2129">
        <v>19840</v>
      </c>
      <c r="L2129" s="2">
        <v>27.113125</v>
      </c>
      <c r="M2129" s="5">
        <v>41.225000000000001</v>
      </c>
      <c r="N2129" s="1">
        <v>305.66500000000002</v>
      </c>
      <c r="O2129" s="2">
        <v>0.9</v>
      </c>
      <c r="P2129">
        <v>363</v>
      </c>
    </row>
    <row r="2130" spans="1:16" x14ac:dyDescent="0.35">
      <c r="A2130" s="4">
        <v>45352</v>
      </c>
      <c r="B2130" t="s">
        <v>20</v>
      </c>
      <c r="C2130" t="s">
        <v>14</v>
      </c>
      <c r="D2130">
        <v>1</v>
      </c>
      <c r="E2130" s="2">
        <f>(2775+2788+2750+2725)/4</f>
        <v>2759.5</v>
      </c>
      <c r="F2130" s="2">
        <f t="shared" si="342"/>
        <v>2651.1575000000003</v>
      </c>
      <c r="G2130" s="3">
        <v>0</v>
      </c>
      <c r="H2130">
        <v>0</v>
      </c>
      <c r="I2130">
        <v>1140</v>
      </c>
      <c r="J2130">
        <v>26581</v>
      </c>
      <c r="K2130">
        <v>19840</v>
      </c>
      <c r="L2130" s="2">
        <v>27.113125</v>
      </c>
      <c r="M2130" s="5">
        <v>41.225000000000001</v>
      </c>
      <c r="N2130" s="1">
        <v>305.66500000000002</v>
      </c>
      <c r="O2130" s="2">
        <v>0.9</v>
      </c>
      <c r="P2130">
        <v>363</v>
      </c>
    </row>
    <row r="2131" spans="1:16" x14ac:dyDescent="0.35">
      <c r="A2131" s="4">
        <v>45352</v>
      </c>
      <c r="B2131" t="s">
        <v>20</v>
      </c>
      <c r="C2131" t="s">
        <v>15</v>
      </c>
      <c r="D2131">
        <v>1</v>
      </c>
      <c r="E2131" s="2">
        <v>2800</v>
      </c>
      <c r="F2131" s="2">
        <f t="shared" si="342"/>
        <v>2651.1575000000003</v>
      </c>
      <c r="G2131" s="3">
        <v>0</v>
      </c>
      <c r="H2131">
        <v>0</v>
      </c>
      <c r="I2131">
        <v>1140</v>
      </c>
      <c r="J2131">
        <v>26581</v>
      </c>
      <c r="K2131">
        <v>19840</v>
      </c>
      <c r="L2131" s="2">
        <v>27.113125</v>
      </c>
      <c r="M2131" s="5">
        <v>41.225000000000001</v>
      </c>
      <c r="N2131" s="1">
        <v>305.66500000000002</v>
      </c>
      <c r="O2131" s="2">
        <v>0.9</v>
      </c>
      <c r="P2131">
        <v>363</v>
      </c>
    </row>
    <row r="2132" spans="1:16" x14ac:dyDescent="0.35">
      <c r="A2132" s="4">
        <v>45352</v>
      </c>
      <c r="B2132" t="s">
        <v>21</v>
      </c>
      <c r="C2132" t="s">
        <v>10</v>
      </c>
      <c r="D2132">
        <v>1</v>
      </c>
      <c r="E2132" s="2">
        <f>(2266+2366+2250*2)/4</f>
        <v>2283</v>
      </c>
      <c r="F2132" s="2">
        <f>(2465.88+2452.88+2487.5+2510.75)/4</f>
        <v>2479.2525000000001</v>
      </c>
      <c r="G2132" s="3">
        <v>0</v>
      </c>
      <c r="H2132">
        <v>0</v>
      </c>
      <c r="I2132">
        <v>1140</v>
      </c>
      <c r="J2132">
        <v>26581</v>
      </c>
      <c r="K2132">
        <v>19840</v>
      </c>
      <c r="L2132" s="2">
        <v>27.113125</v>
      </c>
      <c r="M2132" s="5">
        <v>41.225000000000001</v>
      </c>
      <c r="N2132" s="1">
        <v>305.66500000000002</v>
      </c>
      <c r="O2132" s="2">
        <v>0.9</v>
      </c>
      <c r="P2132">
        <v>363</v>
      </c>
    </row>
    <row r="2133" spans="1:16" x14ac:dyDescent="0.35">
      <c r="A2133" s="4">
        <v>45352</v>
      </c>
      <c r="B2133" t="s">
        <v>21</v>
      </c>
      <c r="C2133" t="s">
        <v>11</v>
      </c>
      <c r="D2133">
        <v>1</v>
      </c>
      <c r="E2133" s="2">
        <v>2575</v>
      </c>
      <c r="F2133" s="2">
        <f t="shared" ref="F2133:F2137" si="343">(2465.88+2452.88+2487.5+2510.75)/4</f>
        <v>2479.2525000000001</v>
      </c>
      <c r="G2133" s="3">
        <v>0</v>
      </c>
      <c r="H2133">
        <v>0</v>
      </c>
      <c r="I2133">
        <v>1140</v>
      </c>
      <c r="J2133">
        <v>26581</v>
      </c>
      <c r="K2133">
        <v>19840</v>
      </c>
      <c r="L2133" s="2">
        <v>27.113125</v>
      </c>
      <c r="M2133" s="5">
        <v>41.225000000000001</v>
      </c>
      <c r="N2133" s="1">
        <v>305.66500000000002</v>
      </c>
      <c r="O2133" s="2">
        <v>0.9</v>
      </c>
      <c r="P2133">
        <v>363</v>
      </c>
    </row>
    <row r="2134" spans="1:16" x14ac:dyDescent="0.35">
      <c r="A2134" s="4">
        <v>45352</v>
      </c>
      <c r="B2134" t="s">
        <v>21</v>
      </c>
      <c r="C2134" t="s">
        <v>12</v>
      </c>
      <c r="D2134">
        <v>1</v>
      </c>
      <c r="E2134" s="2">
        <v>2100</v>
      </c>
      <c r="F2134" s="2">
        <f t="shared" si="343"/>
        <v>2479.2525000000001</v>
      </c>
      <c r="G2134" s="3">
        <v>0</v>
      </c>
      <c r="H2134">
        <v>0</v>
      </c>
      <c r="I2134">
        <v>1140</v>
      </c>
      <c r="J2134">
        <v>26581</v>
      </c>
      <c r="K2134">
        <v>19840</v>
      </c>
      <c r="L2134" s="2">
        <v>27.113125</v>
      </c>
      <c r="M2134" s="5">
        <v>41.225000000000001</v>
      </c>
      <c r="N2134" s="1">
        <v>305.66500000000002</v>
      </c>
      <c r="O2134" s="2">
        <v>0.9</v>
      </c>
      <c r="P2134">
        <v>363</v>
      </c>
    </row>
    <row r="2135" spans="1:16" x14ac:dyDescent="0.35">
      <c r="A2135" s="4">
        <v>45352</v>
      </c>
      <c r="B2135" t="s">
        <v>21</v>
      </c>
      <c r="C2135" t="s">
        <v>13</v>
      </c>
      <c r="D2135">
        <v>1</v>
      </c>
      <c r="E2135" s="2">
        <v>2650</v>
      </c>
      <c r="F2135" s="2">
        <f t="shared" si="343"/>
        <v>2479.2525000000001</v>
      </c>
      <c r="G2135" s="3">
        <v>0</v>
      </c>
      <c r="H2135">
        <v>0</v>
      </c>
      <c r="I2135">
        <v>1140</v>
      </c>
      <c r="J2135">
        <v>26581</v>
      </c>
      <c r="K2135">
        <v>19840</v>
      </c>
      <c r="L2135" s="2">
        <v>27.113125</v>
      </c>
      <c r="M2135" s="5">
        <v>41.225000000000001</v>
      </c>
      <c r="N2135" s="1">
        <v>305.66500000000002</v>
      </c>
      <c r="O2135" s="2">
        <v>0.9</v>
      </c>
      <c r="P2135">
        <v>363</v>
      </c>
    </row>
    <row r="2136" spans="1:16" x14ac:dyDescent="0.35">
      <c r="A2136" s="4">
        <v>45352</v>
      </c>
      <c r="B2136" t="s">
        <v>21</v>
      </c>
      <c r="C2136" t="s">
        <v>14</v>
      </c>
      <c r="D2136">
        <v>1</v>
      </c>
      <c r="E2136" s="2">
        <f>(2636+2557+2650+2686)/4</f>
        <v>2632.25</v>
      </c>
      <c r="F2136" s="2">
        <f t="shared" si="343"/>
        <v>2479.2525000000001</v>
      </c>
      <c r="G2136" s="3">
        <v>0</v>
      </c>
      <c r="H2136">
        <v>0</v>
      </c>
      <c r="I2136">
        <v>1140</v>
      </c>
      <c r="J2136">
        <v>26581</v>
      </c>
      <c r="K2136">
        <v>19840</v>
      </c>
      <c r="L2136" s="2">
        <v>27.113125</v>
      </c>
      <c r="M2136" s="5">
        <v>41.225000000000001</v>
      </c>
      <c r="N2136" s="1">
        <v>305.66500000000002</v>
      </c>
      <c r="O2136" s="2">
        <v>0.9</v>
      </c>
      <c r="P2136">
        <v>363</v>
      </c>
    </row>
    <row r="2137" spans="1:16" x14ac:dyDescent="0.35">
      <c r="A2137" s="4">
        <v>45352</v>
      </c>
      <c r="B2137" t="s">
        <v>21</v>
      </c>
      <c r="C2137" t="s">
        <v>15</v>
      </c>
      <c r="D2137">
        <v>1</v>
      </c>
      <c r="E2137" s="2">
        <v>2700</v>
      </c>
      <c r="F2137" s="2">
        <f t="shared" si="343"/>
        <v>2479.2525000000001</v>
      </c>
      <c r="G2137" s="3">
        <v>0</v>
      </c>
      <c r="H2137">
        <v>0</v>
      </c>
      <c r="I2137">
        <v>1140</v>
      </c>
      <c r="J2137">
        <v>26581</v>
      </c>
      <c r="K2137">
        <v>19840</v>
      </c>
      <c r="L2137" s="2">
        <v>27.113125</v>
      </c>
      <c r="M2137" s="5">
        <v>41.225000000000001</v>
      </c>
      <c r="N2137" s="1">
        <v>305.66500000000002</v>
      </c>
      <c r="O2137" s="2">
        <v>0.9</v>
      </c>
      <c r="P2137">
        <v>363</v>
      </c>
    </row>
    <row r="2138" spans="1:16" x14ac:dyDescent="0.35">
      <c r="A2138" s="4">
        <v>45352</v>
      </c>
      <c r="B2138" t="s">
        <v>22</v>
      </c>
      <c r="C2138" t="s">
        <v>10</v>
      </c>
      <c r="D2138">
        <v>0</v>
      </c>
      <c r="E2138" s="2" t="s">
        <v>27</v>
      </c>
      <c r="F2138" s="2">
        <f t="shared" ref="F2138:F2141" si="344">(2100+2275+2225+2050)/4</f>
        <v>2162.5</v>
      </c>
      <c r="G2138" s="3">
        <v>0</v>
      </c>
      <c r="H2138">
        <v>0</v>
      </c>
      <c r="I2138">
        <v>1140</v>
      </c>
      <c r="J2138">
        <v>26581</v>
      </c>
      <c r="K2138">
        <v>19840</v>
      </c>
      <c r="L2138" s="2">
        <v>27.113125</v>
      </c>
      <c r="M2138" s="5">
        <v>41.225000000000001</v>
      </c>
      <c r="N2138" s="1">
        <v>305.66500000000002</v>
      </c>
      <c r="O2138" s="2">
        <v>0.9</v>
      </c>
      <c r="P2138">
        <v>363</v>
      </c>
    </row>
    <row r="2139" spans="1:16" x14ac:dyDescent="0.35">
      <c r="A2139" s="4">
        <v>45352</v>
      </c>
      <c r="B2139" t="s">
        <v>22</v>
      </c>
      <c r="C2139" t="s">
        <v>11</v>
      </c>
      <c r="D2139">
        <v>0</v>
      </c>
      <c r="E2139" s="2" t="s">
        <v>27</v>
      </c>
      <c r="F2139" s="2">
        <f t="shared" si="344"/>
        <v>2162.5</v>
      </c>
      <c r="G2139" s="3">
        <v>0</v>
      </c>
      <c r="H2139">
        <v>0</v>
      </c>
      <c r="I2139">
        <v>1140</v>
      </c>
      <c r="J2139">
        <v>26581</v>
      </c>
      <c r="K2139">
        <v>19840</v>
      </c>
      <c r="L2139" s="2">
        <v>27.113125</v>
      </c>
      <c r="M2139" s="5">
        <v>41.225000000000001</v>
      </c>
      <c r="N2139" s="1">
        <v>305.66500000000002</v>
      </c>
      <c r="O2139" s="2">
        <v>0.9</v>
      </c>
      <c r="P2139">
        <v>363</v>
      </c>
    </row>
    <row r="2140" spans="1:16" x14ac:dyDescent="0.35">
      <c r="A2140" s="4">
        <v>45352</v>
      </c>
      <c r="B2140" t="s">
        <v>22</v>
      </c>
      <c r="C2140" t="s">
        <v>12</v>
      </c>
      <c r="D2140">
        <v>0</v>
      </c>
      <c r="E2140" s="2" t="s">
        <v>27</v>
      </c>
      <c r="F2140" s="2">
        <f t="shared" si="344"/>
        <v>2162.5</v>
      </c>
      <c r="G2140" s="3">
        <v>0</v>
      </c>
      <c r="H2140">
        <v>0</v>
      </c>
      <c r="I2140">
        <v>1140</v>
      </c>
      <c r="J2140">
        <v>26581</v>
      </c>
      <c r="K2140">
        <v>19840</v>
      </c>
      <c r="L2140" s="2">
        <v>27.113125</v>
      </c>
      <c r="M2140" s="5">
        <v>41.225000000000001</v>
      </c>
      <c r="N2140" s="1">
        <v>305.66500000000002</v>
      </c>
      <c r="O2140" s="2">
        <v>0.9</v>
      </c>
      <c r="P2140">
        <v>363</v>
      </c>
    </row>
    <row r="2141" spans="1:16" x14ac:dyDescent="0.35">
      <c r="A2141" s="4">
        <v>45352</v>
      </c>
      <c r="B2141" t="s">
        <v>22</v>
      </c>
      <c r="C2141" t="s">
        <v>13</v>
      </c>
      <c r="D2141">
        <v>0</v>
      </c>
      <c r="E2141" s="2" t="s">
        <v>27</v>
      </c>
      <c r="F2141" s="2">
        <f t="shared" si="344"/>
        <v>2162.5</v>
      </c>
      <c r="G2141" s="3">
        <v>0</v>
      </c>
      <c r="H2141">
        <v>0</v>
      </c>
      <c r="I2141">
        <v>1140</v>
      </c>
      <c r="J2141">
        <v>26581</v>
      </c>
      <c r="K2141">
        <v>19840</v>
      </c>
      <c r="L2141" s="2">
        <v>27.113125</v>
      </c>
      <c r="M2141" s="5">
        <v>41.225000000000001</v>
      </c>
      <c r="N2141" s="1">
        <v>305.66500000000002</v>
      </c>
      <c r="O2141" s="2">
        <v>0.9</v>
      </c>
      <c r="P2141">
        <v>363</v>
      </c>
    </row>
    <row r="2142" spans="1:16" x14ac:dyDescent="0.35">
      <c r="A2142" s="4">
        <v>45352</v>
      </c>
      <c r="B2142" t="s">
        <v>22</v>
      </c>
      <c r="C2142" t="s">
        <v>14</v>
      </c>
      <c r="D2142">
        <v>1</v>
      </c>
      <c r="E2142" s="2">
        <f>(2100+2275+2225+2050)/4</f>
        <v>2162.5</v>
      </c>
      <c r="F2142" s="2">
        <f>(2100+2275+2225+2050)/4</f>
        <v>2162.5</v>
      </c>
      <c r="G2142" s="3">
        <v>0</v>
      </c>
      <c r="H2142">
        <v>0</v>
      </c>
      <c r="I2142">
        <v>1140</v>
      </c>
      <c r="J2142">
        <v>26581</v>
      </c>
      <c r="K2142">
        <v>19840</v>
      </c>
      <c r="L2142" s="2">
        <v>27.113125</v>
      </c>
      <c r="M2142" s="5">
        <v>41.225000000000001</v>
      </c>
      <c r="N2142" s="1">
        <v>305.66500000000002</v>
      </c>
      <c r="O2142" s="2">
        <v>0.9</v>
      </c>
      <c r="P2142">
        <v>363</v>
      </c>
    </row>
    <row r="2143" spans="1:16" x14ac:dyDescent="0.35">
      <c r="A2143" s="4">
        <v>45352</v>
      </c>
      <c r="B2143" t="s">
        <v>22</v>
      </c>
      <c r="C2143" t="s">
        <v>15</v>
      </c>
      <c r="D2143">
        <v>0</v>
      </c>
      <c r="E2143" s="2" t="s">
        <v>27</v>
      </c>
      <c r="F2143" s="2">
        <f>(2100+2275+2225+2050)/4</f>
        <v>2162.5</v>
      </c>
      <c r="G2143" s="3">
        <v>0</v>
      </c>
      <c r="H2143">
        <v>0</v>
      </c>
      <c r="I2143">
        <v>1140</v>
      </c>
      <c r="J2143">
        <v>26581</v>
      </c>
      <c r="K2143">
        <v>19840</v>
      </c>
      <c r="L2143" s="2">
        <v>27.113125</v>
      </c>
      <c r="M2143" s="5">
        <v>41.225000000000001</v>
      </c>
      <c r="N2143" s="1">
        <v>305.66500000000002</v>
      </c>
      <c r="O2143" s="2">
        <v>0.9</v>
      </c>
      <c r="P2143">
        <v>363</v>
      </c>
    </row>
    <row r="2144" spans="1:16" x14ac:dyDescent="0.35">
      <c r="A2144" s="4">
        <v>45383</v>
      </c>
      <c r="B2144" t="s">
        <v>16</v>
      </c>
      <c r="C2144" t="s">
        <v>10</v>
      </c>
      <c r="D2144">
        <v>1</v>
      </c>
      <c r="E2144" s="2">
        <f>(4933+4700+4750+4938)/4</f>
        <v>4830.25</v>
      </c>
      <c r="F2144" s="2">
        <f>(4775.75+4735+4741.25+4805.75+4771.67)/5</f>
        <v>4765.884</v>
      </c>
      <c r="G2144" s="3">
        <v>1</v>
      </c>
      <c r="H2144">
        <v>1120</v>
      </c>
      <c r="I2144">
        <v>760</v>
      </c>
      <c r="J2144">
        <v>22320</v>
      </c>
      <c r="K2144">
        <v>19840</v>
      </c>
      <c r="L2144" s="2">
        <v>28.686249999999994</v>
      </c>
      <c r="M2144" s="5">
        <v>101.26949999999999</v>
      </c>
      <c r="N2144" s="1">
        <v>299.42320000000001</v>
      </c>
      <c r="O2144" s="2">
        <v>1.5</v>
      </c>
      <c r="P2144">
        <v>333</v>
      </c>
    </row>
    <row r="2145" spans="1:16" x14ac:dyDescent="0.35">
      <c r="A2145" s="4">
        <v>45383</v>
      </c>
      <c r="B2145" t="s">
        <v>16</v>
      </c>
      <c r="C2145" t="s">
        <v>11</v>
      </c>
      <c r="D2145">
        <v>0</v>
      </c>
      <c r="E2145" s="2" t="s">
        <v>27</v>
      </c>
      <c r="F2145" s="2">
        <f t="shared" ref="F2145:F2149" si="345">(4775.75+4735+4741.25+4805.75+4771.67)/5</f>
        <v>4765.884</v>
      </c>
      <c r="G2145" s="3">
        <v>1</v>
      </c>
      <c r="H2145">
        <v>1120</v>
      </c>
      <c r="I2145">
        <v>760</v>
      </c>
      <c r="J2145">
        <v>22320</v>
      </c>
      <c r="K2145">
        <v>19840</v>
      </c>
      <c r="L2145" s="2">
        <v>28.686249999999994</v>
      </c>
      <c r="M2145" s="5">
        <v>101.26949999999999</v>
      </c>
      <c r="N2145" s="1">
        <v>299.42320000000001</v>
      </c>
      <c r="O2145" s="2">
        <v>1.5</v>
      </c>
      <c r="P2145">
        <v>333</v>
      </c>
    </row>
    <row r="2146" spans="1:16" x14ac:dyDescent="0.35">
      <c r="A2146" s="4">
        <v>45383</v>
      </c>
      <c r="B2146" t="s">
        <v>16</v>
      </c>
      <c r="C2146" t="s">
        <v>12</v>
      </c>
      <c r="D2146">
        <v>1</v>
      </c>
      <c r="E2146" s="2">
        <v>4790</v>
      </c>
      <c r="F2146" s="2">
        <f t="shared" si="345"/>
        <v>4765.884</v>
      </c>
      <c r="G2146" s="3">
        <v>1</v>
      </c>
      <c r="H2146">
        <v>1120</v>
      </c>
      <c r="I2146">
        <v>760</v>
      </c>
      <c r="J2146">
        <v>22320</v>
      </c>
      <c r="K2146">
        <v>19840</v>
      </c>
      <c r="L2146" s="2">
        <v>28.686249999999994</v>
      </c>
      <c r="M2146" s="5">
        <v>101.26949999999999</v>
      </c>
      <c r="N2146" s="1">
        <v>299.42320000000001</v>
      </c>
      <c r="O2146" s="2">
        <v>1.5</v>
      </c>
      <c r="P2146">
        <v>333</v>
      </c>
    </row>
    <row r="2147" spans="1:16" x14ac:dyDescent="0.35">
      <c r="A2147" s="4">
        <v>45383</v>
      </c>
      <c r="B2147" t="s">
        <v>16</v>
      </c>
      <c r="C2147" t="s">
        <v>13</v>
      </c>
      <c r="D2147">
        <v>1</v>
      </c>
      <c r="E2147" s="2">
        <f>(4550*2+4625+4650+4675)/5</f>
        <v>4610</v>
      </c>
      <c r="F2147" s="2">
        <f t="shared" si="345"/>
        <v>4765.884</v>
      </c>
      <c r="G2147" s="3">
        <v>1</v>
      </c>
      <c r="H2147">
        <v>1120</v>
      </c>
      <c r="I2147">
        <v>760</v>
      </c>
      <c r="J2147">
        <v>22320</v>
      </c>
      <c r="K2147">
        <v>19840</v>
      </c>
      <c r="L2147" s="2">
        <v>28.686249999999994</v>
      </c>
      <c r="M2147" s="5">
        <v>101.26949999999999</v>
      </c>
      <c r="N2147" s="1">
        <v>299.42320000000001</v>
      </c>
      <c r="O2147" s="2">
        <v>1.5</v>
      </c>
      <c r="P2147">
        <v>333</v>
      </c>
    </row>
    <row r="2148" spans="1:16" x14ac:dyDescent="0.35">
      <c r="A2148" s="4">
        <v>45383</v>
      </c>
      <c r="B2148" t="s">
        <v>16</v>
      </c>
      <c r="C2148" t="s">
        <v>14</v>
      </c>
      <c r="D2148">
        <v>1</v>
      </c>
      <c r="E2148" s="2">
        <v>4850</v>
      </c>
      <c r="F2148" s="2">
        <f t="shared" si="345"/>
        <v>4765.884</v>
      </c>
      <c r="G2148" s="3">
        <v>1</v>
      </c>
      <c r="H2148">
        <v>1120</v>
      </c>
      <c r="I2148">
        <v>760</v>
      </c>
      <c r="J2148">
        <v>22320</v>
      </c>
      <c r="K2148">
        <v>19840</v>
      </c>
      <c r="L2148" s="2">
        <v>28.686249999999994</v>
      </c>
      <c r="M2148" s="5">
        <v>101.26949999999999</v>
      </c>
      <c r="N2148" s="1">
        <v>299.42320000000001</v>
      </c>
      <c r="O2148" s="2">
        <v>1.5</v>
      </c>
      <c r="P2148">
        <v>333</v>
      </c>
    </row>
    <row r="2149" spans="1:16" x14ac:dyDescent="0.35">
      <c r="A2149" s="4">
        <v>45383</v>
      </c>
      <c r="B2149" t="s">
        <v>16</v>
      </c>
      <c r="C2149" t="s">
        <v>15</v>
      </c>
      <c r="D2149">
        <v>0</v>
      </c>
      <c r="E2149" s="2" t="s">
        <v>27</v>
      </c>
      <c r="F2149" s="2">
        <f t="shared" si="345"/>
        <v>4765.884</v>
      </c>
      <c r="G2149" s="3">
        <v>1</v>
      </c>
      <c r="H2149">
        <v>1120</v>
      </c>
      <c r="I2149">
        <v>760</v>
      </c>
      <c r="J2149">
        <v>22320</v>
      </c>
      <c r="K2149">
        <v>19840</v>
      </c>
      <c r="L2149" s="2">
        <v>28.686249999999994</v>
      </c>
      <c r="M2149" s="5">
        <v>101.26949999999999</v>
      </c>
      <c r="N2149" s="1">
        <v>299.42320000000001</v>
      </c>
      <c r="O2149" s="2">
        <v>1.5</v>
      </c>
      <c r="P2149">
        <v>333</v>
      </c>
    </row>
    <row r="2150" spans="1:16" x14ac:dyDescent="0.35">
      <c r="A2150" s="4">
        <v>45383</v>
      </c>
      <c r="B2150" t="s">
        <v>17</v>
      </c>
      <c r="C2150" t="s">
        <v>10</v>
      </c>
      <c r="D2150">
        <v>1</v>
      </c>
      <c r="E2150" s="2">
        <f>(3633+4075+3700+4051)/4</f>
        <v>3864.75</v>
      </c>
      <c r="F2150" s="2">
        <f>(3752.5+3727+3813.6+3810+3853.8)/5</f>
        <v>3791.38</v>
      </c>
      <c r="G2150" s="3">
        <v>1</v>
      </c>
      <c r="H2150">
        <v>1120</v>
      </c>
      <c r="I2150">
        <v>760</v>
      </c>
      <c r="J2150">
        <v>22320</v>
      </c>
      <c r="K2150">
        <v>19840</v>
      </c>
      <c r="L2150" s="2">
        <v>28.686249999999994</v>
      </c>
      <c r="M2150" s="5">
        <v>101.26949999999999</v>
      </c>
      <c r="N2150" s="1">
        <v>299.42320000000001</v>
      </c>
      <c r="O2150" s="2">
        <v>1.5</v>
      </c>
      <c r="P2150">
        <v>333</v>
      </c>
    </row>
    <row r="2151" spans="1:16" x14ac:dyDescent="0.35">
      <c r="A2151" s="4">
        <v>45383</v>
      </c>
      <c r="B2151" t="s">
        <v>17</v>
      </c>
      <c r="C2151" t="s">
        <v>11</v>
      </c>
      <c r="D2151">
        <v>1</v>
      </c>
      <c r="E2151" s="2">
        <v>3820</v>
      </c>
      <c r="F2151" s="2">
        <f t="shared" ref="F2151:F2155" si="346">(3752.5+3727+3813.6+3810+3853.8)/5</f>
        <v>3791.38</v>
      </c>
      <c r="G2151" s="3">
        <v>1</v>
      </c>
      <c r="H2151">
        <v>1120</v>
      </c>
      <c r="I2151">
        <v>760</v>
      </c>
      <c r="J2151">
        <v>22320</v>
      </c>
      <c r="K2151">
        <v>19840</v>
      </c>
      <c r="L2151" s="2">
        <v>28.686249999999994</v>
      </c>
      <c r="M2151" s="5">
        <v>101.26949999999999</v>
      </c>
      <c r="N2151" s="1">
        <v>299.42320000000001</v>
      </c>
      <c r="O2151" s="2">
        <v>1.5</v>
      </c>
      <c r="P2151">
        <v>333</v>
      </c>
    </row>
    <row r="2152" spans="1:16" x14ac:dyDescent="0.35">
      <c r="A2152" s="4">
        <v>45383</v>
      </c>
      <c r="B2152" t="s">
        <v>17</v>
      </c>
      <c r="C2152" t="s">
        <v>12</v>
      </c>
      <c r="D2152">
        <v>1</v>
      </c>
      <c r="E2152" s="2">
        <v>3785</v>
      </c>
      <c r="F2152" s="2">
        <f t="shared" si="346"/>
        <v>3791.38</v>
      </c>
      <c r="G2152" s="3">
        <v>1</v>
      </c>
      <c r="H2152">
        <v>1120</v>
      </c>
      <c r="I2152">
        <v>760</v>
      </c>
      <c r="J2152">
        <v>22320</v>
      </c>
      <c r="K2152">
        <v>19840</v>
      </c>
      <c r="L2152" s="2">
        <v>28.686249999999994</v>
      </c>
      <c r="M2152" s="5">
        <v>101.26949999999999</v>
      </c>
      <c r="N2152" s="1">
        <v>299.42320000000001</v>
      </c>
      <c r="O2152" s="2">
        <v>1.5</v>
      </c>
      <c r="P2152">
        <v>333</v>
      </c>
    </row>
    <row r="2153" spans="1:16" x14ac:dyDescent="0.35">
      <c r="A2153" s="4">
        <v>45383</v>
      </c>
      <c r="B2153" t="s">
        <v>17</v>
      </c>
      <c r="C2153" t="s">
        <v>13</v>
      </c>
      <c r="D2153">
        <v>1</v>
      </c>
      <c r="E2153" s="2">
        <f>(3525+3550+3575+3875+3900)/5</f>
        <v>3685</v>
      </c>
      <c r="F2153" s="2">
        <f t="shared" si="346"/>
        <v>3791.38</v>
      </c>
      <c r="G2153" s="3">
        <v>1</v>
      </c>
      <c r="H2153">
        <v>1120</v>
      </c>
      <c r="I2153">
        <v>760</v>
      </c>
      <c r="J2153">
        <v>22320</v>
      </c>
      <c r="K2153">
        <v>19840</v>
      </c>
      <c r="L2153" s="2">
        <v>28.686249999999994</v>
      </c>
      <c r="M2153" s="5">
        <v>101.26949999999999</v>
      </c>
      <c r="N2153" s="1">
        <v>299.42320000000001</v>
      </c>
      <c r="O2153" s="2">
        <v>1.5</v>
      </c>
      <c r="P2153">
        <v>333</v>
      </c>
    </row>
    <row r="2154" spans="1:16" x14ac:dyDescent="0.35">
      <c r="A2154" s="4">
        <v>45383</v>
      </c>
      <c r="B2154" t="s">
        <v>17</v>
      </c>
      <c r="C2154" t="s">
        <v>14</v>
      </c>
      <c r="D2154">
        <v>1</v>
      </c>
      <c r="E2154" s="2">
        <f>(3833+3900+3883+3667+3850)/5</f>
        <v>3826.6</v>
      </c>
      <c r="F2154" s="2">
        <f t="shared" si="346"/>
        <v>3791.38</v>
      </c>
      <c r="G2154" s="3">
        <v>1</v>
      </c>
      <c r="H2154">
        <v>1120</v>
      </c>
      <c r="I2154">
        <v>760</v>
      </c>
      <c r="J2154">
        <v>22320</v>
      </c>
      <c r="K2154">
        <v>19840</v>
      </c>
      <c r="L2154" s="2">
        <v>28.686249999999994</v>
      </c>
      <c r="M2154" s="5">
        <v>101.26949999999999</v>
      </c>
      <c r="N2154" s="1">
        <v>299.42320000000001</v>
      </c>
      <c r="O2154" s="2">
        <v>1.5</v>
      </c>
      <c r="P2154">
        <v>333</v>
      </c>
    </row>
    <row r="2155" spans="1:16" x14ac:dyDescent="0.35">
      <c r="A2155" s="4">
        <v>45383</v>
      </c>
      <c r="B2155" t="s">
        <v>17</v>
      </c>
      <c r="C2155" t="s">
        <v>15</v>
      </c>
      <c r="D2155">
        <v>0</v>
      </c>
      <c r="E2155" s="2" t="s">
        <v>27</v>
      </c>
      <c r="F2155" s="2">
        <f t="shared" si="346"/>
        <v>3791.38</v>
      </c>
      <c r="G2155" s="3">
        <v>1</v>
      </c>
      <c r="H2155">
        <v>1120</v>
      </c>
      <c r="I2155">
        <v>760</v>
      </c>
      <c r="J2155">
        <v>22320</v>
      </c>
      <c r="K2155">
        <v>19840</v>
      </c>
      <c r="L2155" s="2">
        <v>28.686249999999994</v>
      </c>
      <c r="M2155" s="5">
        <v>101.26949999999999</v>
      </c>
      <c r="N2155" s="1">
        <v>299.42320000000001</v>
      </c>
      <c r="O2155" s="2">
        <v>1.5</v>
      </c>
      <c r="P2155">
        <v>333</v>
      </c>
    </row>
    <row r="2156" spans="1:16" x14ac:dyDescent="0.35">
      <c r="A2156" s="4">
        <v>45383</v>
      </c>
      <c r="B2156" t="s">
        <v>18</v>
      </c>
      <c r="C2156" t="s">
        <v>10</v>
      </c>
      <c r="D2156">
        <v>1</v>
      </c>
      <c r="E2156" s="2">
        <f>(3625+3375+3600+3133)/4</f>
        <v>3433.25</v>
      </c>
      <c r="F2156" s="2">
        <f>(3321.25+3399.38+3421.5+3394.13+3419.29)/5</f>
        <v>3391.1100000000006</v>
      </c>
      <c r="G2156" s="3">
        <v>1</v>
      </c>
      <c r="H2156">
        <v>1120</v>
      </c>
      <c r="I2156">
        <v>760</v>
      </c>
      <c r="J2156">
        <v>22320</v>
      </c>
      <c r="K2156">
        <v>19840</v>
      </c>
      <c r="L2156" s="2">
        <v>28.686249999999994</v>
      </c>
      <c r="M2156" s="5">
        <v>101.26949999999999</v>
      </c>
      <c r="N2156" s="1">
        <v>299.42320000000001</v>
      </c>
      <c r="O2156" s="2">
        <v>1.5</v>
      </c>
      <c r="P2156">
        <v>333</v>
      </c>
    </row>
    <row r="2157" spans="1:16" x14ac:dyDescent="0.35">
      <c r="A2157" s="4">
        <v>45383</v>
      </c>
      <c r="B2157" t="s">
        <v>18</v>
      </c>
      <c r="C2157" t="s">
        <v>11</v>
      </c>
      <c r="D2157">
        <v>1</v>
      </c>
      <c r="E2157" s="2">
        <v>3600</v>
      </c>
      <c r="F2157" s="2">
        <f t="shared" ref="F2157:F2161" si="347">(3321.25+3399.38+3421.5+3394.13+3419.29)/5</f>
        <v>3391.1100000000006</v>
      </c>
      <c r="G2157" s="3">
        <v>1</v>
      </c>
      <c r="H2157">
        <v>1120</v>
      </c>
      <c r="I2157">
        <v>760</v>
      </c>
      <c r="J2157">
        <v>22320</v>
      </c>
      <c r="K2157">
        <v>19840</v>
      </c>
      <c r="L2157" s="2">
        <v>28.686249999999994</v>
      </c>
      <c r="M2157" s="5">
        <v>101.26949999999999</v>
      </c>
      <c r="N2157" s="1">
        <v>299.42320000000001</v>
      </c>
      <c r="O2157" s="2">
        <v>1.5</v>
      </c>
      <c r="P2157">
        <v>333</v>
      </c>
    </row>
    <row r="2158" spans="1:16" x14ac:dyDescent="0.35">
      <c r="A2158" s="4">
        <v>45383</v>
      </c>
      <c r="B2158" t="s">
        <v>18</v>
      </c>
      <c r="C2158" t="s">
        <v>12</v>
      </c>
      <c r="D2158">
        <v>1</v>
      </c>
      <c r="E2158" s="2">
        <v>3470</v>
      </c>
      <c r="F2158" s="2">
        <f t="shared" si="347"/>
        <v>3391.1100000000006</v>
      </c>
      <c r="G2158" s="3">
        <v>1</v>
      </c>
      <c r="H2158">
        <v>1120</v>
      </c>
      <c r="I2158">
        <v>760</v>
      </c>
      <c r="J2158">
        <v>22320</v>
      </c>
      <c r="K2158">
        <v>19840</v>
      </c>
      <c r="L2158" s="2">
        <v>28.686249999999994</v>
      </c>
      <c r="M2158" s="5">
        <v>101.26949999999999</v>
      </c>
      <c r="N2158" s="1">
        <v>299.42320000000001</v>
      </c>
      <c r="O2158" s="2">
        <v>1.5</v>
      </c>
      <c r="P2158">
        <v>333</v>
      </c>
    </row>
    <row r="2159" spans="1:16" x14ac:dyDescent="0.35">
      <c r="A2159" s="4">
        <v>45383</v>
      </c>
      <c r="B2159" t="s">
        <v>18</v>
      </c>
      <c r="C2159" t="s">
        <v>13</v>
      </c>
      <c r="D2159">
        <v>1</v>
      </c>
      <c r="E2159" s="2">
        <f>(3265+3275+3390+3550*2)/5</f>
        <v>3406</v>
      </c>
      <c r="F2159" s="2">
        <f t="shared" si="347"/>
        <v>3391.1100000000006</v>
      </c>
      <c r="G2159" s="3">
        <v>1</v>
      </c>
      <c r="H2159">
        <v>1120</v>
      </c>
      <c r="I2159">
        <v>760</v>
      </c>
      <c r="J2159">
        <v>22320</v>
      </c>
      <c r="K2159">
        <v>19840</v>
      </c>
      <c r="L2159" s="2">
        <v>28.686249999999994</v>
      </c>
      <c r="M2159" s="5">
        <v>101.26949999999999</v>
      </c>
      <c r="N2159" s="1">
        <v>299.42320000000001</v>
      </c>
      <c r="O2159" s="2">
        <v>1.5</v>
      </c>
      <c r="P2159">
        <v>333</v>
      </c>
    </row>
    <row r="2160" spans="1:16" x14ac:dyDescent="0.35">
      <c r="A2160" s="4">
        <v>45383</v>
      </c>
      <c r="B2160" t="s">
        <v>18</v>
      </c>
      <c r="C2160" t="s">
        <v>14</v>
      </c>
      <c r="D2160">
        <v>1</v>
      </c>
      <c r="E2160" s="2">
        <f>(3225+3200+3237+3300+3275)/5</f>
        <v>3247.4</v>
      </c>
      <c r="F2160" s="2">
        <f t="shared" si="347"/>
        <v>3391.1100000000006</v>
      </c>
      <c r="G2160" s="3">
        <v>1</v>
      </c>
      <c r="H2160">
        <v>1120</v>
      </c>
      <c r="I2160">
        <v>760</v>
      </c>
      <c r="J2160">
        <v>22320</v>
      </c>
      <c r="K2160">
        <v>19840</v>
      </c>
      <c r="L2160" s="2">
        <v>28.686249999999994</v>
      </c>
      <c r="M2160" s="5">
        <v>101.26949999999999</v>
      </c>
      <c r="N2160" s="1">
        <v>299.42320000000001</v>
      </c>
      <c r="O2160" s="2">
        <v>1.5</v>
      </c>
      <c r="P2160">
        <v>333</v>
      </c>
    </row>
    <row r="2161" spans="1:16" x14ac:dyDescent="0.35">
      <c r="A2161" s="4">
        <v>45383</v>
      </c>
      <c r="B2161" t="s">
        <v>18</v>
      </c>
      <c r="C2161" t="s">
        <v>15</v>
      </c>
      <c r="D2161">
        <v>1</v>
      </c>
      <c r="E2161" s="2">
        <f>(3500+3375+3500*3)/5</f>
        <v>3475</v>
      </c>
      <c r="F2161" s="2">
        <f t="shared" si="347"/>
        <v>3391.1100000000006</v>
      </c>
      <c r="G2161" s="3">
        <v>1</v>
      </c>
      <c r="H2161">
        <v>1120</v>
      </c>
      <c r="I2161">
        <v>760</v>
      </c>
      <c r="J2161">
        <v>22320</v>
      </c>
      <c r="K2161">
        <v>19840</v>
      </c>
      <c r="L2161" s="2">
        <v>28.686249999999994</v>
      </c>
      <c r="M2161" s="5">
        <v>101.26949999999999</v>
      </c>
      <c r="N2161" s="1">
        <v>299.42320000000001</v>
      </c>
      <c r="O2161" s="2">
        <v>1.5</v>
      </c>
      <c r="P2161">
        <v>333</v>
      </c>
    </row>
    <row r="2162" spans="1:16" x14ac:dyDescent="0.35">
      <c r="A2162" s="4">
        <v>45383</v>
      </c>
      <c r="B2162" t="s">
        <v>19</v>
      </c>
      <c r="C2162" t="s">
        <v>10</v>
      </c>
      <c r="D2162">
        <v>1</v>
      </c>
      <c r="E2162" s="2">
        <v>3000</v>
      </c>
      <c r="F2162" s="2">
        <f>(3130.71+3124.75+3103.13+3065.29+3130)/5</f>
        <v>3110.7760000000003</v>
      </c>
      <c r="G2162" s="3">
        <v>1</v>
      </c>
      <c r="H2162">
        <v>1120</v>
      </c>
      <c r="I2162">
        <v>760</v>
      </c>
      <c r="J2162">
        <v>22320</v>
      </c>
      <c r="K2162">
        <v>19840</v>
      </c>
      <c r="L2162" s="2">
        <v>28.686249999999994</v>
      </c>
      <c r="M2162" s="5">
        <v>101.26949999999999</v>
      </c>
      <c r="N2162" s="1">
        <v>299.42320000000001</v>
      </c>
      <c r="O2162" s="2">
        <v>1.5</v>
      </c>
      <c r="P2162">
        <v>333</v>
      </c>
    </row>
    <row r="2163" spans="1:16" x14ac:dyDescent="0.35">
      <c r="A2163" s="4">
        <v>45383</v>
      </c>
      <c r="B2163" t="s">
        <v>19</v>
      </c>
      <c r="C2163" t="s">
        <v>11</v>
      </c>
      <c r="D2163">
        <v>1</v>
      </c>
      <c r="E2163" s="2">
        <v>3240</v>
      </c>
      <c r="F2163" s="2">
        <f t="shared" ref="F2163:F2167" si="348">(3130.71+3124.75+3103.13+3065.29+3130)/5</f>
        <v>3110.7760000000003</v>
      </c>
      <c r="G2163" s="3">
        <v>1</v>
      </c>
      <c r="H2163">
        <v>1120</v>
      </c>
      <c r="I2163">
        <v>760</v>
      </c>
      <c r="J2163">
        <v>22320</v>
      </c>
      <c r="K2163">
        <v>19840</v>
      </c>
      <c r="L2163" s="2">
        <v>28.686249999999994</v>
      </c>
      <c r="M2163" s="5">
        <v>101.26949999999999</v>
      </c>
      <c r="N2163" s="1">
        <v>299.42320000000001</v>
      </c>
      <c r="O2163" s="2">
        <v>1.5</v>
      </c>
      <c r="P2163">
        <v>333</v>
      </c>
    </row>
    <row r="2164" spans="1:16" x14ac:dyDescent="0.35">
      <c r="A2164" s="4">
        <v>45383</v>
      </c>
      <c r="B2164" t="s">
        <v>19</v>
      </c>
      <c r="C2164" t="s">
        <v>12</v>
      </c>
      <c r="D2164">
        <v>1</v>
      </c>
      <c r="E2164" s="2">
        <v>3090</v>
      </c>
      <c r="F2164" s="2">
        <f t="shared" si="348"/>
        <v>3110.7760000000003</v>
      </c>
      <c r="G2164" s="3">
        <v>1</v>
      </c>
      <c r="H2164">
        <v>1120</v>
      </c>
      <c r="I2164">
        <v>760</v>
      </c>
      <c r="J2164">
        <v>22320</v>
      </c>
      <c r="K2164">
        <v>19840</v>
      </c>
      <c r="L2164" s="2">
        <v>28.686249999999994</v>
      </c>
      <c r="M2164" s="5">
        <v>101.26949999999999</v>
      </c>
      <c r="N2164" s="1">
        <v>299.42320000000001</v>
      </c>
      <c r="O2164" s="2">
        <v>1.5</v>
      </c>
      <c r="P2164">
        <v>333</v>
      </c>
    </row>
    <row r="2165" spans="1:16" x14ac:dyDescent="0.35">
      <c r="A2165" s="4">
        <v>45383</v>
      </c>
      <c r="B2165" t="s">
        <v>19</v>
      </c>
      <c r="C2165" t="s">
        <v>13</v>
      </c>
      <c r="D2165">
        <v>1</v>
      </c>
      <c r="E2165" s="2">
        <v>3040</v>
      </c>
      <c r="F2165" s="2">
        <f t="shared" si="348"/>
        <v>3110.7760000000003</v>
      </c>
      <c r="G2165" s="3">
        <v>1</v>
      </c>
      <c r="H2165">
        <v>1120</v>
      </c>
      <c r="I2165">
        <v>760</v>
      </c>
      <c r="J2165">
        <v>22320</v>
      </c>
      <c r="K2165">
        <v>19840</v>
      </c>
      <c r="L2165" s="2">
        <v>28.686249999999994</v>
      </c>
      <c r="M2165" s="5">
        <v>101.26949999999999</v>
      </c>
      <c r="N2165" s="1">
        <v>299.42320000000001</v>
      </c>
      <c r="O2165" s="2">
        <v>1.5</v>
      </c>
      <c r="P2165">
        <v>333</v>
      </c>
    </row>
    <row r="2166" spans="1:16" x14ac:dyDescent="0.35">
      <c r="A2166" s="4">
        <v>45383</v>
      </c>
      <c r="B2166" t="s">
        <v>19</v>
      </c>
      <c r="C2166" t="s">
        <v>14</v>
      </c>
      <c r="D2166">
        <v>1</v>
      </c>
      <c r="E2166" s="2">
        <f>(3100+3133+3110+3092+3125)/5</f>
        <v>3112</v>
      </c>
      <c r="F2166" s="2">
        <f t="shared" si="348"/>
        <v>3110.7760000000003</v>
      </c>
      <c r="G2166" s="3">
        <v>1</v>
      </c>
      <c r="H2166">
        <v>1120</v>
      </c>
      <c r="I2166">
        <v>760</v>
      </c>
      <c r="J2166">
        <v>22320</v>
      </c>
      <c r="K2166">
        <v>19840</v>
      </c>
      <c r="L2166" s="2">
        <v>28.686249999999994</v>
      </c>
      <c r="M2166" s="5">
        <v>101.26949999999999</v>
      </c>
      <c r="N2166" s="1">
        <v>299.42320000000001</v>
      </c>
      <c r="O2166" s="2">
        <v>1.5</v>
      </c>
      <c r="P2166">
        <v>333</v>
      </c>
    </row>
    <row r="2167" spans="1:16" x14ac:dyDescent="0.35">
      <c r="A2167" s="4">
        <v>45383</v>
      </c>
      <c r="B2167" t="s">
        <v>19</v>
      </c>
      <c r="C2167" t="s">
        <v>15</v>
      </c>
      <c r="D2167">
        <v>1</v>
      </c>
      <c r="E2167" s="2">
        <v>3175</v>
      </c>
      <c r="F2167" s="2">
        <f t="shared" si="348"/>
        <v>3110.7760000000003</v>
      </c>
      <c r="G2167" s="3">
        <v>1</v>
      </c>
      <c r="H2167">
        <v>1120</v>
      </c>
      <c r="I2167">
        <v>760</v>
      </c>
      <c r="J2167">
        <v>22320</v>
      </c>
      <c r="K2167">
        <v>19840</v>
      </c>
      <c r="L2167" s="2">
        <v>28.686249999999994</v>
      </c>
      <c r="M2167" s="5">
        <v>101.26949999999999</v>
      </c>
      <c r="N2167" s="1">
        <v>299.42320000000001</v>
      </c>
      <c r="O2167" s="2">
        <v>1.5</v>
      </c>
      <c r="P2167">
        <v>333</v>
      </c>
    </row>
    <row r="2168" spans="1:16" x14ac:dyDescent="0.35">
      <c r="A2168" s="4">
        <v>45383</v>
      </c>
      <c r="B2168" t="s">
        <v>20</v>
      </c>
      <c r="C2168" t="s">
        <v>10</v>
      </c>
      <c r="D2168">
        <v>1</v>
      </c>
      <c r="E2168" s="2">
        <f>(2412+2600+2612+2400)/4</f>
        <v>2506</v>
      </c>
      <c r="F2168" s="2">
        <f>(2645.25+2673.75+2679.38+2603.86+2689.57)/5</f>
        <v>2658.3620000000001</v>
      </c>
      <c r="G2168" s="3">
        <v>1</v>
      </c>
      <c r="H2168">
        <v>1120</v>
      </c>
      <c r="I2168">
        <v>760</v>
      </c>
      <c r="J2168">
        <v>22320</v>
      </c>
      <c r="K2168">
        <v>19840</v>
      </c>
      <c r="L2168" s="2">
        <v>28.686249999999994</v>
      </c>
      <c r="M2168" s="5">
        <v>101.26949999999999</v>
      </c>
      <c r="N2168" s="1">
        <v>299.42320000000001</v>
      </c>
      <c r="O2168" s="2">
        <v>1.5</v>
      </c>
      <c r="P2168">
        <v>333</v>
      </c>
    </row>
    <row r="2169" spans="1:16" x14ac:dyDescent="0.35">
      <c r="A2169" s="4">
        <v>45383</v>
      </c>
      <c r="B2169" t="s">
        <v>20</v>
      </c>
      <c r="C2169" t="s">
        <v>11</v>
      </c>
      <c r="D2169">
        <v>1</v>
      </c>
      <c r="E2169" s="2">
        <v>2700</v>
      </c>
      <c r="F2169" s="2">
        <f t="shared" ref="F2169:F2173" si="349">(2645.25+2673.75+2679.38+2603.86+2689.57)/5</f>
        <v>2658.3620000000001</v>
      </c>
      <c r="G2169" s="3">
        <v>1</v>
      </c>
      <c r="H2169">
        <v>1120</v>
      </c>
      <c r="I2169">
        <v>760</v>
      </c>
      <c r="J2169">
        <v>22320</v>
      </c>
      <c r="K2169">
        <v>19840</v>
      </c>
      <c r="L2169" s="2">
        <v>28.686249999999994</v>
      </c>
      <c r="M2169" s="5">
        <v>101.26949999999999</v>
      </c>
      <c r="N2169" s="1">
        <v>299.42320000000001</v>
      </c>
      <c r="O2169" s="2">
        <v>1.5</v>
      </c>
      <c r="P2169">
        <v>333</v>
      </c>
    </row>
    <row r="2170" spans="1:16" x14ac:dyDescent="0.35">
      <c r="A2170" s="4">
        <v>45383</v>
      </c>
      <c r="B2170" t="s">
        <v>20</v>
      </c>
      <c r="C2170" t="s">
        <v>12</v>
      </c>
      <c r="D2170">
        <v>1</v>
      </c>
      <c r="E2170" s="2">
        <v>2190</v>
      </c>
      <c r="F2170" s="2">
        <f t="shared" si="349"/>
        <v>2658.3620000000001</v>
      </c>
      <c r="G2170" s="3">
        <v>1</v>
      </c>
      <c r="H2170">
        <v>1120</v>
      </c>
      <c r="I2170">
        <v>760</v>
      </c>
      <c r="J2170">
        <v>22320</v>
      </c>
      <c r="K2170">
        <v>19840</v>
      </c>
      <c r="L2170" s="2">
        <v>28.686249999999994</v>
      </c>
      <c r="M2170" s="5">
        <v>101.26949999999999</v>
      </c>
      <c r="N2170" s="1">
        <v>299.42320000000001</v>
      </c>
      <c r="O2170" s="2">
        <v>1.5</v>
      </c>
      <c r="P2170">
        <v>333</v>
      </c>
    </row>
    <row r="2171" spans="1:16" x14ac:dyDescent="0.35">
      <c r="A2171" s="4">
        <v>45383</v>
      </c>
      <c r="B2171" t="s">
        <v>20</v>
      </c>
      <c r="C2171" t="s">
        <v>13</v>
      </c>
      <c r="D2171">
        <v>1</v>
      </c>
      <c r="E2171" s="2">
        <f>(2825+2800+2775*2+2750)/5</f>
        <v>2785</v>
      </c>
      <c r="F2171" s="2">
        <f t="shared" si="349"/>
        <v>2658.3620000000001</v>
      </c>
      <c r="G2171" s="3">
        <v>1</v>
      </c>
      <c r="H2171">
        <v>1120</v>
      </c>
      <c r="I2171">
        <v>760</v>
      </c>
      <c r="J2171">
        <v>22320</v>
      </c>
      <c r="K2171">
        <v>19840</v>
      </c>
      <c r="L2171" s="2">
        <v>28.686249999999994</v>
      </c>
      <c r="M2171" s="5">
        <v>101.26949999999999</v>
      </c>
      <c r="N2171" s="1">
        <v>299.42320000000001</v>
      </c>
      <c r="O2171" s="2">
        <v>1.5</v>
      </c>
      <c r="P2171">
        <v>333</v>
      </c>
    </row>
    <row r="2172" spans="1:16" x14ac:dyDescent="0.35">
      <c r="A2172" s="4">
        <v>45383</v>
      </c>
      <c r="B2172" t="s">
        <v>20</v>
      </c>
      <c r="C2172" t="s">
        <v>14</v>
      </c>
      <c r="D2172">
        <v>1</v>
      </c>
      <c r="E2172" s="2">
        <f>(2787*2+2810+2800+2825)/5</f>
        <v>2801.8</v>
      </c>
      <c r="F2172" s="2">
        <f t="shared" si="349"/>
        <v>2658.3620000000001</v>
      </c>
      <c r="G2172" s="3">
        <v>1</v>
      </c>
      <c r="H2172">
        <v>1120</v>
      </c>
      <c r="I2172">
        <v>760</v>
      </c>
      <c r="J2172">
        <v>22320</v>
      </c>
      <c r="K2172">
        <v>19840</v>
      </c>
      <c r="L2172" s="2">
        <v>28.686249999999994</v>
      </c>
      <c r="M2172" s="5">
        <v>101.26949999999999</v>
      </c>
      <c r="N2172" s="1">
        <v>299.42320000000001</v>
      </c>
      <c r="O2172" s="2">
        <v>1.5</v>
      </c>
      <c r="P2172">
        <v>333</v>
      </c>
    </row>
    <row r="2173" spans="1:16" x14ac:dyDescent="0.35">
      <c r="A2173" s="4">
        <v>45383</v>
      </c>
      <c r="B2173" t="s">
        <v>20</v>
      </c>
      <c r="C2173" t="s">
        <v>15</v>
      </c>
      <c r="D2173">
        <v>1</v>
      </c>
      <c r="E2173" s="2">
        <v>2820</v>
      </c>
      <c r="F2173" s="2">
        <f t="shared" si="349"/>
        <v>2658.3620000000001</v>
      </c>
      <c r="G2173" s="3">
        <v>1</v>
      </c>
      <c r="H2173">
        <v>1120</v>
      </c>
      <c r="I2173">
        <v>760</v>
      </c>
      <c r="J2173">
        <v>22320</v>
      </c>
      <c r="K2173">
        <v>19840</v>
      </c>
      <c r="L2173" s="2">
        <v>28.686249999999994</v>
      </c>
      <c r="M2173" s="5">
        <v>101.26949999999999</v>
      </c>
      <c r="N2173" s="1">
        <v>299.42320000000001</v>
      </c>
      <c r="O2173" s="2">
        <v>1.5</v>
      </c>
      <c r="P2173">
        <v>333</v>
      </c>
    </row>
    <row r="2174" spans="1:16" x14ac:dyDescent="0.35">
      <c r="A2174" s="4">
        <v>45383</v>
      </c>
      <c r="B2174" t="s">
        <v>21</v>
      </c>
      <c r="C2174" t="s">
        <v>10</v>
      </c>
      <c r="D2174">
        <v>1</v>
      </c>
      <c r="E2174" s="2">
        <f>(2066+2200+2300+2412)/4</f>
        <v>2244.5</v>
      </c>
      <c r="F2174" s="2">
        <f>(2567.86+2449.57+2510.25+2511.38+2495.88)/5</f>
        <v>2506.9880000000003</v>
      </c>
      <c r="G2174" s="3">
        <v>1</v>
      </c>
      <c r="H2174">
        <v>1120</v>
      </c>
      <c r="I2174">
        <v>760</v>
      </c>
      <c r="J2174">
        <v>22320</v>
      </c>
      <c r="K2174">
        <v>19840</v>
      </c>
      <c r="L2174" s="2">
        <v>28.686249999999994</v>
      </c>
      <c r="M2174" s="5">
        <v>101.26949999999999</v>
      </c>
      <c r="N2174" s="1">
        <v>299.42320000000001</v>
      </c>
      <c r="O2174" s="2">
        <v>1.5</v>
      </c>
      <c r="P2174">
        <v>333</v>
      </c>
    </row>
    <row r="2175" spans="1:16" x14ac:dyDescent="0.35">
      <c r="A2175" s="4">
        <v>45383</v>
      </c>
      <c r="B2175" t="s">
        <v>21</v>
      </c>
      <c r="C2175" t="s">
        <v>11</v>
      </c>
      <c r="D2175">
        <v>1</v>
      </c>
      <c r="E2175" s="2">
        <v>2600</v>
      </c>
      <c r="F2175" s="2">
        <f t="shared" ref="F2175:F2179" si="350">(2567.86+2449.57+2510.25+2511.38+2495.88)/5</f>
        <v>2506.9880000000003</v>
      </c>
      <c r="G2175" s="3">
        <v>1</v>
      </c>
      <c r="H2175">
        <v>1120</v>
      </c>
      <c r="I2175">
        <v>760</v>
      </c>
      <c r="J2175">
        <v>22320</v>
      </c>
      <c r="K2175">
        <v>19840</v>
      </c>
      <c r="L2175" s="2">
        <v>28.686249999999994</v>
      </c>
      <c r="M2175" s="5">
        <v>101.26949999999999</v>
      </c>
      <c r="N2175" s="1">
        <v>299.42320000000001</v>
      </c>
      <c r="O2175" s="2">
        <v>1.5</v>
      </c>
      <c r="P2175">
        <v>333</v>
      </c>
    </row>
    <row r="2176" spans="1:16" x14ac:dyDescent="0.35">
      <c r="A2176" s="4">
        <v>45383</v>
      </c>
      <c r="B2176" t="s">
        <v>21</v>
      </c>
      <c r="C2176" t="s">
        <v>12</v>
      </c>
      <c r="D2176">
        <v>1</v>
      </c>
      <c r="E2176" s="2">
        <v>2100</v>
      </c>
      <c r="F2176" s="2">
        <f t="shared" si="350"/>
        <v>2506.9880000000003</v>
      </c>
      <c r="G2176" s="3">
        <v>1</v>
      </c>
      <c r="H2176">
        <v>1120</v>
      </c>
      <c r="I2176">
        <v>760</v>
      </c>
      <c r="J2176">
        <v>22320</v>
      </c>
      <c r="K2176">
        <v>19840</v>
      </c>
      <c r="L2176" s="2">
        <v>28.686249999999994</v>
      </c>
      <c r="M2176" s="5">
        <v>101.26949999999999</v>
      </c>
      <c r="N2176" s="1">
        <v>299.42320000000001</v>
      </c>
      <c r="O2176" s="2">
        <v>1.5</v>
      </c>
      <c r="P2176">
        <v>333</v>
      </c>
    </row>
    <row r="2177" spans="1:16" x14ac:dyDescent="0.35">
      <c r="A2177" s="4">
        <v>45383</v>
      </c>
      <c r="B2177" t="s">
        <v>21</v>
      </c>
      <c r="C2177" t="s">
        <v>13</v>
      </c>
      <c r="D2177">
        <v>1</v>
      </c>
      <c r="E2177" s="2">
        <f>(2725+2650*2+2675*2)/5</f>
        <v>2675</v>
      </c>
      <c r="F2177" s="2">
        <f t="shared" si="350"/>
        <v>2506.9880000000003</v>
      </c>
      <c r="G2177" s="3">
        <v>1</v>
      </c>
      <c r="H2177">
        <v>1120</v>
      </c>
      <c r="I2177">
        <v>760</v>
      </c>
      <c r="J2177">
        <v>22320</v>
      </c>
      <c r="K2177">
        <v>19840</v>
      </c>
      <c r="L2177" s="2">
        <v>28.686249999999994</v>
      </c>
      <c r="M2177" s="5">
        <v>101.26949999999999</v>
      </c>
      <c r="N2177" s="1">
        <v>299.42320000000001</v>
      </c>
      <c r="O2177" s="2">
        <v>1.5</v>
      </c>
      <c r="P2177">
        <v>333</v>
      </c>
    </row>
    <row r="2178" spans="1:16" x14ac:dyDescent="0.35">
      <c r="A2178" s="4">
        <v>45383</v>
      </c>
      <c r="B2178" t="s">
        <v>21</v>
      </c>
      <c r="C2178" t="s">
        <v>14</v>
      </c>
      <c r="D2178">
        <v>1</v>
      </c>
      <c r="E2178" s="2">
        <f>(2657+2700+2606+2725+2717)/5</f>
        <v>2681</v>
      </c>
      <c r="F2178" s="2">
        <f t="shared" si="350"/>
        <v>2506.9880000000003</v>
      </c>
      <c r="G2178" s="3">
        <v>1</v>
      </c>
      <c r="H2178">
        <v>1120</v>
      </c>
      <c r="I2178">
        <v>760</v>
      </c>
      <c r="J2178">
        <v>22320</v>
      </c>
      <c r="K2178">
        <v>19840</v>
      </c>
      <c r="L2178" s="2">
        <v>28.686249999999994</v>
      </c>
      <c r="M2178" s="5">
        <v>101.26949999999999</v>
      </c>
      <c r="N2178" s="1">
        <v>299.42320000000001</v>
      </c>
      <c r="O2178" s="2">
        <v>1.5</v>
      </c>
      <c r="P2178">
        <v>333</v>
      </c>
    </row>
    <row r="2179" spans="1:16" x14ac:dyDescent="0.35">
      <c r="A2179" s="4">
        <v>45383</v>
      </c>
      <c r="B2179" t="s">
        <v>21</v>
      </c>
      <c r="C2179" t="s">
        <v>15</v>
      </c>
      <c r="D2179">
        <v>1</v>
      </c>
      <c r="E2179" s="2">
        <v>2750</v>
      </c>
      <c r="F2179" s="2">
        <f t="shared" si="350"/>
        <v>2506.9880000000003</v>
      </c>
      <c r="G2179" s="3">
        <v>1</v>
      </c>
      <c r="H2179">
        <v>1120</v>
      </c>
      <c r="I2179">
        <v>760</v>
      </c>
      <c r="J2179">
        <v>22320</v>
      </c>
      <c r="K2179">
        <v>19840</v>
      </c>
      <c r="L2179" s="2">
        <v>28.686249999999994</v>
      </c>
      <c r="M2179" s="5">
        <v>101.26949999999999</v>
      </c>
      <c r="N2179" s="1">
        <v>299.42320000000001</v>
      </c>
      <c r="O2179" s="2">
        <v>1.5</v>
      </c>
      <c r="P2179">
        <v>333</v>
      </c>
    </row>
    <row r="2180" spans="1:16" x14ac:dyDescent="0.35">
      <c r="A2180" s="4">
        <v>45383</v>
      </c>
      <c r="B2180" t="s">
        <v>22</v>
      </c>
      <c r="C2180" t="s">
        <v>10</v>
      </c>
      <c r="D2180">
        <v>0</v>
      </c>
      <c r="E2180" s="2" t="s">
        <v>27</v>
      </c>
      <c r="F2180" s="2">
        <f t="shared" ref="F2180:F2183" si="351">(2125+2150+2050+2075+2200)/5</f>
        <v>2120</v>
      </c>
      <c r="G2180" s="3">
        <v>1</v>
      </c>
      <c r="H2180">
        <v>1120</v>
      </c>
      <c r="I2180">
        <v>760</v>
      </c>
      <c r="J2180">
        <v>22320</v>
      </c>
      <c r="K2180">
        <v>19840</v>
      </c>
      <c r="L2180" s="2">
        <v>28.686249999999994</v>
      </c>
      <c r="M2180" s="5">
        <v>101.26949999999999</v>
      </c>
      <c r="N2180" s="1">
        <v>299.42320000000001</v>
      </c>
      <c r="O2180" s="2">
        <v>1.5</v>
      </c>
      <c r="P2180">
        <v>333</v>
      </c>
    </row>
    <row r="2181" spans="1:16" x14ac:dyDescent="0.35">
      <c r="A2181" s="4">
        <v>45383</v>
      </c>
      <c r="B2181" t="s">
        <v>22</v>
      </c>
      <c r="C2181" t="s">
        <v>11</v>
      </c>
      <c r="D2181">
        <v>0</v>
      </c>
      <c r="E2181" s="2" t="s">
        <v>27</v>
      </c>
      <c r="F2181" s="2">
        <f t="shared" si="351"/>
        <v>2120</v>
      </c>
      <c r="G2181" s="3">
        <v>1</v>
      </c>
      <c r="H2181">
        <v>1120</v>
      </c>
      <c r="I2181">
        <v>760</v>
      </c>
      <c r="J2181">
        <v>22320</v>
      </c>
      <c r="K2181">
        <v>19840</v>
      </c>
      <c r="L2181" s="2">
        <v>28.686249999999994</v>
      </c>
      <c r="M2181" s="5">
        <v>101.26949999999999</v>
      </c>
      <c r="N2181" s="1">
        <v>299.42320000000001</v>
      </c>
      <c r="O2181" s="2">
        <v>1.5</v>
      </c>
      <c r="P2181">
        <v>333</v>
      </c>
    </row>
    <row r="2182" spans="1:16" x14ac:dyDescent="0.35">
      <c r="A2182" s="4">
        <v>45383</v>
      </c>
      <c r="B2182" t="s">
        <v>22</v>
      </c>
      <c r="C2182" t="s">
        <v>12</v>
      </c>
      <c r="D2182">
        <v>0</v>
      </c>
      <c r="E2182" s="2" t="s">
        <v>27</v>
      </c>
      <c r="F2182" s="2">
        <f t="shared" si="351"/>
        <v>2120</v>
      </c>
      <c r="G2182" s="3">
        <v>1</v>
      </c>
      <c r="H2182">
        <v>1120</v>
      </c>
      <c r="I2182">
        <v>760</v>
      </c>
      <c r="J2182">
        <v>22320</v>
      </c>
      <c r="K2182">
        <v>19840</v>
      </c>
      <c r="L2182" s="2">
        <v>28.686249999999994</v>
      </c>
      <c r="M2182" s="5">
        <v>101.26949999999999</v>
      </c>
      <c r="N2182" s="1">
        <v>299.42320000000001</v>
      </c>
      <c r="O2182" s="2">
        <v>1.5</v>
      </c>
      <c r="P2182">
        <v>333</v>
      </c>
    </row>
    <row r="2183" spans="1:16" x14ac:dyDescent="0.35">
      <c r="A2183" s="4">
        <v>45383</v>
      </c>
      <c r="B2183" t="s">
        <v>22</v>
      </c>
      <c r="C2183" t="s">
        <v>13</v>
      </c>
      <c r="D2183">
        <v>0</v>
      </c>
      <c r="E2183" s="2" t="s">
        <v>27</v>
      </c>
      <c r="F2183" s="2">
        <f t="shared" si="351"/>
        <v>2120</v>
      </c>
      <c r="G2183" s="3">
        <v>1</v>
      </c>
      <c r="H2183">
        <v>1120</v>
      </c>
      <c r="I2183">
        <v>760</v>
      </c>
      <c r="J2183">
        <v>22320</v>
      </c>
      <c r="K2183">
        <v>19840</v>
      </c>
      <c r="L2183" s="2">
        <v>28.686249999999994</v>
      </c>
      <c r="M2183" s="5">
        <v>101.26949999999999</v>
      </c>
      <c r="N2183" s="1">
        <v>299.42320000000001</v>
      </c>
      <c r="O2183" s="2">
        <v>1.5</v>
      </c>
      <c r="P2183">
        <v>333</v>
      </c>
    </row>
    <row r="2184" spans="1:16" x14ac:dyDescent="0.35">
      <c r="A2184" s="4">
        <v>45383</v>
      </c>
      <c r="B2184" t="s">
        <v>22</v>
      </c>
      <c r="C2184" t="s">
        <v>14</v>
      </c>
      <c r="D2184">
        <v>1</v>
      </c>
      <c r="E2184" s="2">
        <f>(2125+2150+2050+2075+2200)/5</f>
        <v>2120</v>
      </c>
      <c r="F2184" s="2">
        <f>(2125+2150+2050+2075+2200)/5</f>
        <v>2120</v>
      </c>
      <c r="G2184" s="3">
        <v>1</v>
      </c>
      <c r="H2184">
        <v>1120</v>
      </c>
      <c r="I2184">
        <v>760</v>
      </c>
      <c r="J2184">
        <v>22320</v>
      </c>
      <c r="K2184">
        <v>19840</v>
      </c>
      <c r="L2184" s="2">
        <v>28.686249999999994</v>
      </c>
      <c r="M2184" s="5">
        <v>101.26949999999999</v>
      </c>
      <c r="N2184" s="1">
        <v>299.42320000000001</v>
      </c>
      <c r="O2184" s="2">
        <v>1.5</v>
      </c>
      <c r="P2184">
        <v>333</v>
      </c>
    </row>
    <row r="2185" spans="1:16" x14ac:dyDescent="0.35">
      <c r="A2185" s="4">
        <v>45383</v>
      </c>
      <c r="B2185" t="s">
        <v>22</v>
      </c>
      <c r="C2185" t="s">
        <v>15</v>
      </c>
      <c r="D2185">
        <v>0</v>
      </c>
      <c r="E2185" s="2" t="s">
        <v>27</v>
      </c>
      <c r="F2185" s="2">
        <f>(2125+2150+2050+2075+2200)/5</f>
        <v>2120</v>
      </c>
      <c r="G2185" s="3">
        <v>1</v>
      </c>
      <c r="H2185">
        <v>1120</v>
      </c>
      <c r="I2185">
        <v>760</v>
      </c>
      <c r="J2185">
        <v>22320</v>
      </c>
      <c r="K2185">
        <v>19840</v>
      </c>
      <c r="L2185" s="2">
        <v>28.686249999999994</v>
      </c>
      <c r="M2185" s="5">
        <v>101.26949999999999</v>
      </c>
      <c r="N2185" s="1">
        <v>299.42320000000001</v>
      </c>
      <c r="O2185" s="2">
        <v>1.5</v>
      </c>
      <c r="P2185">
        <v>333</v>
      </c>
    </row>
    <row r="2186" spans="1:16" x14ac:dyDescent="0.35">
      <c r="A2186" s="4">
        <v>45413</v>
      </c>
      <c r="B2186" t="s">
        <v>16</v>
      </c>
      <c r="C2186" t="s">
        <v>10</v>
      </c>
      <c r="D2186">
        <v>1</v>
      </c>
      <c r="E2186" s="2">
        <f>(4666+4766+4950+5075)/4</f>
        <v>4864.25</v>
      </c>
      <c r="F2186" s="2">
        <f>(4905+4810+4726.5+4651.5)/4</f>
        <v>4773.25</v>
      </c>
      <c r="G2186" s="3">
        <v>1</v>
      </c>
      <c r="H2186">
        <v>2240</v>
      </c>
      <c r="I2186">
        <v>950</v>
      </c>
      <c r="J2186">
        <v>20772</v>
      </c>
      <c r="K2186">
        <v>19840</v>
      </c>
      <c r="L2186" s="2">
        <v>28.328125000000004</v>
      </c>
      <c r="M2186" s="5">
        <v>226.94399999999996</v>
      </c>
      <c r="N2186" s="1">
        <v>299.69229999999999</v>
      </c>
      <c r="O2186" s="2">
        <v>0.9</v>
      </c>
      <c r="P2186">
        <v>317</v>
      </c>
    </row>
    <row r="2187" spans="1:16" x14ac:dyDescent="0.35">
      <c r="A2187" s="4">
        <v>45413</v>
      </c>
      <c r="B2187" t="s">
        <v>16</v>
      </c>
      <c r="C2187" t="s">
        <v>11</v>
      </c>
      <c r="D2187">
        <v>0</v>
      </c>
      <c r="E2187" s="2" t="s">
        <v>27</v>
      </c>
      <c r="F2187" s="2">
        <f t="shared" ref="F2187:F2191" si="352">(4905+4810+4726.5+4651.5)/4</f>
        <v>4773.25</v>
      </c>
      <c r="G2187" s="3">
        <v>1</v>
      </c>
      <c r="H2187">
        <v>2240</v>
      </c>
      <c r="I2187">
        <v>950</v>
      </c>
      <c r="J2187">
        <v>20772</v>
      </c>
      <c r="K2187">
        <v>19840</v>
      </c>
      <c r="L2187" s="2">
        <v>28.328125000000004</v>
      </c>
      <c r="M2187" s="5">
        <v>226.94399999999996</v>
      </c>
      <c r="N2187" s="1">
        <v>299.69229999999999</v>
      </c>
      <c r="O2187" s="2">
        <v>0.9</v>
      </c>
      <c r="P2187">
        <v>317</v>
      </c>
    </row>
    <row r="2188" spans="1:16" x14ac:dyDescent="0.35">
      <c r="A2188" s="4">
        <v>45413</v>
      </c>
      <c r="B2188" t="s">
        <v>16</v>
      </c>
      <c r="C2188" t="s">
        <v>12</v>
      </c>
      <c r="D2188">
        <v>1</v>
      </c>
      <c r="E2188" s="2">
        <v>4790</v>
      </c>
      <c r="F2188" s="2">
        <f t="shared" si="352"/>
        <v>4773.25</v>
      </c>
      <c r="G2188" s="3">
        <v>1</v>
      </c>
      <c r="H2188">
        <v>2240</v>
      </c>
      <c r="I2188">
        <v>950</v>
      </c>
      <c r="J2188">
        <v>20772</v>
      </c>
      <c r="K2188">
        <v>19840</v>
      </c>
      <c r="L2188" s="2">
        <v>28.328125000000004</v>
      </c>
      <c r="M2188" s="5">
        <v>226.94399999999996</v>
      </c>
      <c r="N2188" s="1">
        <v>299.69229999999999</v>
      </c>
      <c r="O2188" s="2">
        <v>0.9</v>
      </c>
      <c r="P2188">
        <v>317</v>
      </c>
    </row>
    <row r="2189" spans="1:16" x14ac:dyDescent="0.35">
      <c r="A2189" s="4">
        <v>45413</v>
      </c>
      <c r="B2189" t="s">
        <v>16</v>
      </c>
      <c r="C2189" t="s">
        <v>13</v>
      </c>
      <c r="D2189">
        <v>1</v>
      </c>
      <c r="E2189" s="2">
        <f>(4700+4500+4650)/3</f>
        <v>4616.666666666667</v>
      </c>
      <c r="F2189" s="2">
        <f t="shared" si="352"/>
        <v>4773.25</v>
      </c>
      <c r="G2189" s="3">
        <v>1</v>
      </c>
      <c r="H2189">
        <v>2240</v>
      </c>
      <c r="I2189">
        <v>950</v>
      </c>
      <c r="J2189">
        <v>20772</v>
      </c>
      <c r="K2189">
        <v>19840</v>
      </c>
      <c r="L2189" s="2">
        <v>28.328125000000004</v>
      </c>
      <c r="M2189" s="5">
        <v>226.94399999999996</v>
      </c>
      <c r="N2189" s="1">
        <v>299.69229999999999</v>
      </c>
      <c r="O2189" s="2">
        <v>0.9</v>
      </c>
      <c r="P2189">
        <v>317</v>
      </c>
    </row>
    <row r="2190" spans="1:16" x14ac:dyDescent="0.35">
      <c r="A2190" s="4">
        <v>45413</v>
      </c>
      <c r="B2190" t="s">
        <v>16</v>
      </c>
      <c r="C2190" t="s">
        <v>14</v>
      </c>
      <c r="D2190">
        <v>1</v>
      </c>
      <c r="E2190" s="2">
        <v>4850</v>
      </c>
      <c r="F2190" s="2">
        <f t="shared" si="352"/>
        <v>4773.25</v>
      </c>
      <c r="G2190" s="3">
        <v>1</v>
      </c>
      <c r="H2190">
        <v>2240</v>
      </c>
      <c r="I2190">
        <v>950</v>
      </c>
      <c r="J2190">
        <v>20772</v>
      </c>
      <c r="K2190">
        <v>19840</v>
      </c>
      <c r="L2190" s="2">
        <v>28.328125000000004</v>
      </c>
      <c r="M2190" s="5">
        <v>226.94399999999996</v>
      </c>
      <c r="N2190" s="1">
        <v>299.69229999999999</v>
      </c>
      <c r="O2190" s="2">
        <v>0.9</v>
      </c>
      <c r="P2190">
        <v>317</v>
      </c>
    </row>
    <row r="2191" spans="1:16" x14ac:dyDescent="0.35">
      <c r="A2191" s="4">
        <v>45413</v>
      </c>
      <c r="B2191" t="s">
        <v>16</v>
      </c>
      <c r="C2191" t="s">
        <v>15</v>
      </c>
      <c r="D2191">
        <v>0</v>
      </c>
      <c r="E2191" s="2" t="s">
        <v>27</v>
      </c>
      <c r="F2191" s="2">
        <f t="shared" si="352"/>
        <v>4773.25</v>
      </c>
      <c r="G2191" s="3">
        <v>1</v>
      </c>
      <c r="H2191">
        <v>2240</v>
      </c>
      <c r="I2191">
        <v>950</v>
      </c>
      <c r="J2191">
        <v>20772</v>
      </c>
      <c r="K2191">
        <v>19840</v>
      </c>
      <c r="L2191" s="2">
        <v>28.328125000000004</v>
      </c>
      <c r="M2191" s="5">
        <v>226.94399999999996</v>
      </c>
      <c r="N2191" s="1">
        <v>299.69229999999999</v>
      </c>
      <c r="O2191" s="2">
        <v>0.9</v>
      </c>
      <c r="P2191">
        <v>317</v>
      </c>
    </row>
    <row r="2192" spans="1:16" x14ac:dyDescent="0.35">
      <c r="A2192" s="4">
        <v>45413</v>
      </c>
      <c r="B2192" t="s">
        <v>17</v>
      </c>
      <c r="C2192" t="s">
        <v>10</v>
      </c>
      <c r="D2192">
        <v>1</v>
      </c>
      <c r="E2192" s="2">
        <f>(3533+3933+4034+4000)/4</f>
        <v>3875</v>
      </c>
      <c r="F2192" s="2">
        <f>(3879.5+3793.6*2+3740.2)/4</f>
        <v>3801.7250000000004</v>
      </c>
      <c r="G2192" s="3">
        <v>1</v>
      </c>
      <c r="H2192">
        <v>2240</v>
      </c>
      <c r="I2192">
        <v>950</v>
      </c>
      <c r="J2192">
        <v>20772</v>
      </c>
      <c r="K2192">
        <v>19840</v>
      </c>
      <c r="L2192" s="2">
        <v>28.328125000000004</v>
      </c>
      <c r="M2192" s="5">
        <v>226.94399999999996</v>
      </c>
      <c r="N2192" s="1">
        <v>299.69229999999999</v>
      </c>
      <c r="O2192" s="2">
        <v>0.9</v>
      </c>
      <c r="P2192">
        <v>317</v>
      </c>
    </row>
    <row r="2193" spans="1:16" x14ac:dyDescent="0.35">
      <c r="A2193" s="4">
        <v>45413</v>
      </c>
      <c r="B2193" t="s">
        <v>17</v>
      </c>
      <c r="C2193" t="s">
        <v>11</v>
      </c>
      <c r="D2193">
        <v>1</v>
      </c>
      <c r="E2193" s="2">
        <v>3700</v>
      </c>
      <c r="F2193" s="2">
        <f t="shared" ref="F2193:F2197" si="353">(3879.5+3793.6*2+3740.2)/4</f>
        <v>3801.7250000000004</v>
      </c>
      <c r="G2193" s="3">
        <v>1</v>
      </c>
      <c r="H2193">
        <v>2240</v>
      </c>
      <c r="I2193">
        <v>950</v>
      </c>
      <c r="J2193">
        <v>20772</v>
      </c>
      <c r="K2193">
        <v>19840</v>
      </c>
      <c r="L2193" s="2">
        <v>28.328125000000004</v>
      </c>
      <c r="M2193" s="5">
        <v>226.94399999999996</v>
      </c>
      <c r="N2193" s="1">
        <v>299.69229999999999</v>
      </c>
      <c r="O2193" s="2">
        <v>0.9</v>
      </c>
      <c r="P2193">
        <v>317</v>
      </c>
    </row>
    <row r="2194" spans="1:16" x14ac:dyDescent="0.35">
      <c r="A2194" s="4">
        <v>45413</v>
      </c>
      <c r="B2194" t="s">
        <v>17</v>
      </c>
      <c r="C2194" t="s">
        <v>12</v>
      </c>
      <c r="D2194">
        <v>1</v>
      </c>
      <c r="E2194" s="2">
        <v>3785</v>
      </c>
      <c r="F2194" s="2">
        <f t="shared" si="353"/>
        <v>3801.7250000000004</v>
      </c>
      <c r="G2194" s="3">
        <v>1</v>
      </c>
      <c r="H2194">
        <v>2240</v>
      </c>
      <c r="I2194">
        <v>950</v>
      </c>
      <c r="J2194">
        <v>20772</v>
      </c>
      <c r="K2194">
        <v>19840</v>
      </c>
      <c r="L2194" s="2">
        <v>28.328125000000004</v>
      </c>
      <c r="M2194" s="5">
        <v>226.94399999999996</v>
      </c>
      <c r="N2194" s="1">
        <v>299.69229999999999</v>
      </c>
      <c r="O2194" s="2">
        <v>0.9</v>
      </c>
      <c r="P2194">
        <v>317</v>
      </c>
    </row>
    <row r="2195" spans="1:16" x14ac:dyDescent="0.35">
      <c r="A2195" s="4">
        <v>45413</v>
      </c>
      <c r="B2195" t="s">
        <v>17</v>
      </c>
      <c r="C2195" t="s">
        <v>13</v>
      </c>
      <c r="D2195">
        <v>1</v>
      </c>
      <c r="E2195" s="2">
        <v>3783.33</v>
      </c>
      <c r="F2195" s="2">
        <f t="shared" si="353"/>
        <v>3801.7250000000004</v>
      </c>
      <c r="G2195" s="3">
        <v>1</v>
      </c>
      <c r="H2195">
        <v>2240</v>
      </c>
      <c r="I2195">
        <v>950</v>
      </c>
      <c r="J2195">
        <v>20772</v>
      </c>
      <c r="K2195">
        <v>19840</v>
      </c>
      <c r="L2195" s="2">
        <v>28.328125000000004</v>
      </c>
      <c r="M2195" s="5">
        <v>226.94399999999996</v>
      </c>
      <c r="N2195" s="1">
        <v>299.69229999999999</v>
      </c>
      <c r="O2195" s="2">
        <v>0.9</v>
      </c>
      <c r="P2195">
        <v>317</v>
      </c>
    </row>
    <row r="2196" spans="1:16" x14ac:dyDescent="0.35">
      <c r="A2196" s="4">
        <v>45413</v>
      </c>
      <c r="B2196" t="s">
        <v>17</v>
      </c>
      <c r="C2196" t="s">
        <v>14</v>
      </c>
      <c r="D2196">
        <v>1</v>
      </c>
      <c r="E2196" s="2">
        <f>(3833+3700*2+4133)/4</f>
        <v>3841.5</v>
      </c>
      <c r="F2196" s="2">
        <f t="shared" si="353"/>
        <v>3801.7250000000004</v>
      </c>
      <c r="G2196" s="3">
        <v>1</v>
      </c>
      <c r="H2196">
        <v>2240</v>
      </c>
      <c r="I2196">
        <v>950</v>
      </c>
      <c r="J2196">
        <v>20772</v>
      </c>
      <c r="K2196">
        <v>19840</v>
      </c>
      <c r="L2196" s="2">
        <v>28.328125000000004</v>
      </c>
      <c r="M2196" s="5">
        <v>226.94399999999996</v>
      </c>
      <c r="N2196" s="1">
        <v>299.69229999999999</v>
      </c>
      <c r="O2196" s="2">
        <v>0.9</v>
      </c>
      <c r="P2196">
        <v>317</v>
      </c>
    </row>
    <row r="2197" spans="1:16" x14ac:dyDescent="0.35">
      <c r="A2197" s="4">
        <v>45413</v>
      </c>
      <c r="B2197" t="s">
        <v>17</v>
      </c>
      <c r="C2197" t="s">
        <v>15</v>
      </c>
      <c r="D2197">
        <v>0</v>
      </c>
      <c r="E2197" s="2" t="s">
        <v>27</v>
      </c>
      <c r="F2197" s="2">
        <f t="shared" si="353"/>
        <v>3801.7250000000004</v>
      </c>
      <c r="G2197" s="3">
        <v>1</v>
      </c>
      <c r="H2197">
        <v>2240</v>
      </c>
      <c r="I2197">
        <v>950</v>
      </c>
      <c r="J2197">
        <v>20772</v>
      </c>
      <c r="K2197">
        <v>19840</v>
      </c>
      <c r="L2197" s="2">
        <v>28.328125000000004</v>
      </c>
      <c r="M2197" s="5">
        <v>226.94399999999996</v>
      </c>
      <c r="N2197" s="1">
        <v>299.69229999999999</v>
      </c>
      <c r="O2197" s="2">
        <v>0.9</v>
      </c>
      <c r="P2197">
        <v>317</v>
      </c>
    </row>
    <row r="2198" spans="1:16" x14ac:dyDescent="0.35">
      <c r="A2198" s="4">
        <v>45413</v>
      </c>
      <c r="B2198" t="s">
        <v>18</v>
      </c>
      <c r="C2198" t="s">
        <v>10</v>
      </c>
      <c r="D2198">
        <v>1</v>
      </c>
      <c r="E2198" s="2">
        <f>(3310+3500+3150+3625)/4</f>
        <v>3396.25</v>
      </c>
      <c r="F2198" s="2">
        <f>(3460+3525.56+3470+3552.86)/4</f>
        <v>3502.105</v>
      </c>
      <c r="G2198" s="3">
        <v>1</v>
      </c>
      <c r="H2198">
        <v>2240</v>
      </c>
      <c r="I2198">
        <v>950</v>
      </c>
      <c r="J2198">
        <v>20772</v>
      </c>
      <c r="K2198">
        <v>19840</v>
      </c>
      <c r="L2198" s="2">
        <v>28.328125000000004</v>
      </c>
      <c r="M2198" s="5">
        <v>226.94399999999996</v>
      </c>
      <c r="N2198" s="1">
        <v>299.69229999999999</v>
      </c>
      <c r="O2198" s="2">
        <v>0.9</v>
      </c>
      <c r="P2198">
        <v>317</v>
      </c>
    </row>
    <row r="2199" spans="1:16" x14ac:dyDescent="0.35">
      <c r="A2199" s="4">
        <v>45413</v>
      </c>
      <c r="B2199" t="s">
        <v>18</v>
      </c>
      <c r="C2199" t="s">
        <v>11</v>
      </c>
      <c r="D2199">
        <v>1</v>
      </c>
      <c r="E2199" s="2">
        <v>3500</v>
      </c>
      <c r="F2199" s="2">
        <f t="shared" ref="F2199:F2203" si="354">(3460+3525.56+3470+3552.86)/4</f>
        <v>3502.105</v>
      </c>
      <c r="G2199" s="3">
        <v>1</v>
      </c>
      <c r="H2199">
        <v>2240</v>
      </c>
      <c r="I2199">
        <v>950</v>
      </c>
      <c r="J2199">
        <v>20772</v>
      </c>
      <c r="K2199">
        <v>19840</v>
      </c>
      <c r="L2199" s="2">
        <v>28.328125000000004</v>
      </c>
      <c r="M2199" s="5">
        <v>226.94399999999996</v>
      </c>
      <c r="N2199" s="1">
        <v>299.69229999999999</v>
      </c>
      <c r="O2199" s="2">
        <v>0.9</v>
      </c>
      <c r="P2199">
        <v>317</v>
      </c>
    </row>
    <row r="2200" spans="1:16" x14ac:dyDescent="0.35">
      <c r="A2200" s="4">
        <v>45413</v>
      </c>
      <c r="B2200" t="s">
        <v>18</v>
      </c>
      <c r="C2200" t="s">
        <v>12</v>
      </c>
      <c r="D2200">
        <v>1</v>
      </c>
      <c r="E2200" s="2">
        <v>3470</v>
      </c>
      <c r="F2200" s="2">
        <f t="shared" si="354"/>
        <v>3502.105</v>
      </c>
      <c r="G2200" s="3">
        <v>1</v>
      </c>
      <c r="H2200">
        <v>2240</v>
      </c>
      <c r="I2200">
        <v>950</v>
      </c>
      <c r="J2200">
        <v>20772</v>
      </c>
      <c r="K2200">
        <v>19840</v>
      </c>
      <c r="L2200" s="2">
        <v>28.328125000000004</v>
      </c>
      <c r="M2200" s="5">
        <v>226.94399999999996</v>
      </c>
      <c r="N2200" s="1">
        <v>299.69229999999999</v>
      </c>
      <c r="O2200" s="2">
        <v>0.9</v>
      </c>
      <c r="P2200">
        <v>317</v>
      </c>
    </row>
    <row r="2201" spans="1:16" x14ac:dyDescent="0.35">
      <c r="A2201" s="4">
        <v>45413</v>
      </c>
      <c r="B2201" t="s">
        <v>18</v>
      </c>
      <c r="C2201" t="s">
        <v>13</v>
      </c>
      <c r="D2201">
        <v>1</v>
      </c>
      <c r="E2201" s="2">
        <v>3500</v>
      </c>
      <c r="F2201" s="2">
        <f t="shared" si="354"/>
        <v>3502.105</v>
      </c>
      <c r="G2201" s="3">
        <v>1</v>
      </c>
      <c r="H2201">
        <v>2240</v>
      </c>
      <c r="I2201">
        <v>950</v>
      </c>
      <c r="J2201">
        <v>20772</v>
      </c>
      <c r="K2201">
        <v>19840</v>
      </c>
      <c r="L2201" s="2">
        <v>28.328125000000004</v>
      </c>
      <c r="M2201" s="5">
        <v>226.94399999999996</v>
      </c>
      <c r="N2201" s="1">
        <v>299.69229999999999</v>
      </c>
      <c r="O2201" s="2">
        <v>0.9</v>
      </c>
      <c r="P2201">
        <v>317</v>
      </c>
    </row>
    <row r="2202" spans="1:16" x14ac:dyDescent="0.35">
      <c r="A2202" s="4">
        <v>45413</v>
      </c>
      <c r="B2202" t="s">
        <v>18</v>
      </c>
      <c r="C2202" t="s">
        <v>14</v>
      </c>
      <c r="D2202">
        <v>1</v>
      </c>
      <c r="E2202" s="2">
        <f>(3310*2+3260+3275)/4</f>
        <v>3288.75</v>
      </c>
      <c r="F2202" s="2">
        <f t="shared" si="354"/>
        <v>3502.105</v>
      </c>
      <c r="G2202" s="3">
        <v>1</v>
      </c>
      <c r="H2202">
        <v>2240</v>
      </c>
      <c r="I2202">
        <v>950</v>
      </c>
      <c r="J2202">
        <v>20772</v>
      </c>
      <c r="K2202">
        <v>19840</v>
      </c>
      <c r="L2202" s="2">
        <v>28.328125000000004</v>
      </c>
      <c r="M2202" s="5">
        <v>226.94399999999996</v>
      </c>
      <c r="N2202" s="1">
        <v>299.69229999999999</v>
      </c>
      <c r="O2202" s="2">
        <v>0.9</v>
      </c>
      <c r="P2202">
        <v>317</v>
      </c>
    </row>
    <row r="2203" spans="1:16" x14ac:dyDescent="0.35">
      <c r="A2203" s="4">
        <v>45413</v>
      </c>
      <c r="B2203" t="s">
        <v>18</v>
      </c>
      <c r="C2203" t="s">
        <v>15</v>
      </c>
      <c r="D2203">
        <v>1</v>
      </c>
      <c r="E2203" s="2">
        <v>3500</v>
      </c>
      <c r="F2203" s="2">
        <f t="shared" si="354"/>
        <v>3502.105</v>
      </c>
      <c r="G2203" s="3">
        <v>1</v>
      </c>
      <c r="H2203">
        <v>2240</v>
      </c>
      <c r="I2203">
        <v>950</v>
      </c>
      <c r="J2203">
        <v>20772</v>
      </c>
      <c r="K2203">
        <v>19840</v>
      </c>
      <c r="L2203" s="2">
        <v>28.328125000000004</v>
      </c>
      <c r="M2203" s="5">
        <v>226.94399999999996</v>
      </c>
      <c r="N2203" s="1">
        <v>299.69229999999999</v>
      </c>
      <c r="O2203" s="2">
        <v>0.9</v>
      </c>
      <c r="P2203">
        <v>317</v>
      </c>
    </row>
    <row r="2204" spans="1:16" x14ac:dyDescent="0.35">
      <c r="A2204" s="4">
        <v>45413</v>
      </c>
      <c r="B2204" t="s">
        <v>19</v>
      </c>
      <c r="C2204" t="s">
        <v>10</v>
      </c>
      <c r="D2204">
        <v>1</v>
      </c>
      <c r="E2204" s="2">
        <v>3020.75</v>
      </c>
      <c r="F2204" s="2">
        <f>(3166.78+3175.11+3166+3185.43)/4</f>
        <v>3173.33</v>
      </c>
      <c r="G2204" s="3">
        <v>1</v>
      </c>
      <c r="H2204">
        <v>2240</v>
      </c>
      <c r="I2204">
        <v>950</v>
      </c>
      <c r="J2204">
        <v>20772</v>
      </c>
      <c r="K2204">
        <v>19840</v>
      </c>
      <c r="L2204" s="2">
        <v>28.328125000000004</v>
      </c>
      <c r="M2204" s="5">
        <v>226.94399999999996</v>
      </c>
      <c r="N2204" s="1">
        <v>299.69229999999999</v>
      </c>
      <c r="O2204" s="2">
        <v>0.9</v>
      </c>
      <c r="P2204">
        <v>317</v>
      </c>
    </row>
    <row r="2205" spans="1:16" x14ac:dyDescent="0.35">
      <c r="A2205" s="4">
        <v>45413</v>
      </c>
      <c r="B2205" t="s">
        <v>19</v>
      </c>
      <c r="C2205" t="s">
        <v>11</v>
      </c>
      <c r="D2205">
        <v>1</v>
      </c>
      <c r="E2205" s="2">
        <v>3150</v>
      </c>
      <c r="F2205" s="2">
        <f t="shared" ref="F2205:F2209" si="355">(3166.78+3175.11+3166+3185.43)/4</f>
        <v>3173.33</v>
      </c>
      <c r="G2205" s="3">
        <v>1</v>
      </c>
      <c r="H2205">
        <v>2240</v>
      </c>
      <c r="I2205">
        <v>950</v>
      </c>
      <c r="J2205">
        <v>20772</v>
      </c>
      <c r="K2205">
        <v>19840</v>
      </c>
      <c r="L2205" s="2">
        <v>28.328125000000004</v>
      </c>
      <c r="M2205" s="5">
        <v>226.94399999999996</v>
      </c>
      <c r="N2205" s="1">
        <v>299.69229999999999</v>
      </c>
      <c r="O2205" s="2">
        <v>0.9</v>
      </c>
      <c r="P2205">
        <v>317</v>
      </c>
    </row>
    <row r="2206" spans="1:16" x14ac:dyDescent="0.35">
      <c r="A2206" s="4">
        <v>45413</v>
      </c>
      <c r="B2206" t="s">
        <v>19</v>
      </c>
      <c r="C2206" t="s">
        <v>12</v>
      </c>
      <c r="D2206">
        <v>1</v>
      </c>
      <c r="E2206" s="2">
        <v>3090</v>
      </c>
      <c r="F2206" s="2">
        <f t="shared" si="355"/>
        <v>3173.33</v>
      </c>
      <c r="G2206" s="3">
        <v>1</v>
      </c>
      <c r="H2206">
        <v>2240</v>
      </c>
      <c r="I2206">
        <v>950</v>
      </c>
      <c r="J2206">
        <v>20772</v>
      </c>
      <c r="K2206">
        <v>19840</v>
      </c>
      <c r="L2206" s="2">
        <v>28.328125000000004</v>
      </c>
      <c r="M2206" s="5">
        <v>226.94399999999996</v>
      </c>
      <c r="N2206" s="1">
        <v>299.69229999999999</v>
      </c>
      <c r="O2206" s="2">
        <v>0.9</v>
      </c>
      <c r="P2206">
        <v>317</v>
      </c>
    </row>
    <row r="2207" spans="1:16" x14ac:dyDescent="0.35">
      <c r="A2207" s="4">
        <v>45413</v>
      </c>
      <c r="B2207" t="s">
        <v>19</v>
      </c>
      <c r="C2207" t="s">
        <v>13</v>
      </c>
      <c r="D2207">
        <v>1</v>
      </c>
      <c r="E2207" s="2">
        <v>3133.33</v>
      </c>
      <c r="F2207" s="2">
        <f t="shared" si="355"/>
        <v>3173.33</v>
      </c>
      <c r="G2207" s="3">
        <v>1</v>
      </c>
      <c r="H2207">
        <v>2240</v>
      </c>
      <c r="I2207">
        <v>950</v>
      </c>
      <c r="J2207">
        <v>20772</v>
      </c>
      <c r="K2207">
        <v>19840</v>
      </c>
      <c r="L2207" s="2">
        <v>28.328125000000004</v>
      </c>
      <c r="M2207" s="5">
        <v>226.94399999999996</v>
      </c>
      <c r="N2207" s="1">
        <v>299.69229999999999</v>
      </c>
      <c r="O2207" s="2">
        <v>0.9</v>
      </c>
      <c r="P2207">
        <v>317</v>
      </c>
    </row>
    <row r="2208" spans="1:16" x14ac:dyDescent="0.35">
      <c r="A2208" s="4">
        <v>45413</v>
      </c>
      <c r="B2208" t="s">
        <v>19</v>
      </c>
      <c r="C2208" t="s">
        <v>14</v>
      </c>
      <c r="D2208">
        <v>1</v>
      </c>
      <c r="E2208" s="2">
        <f>(3136*2+3125+3121)/4</f>
        <v>3129.5</v>
      </c>
      <c r="F2208" s="2">
        <f t="shared" si="355"/>
        <v>3173.33</v>
      </c>
      <c r="G2208" s="3">
        <v>1</v>
      </c>
      <c r="H2208">
        <v>2240</v>
      </c>
      <c r="I2208">
        <v>950</v>
      </c>
      <c r="J2208">
        <v>20772</v>
      </c>
      <c r="K2208">
        <v>19840</v>
      </c>
      <c r="L2208" s="2">
        <v>28.328125000000004</v>
      </c>
      <c r="M2208" s="5">
        <v>226.94399999999996</v>
      </c>
      <c r="N2208" s="1">
        <v>299.69229999999999</v>
      </c>
      <c r="O2208" s="2">
        <v>0.9</v>
      </c>
      <c r="P2208">
        <v>317</v>
      </c>
    </row>
    <row r="2209" spans="1:16" x14ac:dyDescent="0.35">
      <c r="A2209" s="4">
        <v>45413</v>
      </c>
      <c r="B2209" t="s">
        <v>19</v>
      </c>
      <c r="C2209" t="s">
        <v>15</v>
      </c>
      <c r="D2209">
        <v>1</v>
      </c>
      <c r="E2209" s="2">
        <f>(3183+3200*2+3225)/4</f>
        <v>3202</v>
      </c>
      <c r="F2209" s="2">
        <f t="shared" si="355"/>
        <v>3173.33</v>
      </c>
      <c r="G2209" s="3">
        <v>1</v>
      </c>
      <c r="H2209">
        <v>2240</v>
      </c>
      <c r="I2209">
        <v>950</v>
      </c>
      <c r="J2209">
        <v>20772</v>
      </c>
      <c r="K2209">
        <v>19840</v>
      </c>
      <c r="L2209" s="2">
        <v>28.328125000000004</v>
      </c>
      <c r="M2209" s="5">
        <v>226.94399999999996</v>
      </c>
      <c r="N2209" s="1">
        <v>299.69229999999999</v>
      </c>
      <c r="O2209" s="2">
        <v>0.9</v>
      </c>
      <c r="P2209">
        <v>317</v>
      </c>
    </row>
    <row r="2210" spans="1:16" x14ac:dyDescent="0.35">
      <c r="A2210" s="4">
        <v>45413</v>
      </c>
      <c r="B2210" t="s">
        <v>20</v>
      </c>
      <c r="C2210" t="s">
        <v>10</v>
      </c>
      <c r="D2210">
        <v>1</v>
      </c>
      <c r="E2210" s="2">
        <f>(2675+2700+2500+2550)/4</f>
        <v>2606.25</v>
      </c>
      <c r="F2210" s="2">
        <f>(2671.88+2685+2689.5+2663.43)/4</f>
        <v>2677.4524999999999</v>
      </c>
      <c r="G2210" s="3">
        <v>1</v>
      </c>
      <c r="H2210">
        <v>2240</v>
      </c>
      <c r="I2210">
        <v>950</v>
      </c>
      <c r="J2210">
        <v>20772</v>
      </c>
      <c r="K2210">
        <v>19840</v>
      </c>
      <c r="L2210" s="2">
        <v>28.328125000000004</v>
      </c>
      <c r="M2210" s="5">
        <v>226.94399999999996</v>
      </c>
      <c r="N2210" s="1">
        <v>299.69229999999999</v>
      </c>
      <c r="O2210" s="2">
        <v>0.9</v>
      </c>
      <c r="P2210">
        <v>317</v>
      </c>
    </row>
    <row r="2211" spans="1:16" x14ac:dyDescent="0.35">
      <c r="A2211" s="4">
        <v>45413</v>
      </c>
      <c r="B2211" t="s">
        <v>20</v>
      </c>
      <c r="C2211" t="s">
        <v>11</v>
      </c>
      <c r="D2211">
        <v>1</v>
      </c>
      <c r="E2211" s="2">
        <v>2675</v>
      </c>
      <c r="F2211" s="2">
        <f t="shared" ref="F2211:F2215" si="356">(2671.88+2685+2689.5+2663.43)/4</f>
        <v>2677.4524999999999</v>
      </c>
      <c r="G2211" s="3">
        <v>1</v>
      </c>
      <c r="H2211">
        <v>2240</v>
      </c>
      <c r="I2211">
        <v>950</v>
      </c>
      <c r="J2211">
        <v>20772</v>
      </c>
      <c r="K2211">
        <v>19840</v>
      </c>
      <c r="L2211" s="2">
        <v>28.328125000000004</v>
      </c>
      <c r="M2211" s="5">
        <v>226.94399999999996</v>
      </c>
      <c r="N2211" s="1">
        <v>299.69229999999999</v>
      </c>
      <c r="O2211" s="2">
        <v>0.9</v>
      </c>
      <c r="P2211">
        <v>317</v>
      </c>
    </row>
    <row r="2212" spans="1:16" x14ac:dyDescent="0.35">
      <c r="A2212" s="4">
        <v>45413</v>
      </c>
      <c r="B2212" t="s">
        <v>20</v>
      </c>
      <c r="C2212" t="s">
        <v>12</v>
      </c>
      <c r="D2212">
        <v>1</v>
      </c>
      <c r="E2212" s="2">
        <v>2190</v>
      </c>
      <c r="F2212" s="2">
        <f t="shared" si="356"/>
        <v>2677.4524999999999</v>
      </c>
      <c r="G2212" s="3">
        <v>1</v>
      </c>
      <c r="H2212">
        <v>2240</v>
      </c>
      <c r="I2212">
        <v>950</v>
      </c>
      <c r="J2212">
        <v>20772</v>
      </c>
      <c r="K2212">
        <v>19840</v>
      </c>
      <c r="L2212" s="2">
        <v>28.328125000000004</v>
      </c>
      <c r="M2212" s="5">
        <v>226.94399999999996</v>
      </c>
      <c r="N2212" s="1">
        <v>299.69229999999999</v>
      </c>
      <c r="O2212" s="2">
        <v>0.9</v>
      </c>
      <c r="P2212">
        <v>317</v>
      </c>
    </row>
    <row r="2213" spans="1:16" x14ac:dyDescent="0.35">
      <c r="A2213" s="4">
        <v>45413</v>
      </c>
      <c r="B2213" t="s">
        <v>20</v>
      </c>
      <c r="C2213" t="s">
        <v>13</v>
      </c>
      <c r="D2213">
        <v>1</v>
      </c>
      <c r="E2213" s="2">
        <v>2833.33</v>
      </c>
      <c r="F2213" s="2">
        <f t="shared" si="356"/>
        <v>2677.4524999999999</v>
      </c>
      <c r="G2213" s="3">
        <v>1</v>
      </c>
      <c r="H2213">
        <v>2240</v>
      </c>
      <c r="I2213">
        <v>950</v>
      </c>
      <c r="J2213">
        <v>20772</v>
      </c>
      <c r="K2213">
        <v>19840</v>
      </c>
      <c r="L2213" s="2">
        <v>28.328125000000004</v>
      </c>
      <c r="M2213" s="5">
        <v>226.94399999999996</v>
      </c>
      <c r="N2213" s="1">
        <v>299.69229999999999</v>
      </c>
      <c r="O2213" s="2">
        <v>0.9</v>
      </c>
      <c r="P2213">
        <v>317</v>
      </c>
    </row>
    <row r="2214" spans="1:16" x14ac:dyDescent="0.35">
      <c r="A2214" s="4">
        <v>45413</v>
      </c>
      <c r="B2214" t="s">
        <v>20</v>
      </c>
      <c r="C2214" t="s">
        <v>14</v>
      </c>
      <c r="D2214">
        <v>1</v>
      </c>
      <c r="E2214" s="2">
        <f>(2813+2860*2+2840)/4</f>
        <v>2843.25</v>
      </c>
      <c r="F2214" s="2">
        <f t="shared" si="356"/>
        <v>2677.4524999999999</v>
      </c>
      <c r="G2214" s="3">
        <v>1</v>
      </c>
      <c r="H2214">
        <v>2240</v>
      </c>
      <c r="I2214">
        <v>950</v>
      </c>
      <c r="J2214">
        <v>20772</v>
      </c>
      <c r="K2214">
        <v>19840</v>
      </c>
      <c r="L2214" s="2">
        <v>28.328125000000004</v>
      </c>
      <c r="M2214" s="5">
        <v>226.94399999999996</v>
      </c>
      <c r="N2214" s="1">
        <v>299.69229999999999</v>
      </c>
      <c r="O2214" s="2">
        <v>0.9</v>
      </c>
      <c r="P2214">
        <v>317</v>
      </c>
    </row>
    <row r="2215" spans="1:16" x14ac:dyDescent="0.35">
      <c r="A2215" s="4">
        <v>45413</v>
      </c>
      <c r="B2215" t="s">
        <v>20</v>
      </c>
      <c r="C2215" t="s">
        <v>15</v>
      </c>
      <c r="D2215">
        <v>1</v>
      </c>
      <c r="E2215" s="2">
        <f>(2900+2875+2816*2)/4</f>
        <v>2851.75</v>
      </c>
      <c r="F2215" s="2">
        <f t="shared" si="356"/>
        <v>2677.4524999999999</v>
      </c>
      <c r="G2215" s="3">
        <v>1</v>
      </c>
      <c r="H2215">
        <v>2240</v>
      </c>
      <c r="I2215">
        <v>950</v>
      </c>
      <c r="J2215">
        <v>20772</v>
      </c>
      <c r="K2215">
        <v>19840</v>
      </c>
      <c r="L2215" s="2">
        <v>28.328125000000004</v>
      </c>
      <c r="M2215" s="5">
        <v>226.94399999999996</v>
      </c>
      <c r="N2215" s="1">
        <v>299.69229999999999</v>
      </c>
      <c r="O2215" s="2">
        <v>0.9</v>
      </c>
      <c r="P2215">
        <v>317</v>
      </c>
    </row>
    <row r="2216" spans="1:16" x14ac:dyDescent="0.35">
      <c r="A2216" s="4">
        <v>45413</v>
      </c>
      <c r="B2216" t="s">
        <v>21</v>
      </c>
      <c r="C2216" t="s">
        <v>10</v>
      </c>
      <c r="D2216">
        <v>1</v>
      </c>
      <c r="E2216" s="2">
        <f>(2275+2350+2266+2333)/4</f>
        <v>2306</v>
      </c>
      <c r="F2216" s="2">
        <f>(2522.13+2513.75+2519.71+2468.86)/4</f>
        <v>2506.1125000000002</v>
      </c>
      <c r="G2216" s="3">
        <v>1</v>
      </c>
      <c r="H2216">
        <v>2240</v>
      </c>
      <c r="I2216">
        <v>950</v>
      </c>
      <c r="J2216">
        <v>20772</v>
      </c>
      <c r="K2216">
        <v>19840</v>
      </c>
      <c r="L2216" s="2">
        <v>28.328125000000004</v>
      </c>
      <c r="M2216" s="5">
        <v>226.94399999999996</v>
      </c>
      <c r="N2216" s="1">
        <v>299.69229999999999</v>
      </c>
      <c r="O2216" s="2">
        <v>0.9</v>
      </c>
      <c r="P2216">
        <v>317</v>
      </c>
    </row>
    <row r="2217" spans="1:16" x14ac:dyDescent="0.35">
      <c r="A2217" s="4">
        <v>45413</v>
      </c>
      <c r="B2217" t="s">
        <v>21</v>
      </c>
      <c r="C2217" t="s">
        <v>11</v>
      </c>
      <c r="D2217">
        <v>1</v>
      </c>
      <c r="E2217" s="2">
        <v>2575</v>
      </c>
      <c r="F2217" s="2">
        <f t="shared" ref="F2217:F2221" si="357">(2522.13+2513.75+2519.71+2468.86)/4</f>
        <v>2506.1125000000002</v>
      </c>
      <c r="G2217" s="3">
        <v>1</v>
      </c>
      <c r="H2217">
        <v>2240</v>
      </c>
      <c r="I2217">
        <v>950</v>
      </c>
      <c r="J2217">
        <v>20772</v>
      </c>
      <c r="K2217">
        <v>19840</v>
      </c>
      <c r="L2217" s="2">
        <v>28.328125000000004</v>
      </c>
      <c r="M2217" s="5">
        <v>226.94399999999996</v>
      </c>
      <c r="N2217" s="1">
        <v>299.69229999999999</v>
      </c>
      <c r="O2217" s="2">
        <v>0.9</v>
      </c>
      <c r="P2217">
        <v>317</v>
      </c>
    </row>
    <row r="2218" spans="1:16" x14ac:dyDescent="0.35">
      <c r="A2218" s="4">
        <v>45413</v>
      </c>
      <c r="B2218" t="s">
        <v>21</v>
      </c>
      <c r="C2218" t="s">
        <v>12</v>
      </c>
      <c r="D2218">
        <v>1</v>
      </c>
      <c r="E2218" s="2">
        <v>2100</v>
      </c>
      <c r="F2218" s="2">
        <f t="shared" si="357"/>
        <v>2506.1125000000002</v>
      </c>
      <c r="G2218" s="3">
        <v>1</v>
      </c>
      <c r="H2218">
        <v>2240</v>
      </c>
      <c r="I2218">
        <v>950</v>
      </c>
      <c r="J2218">
        <v>20772</v>
      </c>
      <c r="K2218">
        <v>19840</v>
      </c>
      <c r="L2218" s="2">
        <v>28.328125000000004</v>
      </c>
      <c r="M2218" s="5">
        <v>226.94399999999996</v>
      </c>
      <c r="N2218" s="1">
        <v>299.69229999999999</v>
      </c>
      <c r="O2218" s="2">
        <v>0.9</v>
      </c>
      <c r="P2218">
        <v>317</v>
      </c>
    </row>
    <row r="2219" spans="1:16" x14ac:dyDescent="0.35">
      <c r="A2219" s="4">
        <v>45413</v>
      </c>
      <c r="B2219" t="s">
        <v>21</v>
      </c>
      <c r="C2219" t="s">
        <v>13</v>
      </c>
      <c r="D2219">
        <v>1</v>
      </c>
      <c r="E2219" s="2">
        <v>2700</v>
      </c>
      <c r="F2219" s="2">
        <f t="shared" si="357"/>
        <v>2506.1125000000002</v>
      </c>
      <c r="G2219" s="3">
        <v>1</v>
      </c>
      <c r="H2219">
        <v>2240</v>
      </c>
      <c r="I2219">
        <v>950</v>
      </c>
      <c r="J2219">
        <v>20772</v>
      </c>
      <c r="K2219">
        <v>19840</v>
      </c>
      <c r="L2219" s="2">
        <v>28.328125000000004</v>
      </c>
      <c r="M2219" s="5">
        <v>226.94399999999996</v>
      </c>
      <c r="N2219" s="1">
        <v>299.69229999999999</v>
      </c>
      <c r="O2219" s="2">
        <v>0.9</v>
      </c>
      <c r="P2219">
        <v>317</v>
      </c>
    </row>
    <row r="2220" spans="1:16" x14ac:dyDescent="0.35">
      <c r="A2220" s="4">
        <v>45413</v>
      </c>
      <c r="B2220" t="s">
        <v>21</v>
      </c>
      <c r="C2220" t="s">
        <v>14</v>
      </c>
      <c r="D2220">
        <v>1</v>
      </c>
      <c r="E2220" s="2">
        <f>(2719+2744+2738+2657)/4</f>
        <v>2714.5</v>
      </c>
      <c r="F2220" s="2">
        <f t="shared" si="357"/>
        <v>2506.1125000000002</v>
      </c>
      <c r="G2220" s="3">
        <v>1</v>
      </c>
      <c r="H2220">
        <v>2240</v>
      </c>
      <c r="I2220">
        <v>950</v>
      </c>
      <c r="J2220">
        <v>20772</v>
      </c>
      <c r="K2220">
        <v>19840</v>
      </c>
      <c r="L2220" s="2">
        <v>28.328125000000004</v>
      </c>
      <c r="M2220" s="5">
        <v>226.94399999999996</v>
      </c>
      <c r="N2220" s="1">
        <v>299.69229999999999</v>
      </c>
      <c r="O2220" s="2">
        <v>0.9</v>
      </c>
      <c r="P2220">
        <v>317</v>
      </c>
    </row>
    <row r="2221" spans="1:16" x14ac:dyDescent="0.35">
      <c r="A2221" s="4">
        <v>45413</v>
      </c>
      <c r="B2221" t="s">
        <v>21</v>
      </c>
      <c r="C2221" t="s">
        <v>15</v>
      </c>
      <c r="D2221">
        <v>1</v>
      </c>
      <c r="E2221" s="2">
        <f>(2750*2+2800+2825)/4</f>
        <v>2781.25</v>
      </c>
      <c r="F2221" s="2">
        <f t="shared" si="357"/>
        <v>2506.1125000000002</v>
      </c>
      <c r="G2221" s="3">
        <v>1</v>
      </c>
      <c r="H2221">
        <v>2240</v>
      </c>
      <c r="I2221">
        <v>950</v>
      </c>
      <c r="J2221">
        <v>20772</v>
      </c>
      <c r="K2221">
        <v>19840</v>
      </c>
      <c r="L2221" s="2">
        <v>28.328125000000004</v>
      </c>
      <c r="M2221" s="5">
        <v>226.94399999999996</v>
      </c>
      <c r="N2221" s="1">
        <v>299.69229999999999</v>
      </c>
      <c r="O2221" s="2">
        <v>0.9</v>
      </c>
      <c r="P2221">
        <v>317</v>
      </c>
    </row>
    <row r="2222" spans="1:16" x14ac:dyDescent="0.35">
      <c r="A2222" s="4">
        <v>45413</v>
      </c>
      <c r="B2222" t="s">
        <v>22</v>
      </c>
      <c r="C2222" t="s">
        <v>10</v>
      </c>
      <c r="D2222">
        <v>0</v>
      </c>
      <c r="E2222" s="2" t="s">
        <v>27</v>
      </c>
      <c r="F2222" s="2">
        <f t="shared" ref="F2222:F2225" si="358">(2200+2240+2300+2180)/4</f>
        <v>2230</v>
      </c>
      <c r="G2222" s="3">
        <v>1</v>
      </c>
      <c r="H2222">
        <v>2240</v>
      </c>
      <c r="I2222">
        <v>950</v>
      </c>
      <c r="J2222">
        <v>20772</v>
      </c>
      <c r="K2222">
        <v>19840</v>
      </c>
      <c r="L2222" s="2">
        <v>28.328125000000004</v>
      </c>
      <c r="M2222" s="5">
        <v>226.94399999999996</v>
      </c>
      <c r="N2222" s="1">
        <v>299.69229999999999</v>
      </c>
      <c r="O2222" s="2">
        <v>0.9</v>
      </c>
      <c r="P2222">
        <v>317</v>
      </c>
    </row>
    <row r="2223" spans="1:16" x14ac:dyDescent="0.35">
      <c r="A2223" s="4">
        <v>45413</v>
      </c>
      <c r="B2223" t="s">
        <v>22</v>
      </c>
      <c r="C2223" t="s">
        <v>11</v>
      </c>
      <c r="D2223">
        <v>0</v>
      </c>
      <c r="E2223" s="2" t="s">
        <v>27</v>
      </c>
      <c r="F2223" s="2">
        <f t="shared" si="358"/>
        <v>2230</v>
      </c>
      <c r="G2223" s="3">
        <v>1</v>
      </c>
      <c r="H2223">
        <v>2240</v>
      </c>
      <c r="I2223">
        <v>950</v>
      </c>
      <c r="J2223">
        <v>20772</v>
      </c>
      <c r="K2223">
        <v>19840</v>
      </c>
      <c r="L2223" s="2">
        <v>28.328125000000004</v>
      </c>
      <c r="M2223" s="5">
        <v>226.94399999999996</v>
      </c>
      <c r="N2223" s="1">
        <v>299.69229999999999</v>
      </c>
      <c r="O2223" s="2">
        <v>0.9</v>
      </c>
      <c r="P2223">
        <v>317</v>
      </c>
    </row>
    <row r="2224" spans="1:16" x14ac:dyDescent="0.35">
      <c r="A2224" s="4">
        <v>45413</v>
      </c>
      <c r="B2224" t="s">
        <v>22</v>
      </c>
      <c r="C2224" t="s">
        <v>12</v>
      </c>
      <c r="D2224">
        <v>0</v>
      </c>
      <c r="E2224" s="2" t="s">
        <v>27</v>
      </c>
      <c r="F2224" s="2">
        <f t="shared" si="358"/>
        <v>2230</v>
      </c>
      <c r="G2224" s="3">
        <v>1</v>
      </c>
      <c r="H2224">
        <v>2240</v>
      </c>
      <c r="I2224">
        <v>950</v>
      </c>
      <c r="J2224">
        <v>20772</v>
      </c>
      <c r="K2224">
        <v>19840</v>
      </c>
      <c r="L2224" s="2">
        <v>28.328125000000004</v>
      </c>
      <c r="M2224" s="5">
        <v>226.94399999999996</v>
      </c>
      <c r="N2224" s="1">
        <v>299.69229999999999</v>
      </c>
      <c r="O2224" s="2">
        <v>0.9</v>
      </c>
      <c r="P2224">
        <v>317</v>
      </c>
    </row>
    <row r="2225" spans="1:16" x14ac:dyDescent="0.35">
      <c r="A2225" s="4">
        <v>45413</v>
      </c>
      <c r="B2225" t="s">
        <v>22</v>
      </c>
      <c r="C2225" t="s">
        <v>13</v>
      </c>
      <c r="D2225">
        <v>0</v>
      </c>
      <c r="E2225" s="2" t="s">
        <v>27</v>
      </c>
      <c r="F2225" s="2">
        <f t="shared" si="358"/>
        <v>2230</v>
      </c>
      <c r="G2225" s="3">
        <v>1</v>
      </c>
      <c r="H2225">
        <v>2240</v>
      </c>
      <c r="I2225">
        <v>950</v>
      </c>
      <c r="J2225">
        <v>20772</v>
      </c>
      <c r="K2225">
        <v>19840</v>
      </c>
      <c r="L2225" s="2">
        <v>28.328125000000004</v>
      </c>
      <c r="M2225" s="5">
        <v>226.94399999999996</v>
      </c>
      <c r="N2225" s="1">
        <v>299.69229999999999</v>
      </c>
      <c r="O2225" s="2">
        <v>0.9</v>
      </c>
      <c r="P2225">
        <v>317</v>
      </c>
    </row>
    <row r="2226" spans="1:16" x14ac:dyDescent="0.35">
      <c r="A2226" s="4">
        <v>45413</v>
      </c>
      <c r="B2226" t="s">
        <v>22</v>
      </c>
      <c r="C2226" t="s">
        <v>14</v>
      </c>
      <c r="D2226">
        <v>1</v>
      </c>
      <c r="E2226" s="2">
        <f>(2200+2240+2300+2180)/4</f>
        <v>2230</v>
      </c>
      <c r="F2226" s="2">
        <f>(2200+2240+2300+2180)/4</f>
        <v>2230</v>
      </c>
      <c r="G2226" s="3">
        <v>1</v>
      </c>
      <c r="H2226">
        <v>2240</v>
      </c>
      <c r="I2226">
        <v>950</v>
      </c>
      <c r="J2226">
        <v>20772</v>
      </c>
      <c r="K2226">
        <v>19840</v>
      </c>
      <c r="L2226" s="2">
        <v>28.328125000000004</v>
      </c>
      <c r="M2226" s="5">
        <v>226.94399999999996</v>
      </c>
      <c r="N2226" s="1">
        <v>299.69229999999999</v>
      </c>
      <c r="O2226" s="2">
        <v>0.9</v>
      </c>
      <c r="P2226">
        <v>317</v>
      </c>
    </row>
    <row r="2227" spans="1:16" x14ac:dyDescent="0.35">
      <c r="A2227" s="4">
        <v>45413</v>
      </c>
      <c r="B2227" t="s">
        <v>22</v>
      </c>
      <c r="C2227" t="s">
        <v>15</v>
      </c>
      <c r="D2227">
        <v>0</v>
      </c>
      <c r="E2227" s="2" t="s">
        <v>27</v>
      </c>
      <c r="F2227" s="2">
        <f>(2200+2240+2300+2180)/4</f>
        <v>2230</v>
      </c>
      <c r="G2227" s="3">
        <v>1</v>
      </c>
      <c r="H2227">
        <v>2240</v>
      </c>
      <c r="I2227">
        <v>950</v>
      </c>
      <c r="J2227">
        <v>20772</v>
      </c>
      <c r="K2227">
        <v>19840</v>
      </c>
      <c r="L2227" s="2">
        <v>28.328125000000004</v>
      </c>
      <c r="M2227" s="5">
        <v>226.94399999999996</v>
      </c>
      <c r="N2227" s="1">
        <v>299.69229999999999</v>
      </c>
      <c r="O2227" s="2">
        <v>0.9</v>
      </c>
      <c r="P2227">
        <v>317</v>
      </c>
    </row>
    <row r="2228" spans="1:16" x14ac:dyDescent="0.35">
      <c r="A2228" s="4">
        <v>45444</v>
      </c>
      <c r="B2228" t="s">
        <v>16</v>
      </c>
      <c r="C2228" t="s">
        <v>10</v>
      </c>
      <c r="D2228">
        <v>1</v>
      </c>
      <c r="E2228" s="2">
        <f>(4633+4900*2+4566)/4</f>
        <v>4749.75</v>
      </c>
      <c r="F2228" s="2">
        <f>(4775.75+4823.75+4786.25+4620.33)/4</f>
        <v>4751.5200000000004</v>
      </c>
      <c r="G2228" s="3">
        <v>1</v>
      </c>
      <c r="H2228">
        <v>3360</v>
      </c>
      <c r="I2228">
        <v>950</v>
      </c>
      <c r="J2228">
        <v>14032</v>
      </c>
      <c r="K2228">
        <v>14880</v>
      </c>
      <c r="L2228" s="2">
        <v>27.524374999999992</v>
      </c>
      <c r="M2228" s="5">
        <v>82.851499999999987</v>
      </c>
      <c r="N2228" s="1">
        <v>303.81209999999999</v>
      </c>
      <c r="O2228" s="2">
        <v>1.7</v>
      </c>
      <c r="P2228">
        <v>317</v>
      </c>
    </row>
    <row r="2229" spans="1:16" x14ac:dyDescent="0.35">
      <c r="A2229" s="4">
        <v>45444</v>
      </c>
      <c r="B2229" t="s">
        <v>16</v>
      </c>
      <c r="C2229" t="s">
        <v>11</v>
      </c>
      <c r="D2229">
        <v>0</v>
      </c>
      <c r="E2229" s="2" t="s">
        <v>27</v>
      </c>
      <c r="F2229" s="2">
        <f t="shared" ref="F2229:F2233" si="359">(4775.75+4823.75+4786.25+4620.33)/4</f>
        <v>4751.5200000000004</v>
      </c>
      <c r="G2229" s="3">
        <v>1</v>
      </c>
      <c r="H2229">
        <v>3360</v>
      </c>
      <c r="I2229">
        <v>950</v>
      </c>
      <c r="J2229">
        <v>14032</v>
      </c>
      <c r="K2229">
        <v>14880</v>
      </c>
      <c r="L2229" s="2">
        <v>27.524374999999992</v>
      </c>
      <c r="M2229" s="5">
        <v>82.851499999999987</v>
      </c>
      <c r="N2229" s="1">
        <v>303.81209999999999</v>
      </c>
      <c r="O2229" s="2">
        <v>1.7</v>
      </c>
      <c r="P2229">
        <v>317</v>
      </c>
    </row>
    <row r="2230" spans="1:16" x14ac:dyDescent="0.35">
      <c r="A2230" s="4">
        <v>45444</v>
      </c>
      <c r="B2230" t="s">
        <v>16</v>
      </c>
      <c r="C2230" t="s">
        <v>12</v>
      </c>
      <c r="D2230">
        <v>1</v>
      </c>
      <c r="E2230" s="2">
        <v>4795</v>
      </c>
      <c r="F2230" s="2">
        <f t="shared" si="359"/>
        <v>4751.5200000000004</v>
      </c>
      <c r="G2230" s="3">
        <v>1</v>
      </c>
      <c r="H2230">
        <v>3360</v>
      </c>
      <c r="I2230">
        <v>950</v>
      </c>
      <c r="J2230">
        <v>14032</v>
      </c>
      <c r="K2230">
        <v>14880</v>
      </c>
      <c r="L2230" s="2">
        <v>27.524374999999992</v>
      </c>
      <c r="M2230" s="5">
        <v>82.851499999999987</v>
      </c>
      <c r="N2230" s="1">
        <v>303.81209999999999</v>
      </c>
      <c r="O2230" s="2">
        <v>1.7</v>
      </c>
      <c r="P2230">
        <v>317</v>
      </c>
    </row>
    <row r="2231" spans="1:16" x14ac:dyDescent="0.35">
      <c r="A2231" s="4">
        <v>45444</v>
      </c>
      <c r="B2231" t="s">
        <v>16</v>
      </c>
      <c r="C2231" t="s">
        <v>13</v>
      </c>
      <c r="D2231">
        <v>1</v>
      </c>
      <c r="E2231" s="2">
        <f>(4850*2+4750)/3</f>
        <v>4816.666666666667</v>
      </c>
      <c r="F2231" s="2">
        <f t="shared" si="359"/>
        <v>4751.5200000000004</v>
      </c>
      <c r="G2231" s="3">
        <v>1</v>
      </c>
      <c r="H2231">
        <v>3360</v>
      </c>
      <c r="I2231">
        <v>950</v>
      </c>
      <c r="J2231">
        <v>14032</v>
      </c>
      <c r="K2231">
        <v>14880</v>
      </c>
      <c r="L2231" s="2">
        <v>27.524374999999992</v>
      </c>
      <c r="M2231" s="5">
        <v>82.851499999999987</v>
      </c>
      <c r="N2231" s="1">
        <v>303.81209999999999</v>
      </c>
      <c r="O2231" s="2">
        <v>1.7</v>
      </c>
      <c r="P2231">
        <v>317</v>
      </c>
    </row>
    <row r="2232" spans="1:16" x14ac:dyDescent="0.35">
      <c r="A2232" s="4">
        <v>45444</v>
      </c>
      <c r="B2232" t="s">
        <v>16</v>
      </c>
      <c r="C2232" t="s">
        <v>14</v>
      </c>
      <c r="D2232">
        <v>1</v>
      </c>
      <c r="E2232" s="2">
        <f>(4500+4600+4850+4825)/4</f>
        <v>4693.75</v>
      </c>
      <c r="F2232" s="2">
        <f t="shared" si="359"/>
        <v>4751.5200000000004</v>
      </c>
      <c r="G2232" s="3">
        <v>1</v>
      </c>
      <c r="H2232">
        <v>3360</v>
      </c>
      <c r="I2232">
        <v>950</v>
      </c>
      <c r="J2232">
        <v>14032</v>
      </c>
      <c r="K2232">
        <v>14880</v>
      </c>
      <c r="L2232" s="2">
        <v>27.524374999999992</v>
      </c>
      <c r="M2232" s="5">
        <v>82.851499999999987</v>
      </c>
      <c r="N2232" s="1">
        <v>303.81209999999999</v>
      </c>
      <c r="O2232" s="2">
        <v>1.7</v>
      </c>
      <c r="P2232">
        <v>317</v>
      </c>
    </row>
    <row r="2233" spans="1:16" x14ac:dyDescent="0.35">
      <c r="A2233" s="4">
        <v>45444</v>
      </c>
      <c r="B2233" t="s">
        <v>16</v>
      </c>
      <c r="C2233" t="s">
        <v>15</v>
      </c>
      <c r="D2233">
        <v>0</v>
      </c>
      <c r="E2233" s="2" t="s">
        <v>27</v>
      </c>
      <c r="F2233" s="2">
        <f t="shared" si="359"/>
        <v>4751.5200000000004</v>
      </c>
      <c r="G2233" s="3">
        <v>1</v>
      </c>
      <c r="H2233">
        <v>3360</v>
      </c>
      <c r="I2233">
        <v>950</v>
      </c>
      <c r="J2233">
        <v>14032</v>
      </c>
      <c r="K2233">
        <v>14880</v>
      </c>
      <c r="L2233" s="2">
        <v>27.524374999999992</v>
      </c>
      <c r="M2233" s="5">
        <v>82.851499999999987</v>
      </c>
      <c r="N2233" s="1">
        <v>303.81209999999999</v>
      </c>
      <c r="O2233" s="2">
        <v>1.7</v>
      </c>
      <c r="P2233">
        <v>317</v>
      </c>
    </row>
    <row r="2234" spans="1:16" x14ac:dyDescent="0.35">
      <c r="A2234" s="4">
        <v>45444</v>
      </c>
      <c r="B2234" t="s">
        <v>17</v>
      </c>
      <c r="C2234" t="s">
        <v>10</v>
      </c>
      <c r="D2234">
        <v>1</v>
      </c>
      <c r="E2234" s="2">
        <f>(3533+4012+4033+3933)/4</f>
        <v>3877.75</v>
      </c>
      <c r="F2234" s="2">
        <f>(3788+3811.2+3837+3685)/4</f>
        <v>3780.3</v>
      </c>
      <c r="G2234" s="3">
        <v>1</v>
      </c>
      <c r="H2234">
        <v>3360</v>
      </c>
      <c r="I2234">
        <v>950</v>
      </c>
      <c r="J2234">
        <v>14032</v>
      </c>
      <c r="K2234">
        <v>14880</v>
      </c>
      <c r="L2234" s="2">
        <v>27.524374999999992</v>
      </c>
      <c r="M2234" s="5">
        <v>82.851499999999987</v>
      </c>
      <c r="N2234" s="1">
        <v>303.81209999999999</v>
      </c>
      <c r="O2234" s="2">
        <v>1.7</v>
      </c>
      <c r="P2234">
        <v>317</v>
      </c>
    </row>
    <row r="2235" spans="1:16" x14ac:dyDescent="0.35">
      <c r="A2235" s="4">
        <v>45444</v>
      </c>
      <c r="B2235" t="s">
        <v>17</v>
      </c>
      <c r="C2235" t="s">
        <v>11</v>
      </c>
      <c r="D2235">
        <v>1</v>
      </c>
      <c r="E2235" s="2">
        <v>3725</v>
      </c>
      <c r="F2235" s="2">
        <f t="shared" ref="F2235:F2239" si="360">(3788+3811.2+3837+3685)/4</f>
        <v>3780.3</v>
      </c>
      <c r="G2235" s="3">
        <v>1</v>
      </c>
      <c r="H2235">
        <v>3360</v>
      </c>
      <c r="I2235">
        <v>950</v>
      </c>
      <c r="J2235">
        <v>14032</v>
      </c>
      <c r="K2235">
        <v>14880</v>
      </c>
      <c r="L2235" s="2">
        <v>27.524374999999992</v>
      </c>
      <c r="M2235" s="5">
        <v>82.851499999999987</v>
      </c>
      <c r="N2235" s="1">
        <v>303.81209999999999</v>
      </c>
      <c r="O2235" s="2">
        <v>1.7</v>
      </c>
      <c r="P2235">
        <v>317</v>
      </c>
    </row>
    <row r="2236" spans="1:16" x14ac:dyDescent="0.35">
      <c r="A2236" s="4">
        <v>45444</v>
      </c>
      <c r="B2236" t="s">
        <v>17</v>
      </c>
      <c r="C2236" t="s">
        <v>12</v>
      </c>
      <c r="D2236">
        <v>1</v>
      </c>
      <c r="E2236" s="2">
        <v>3790</v>
      </c>
      <c r="F2236" s="2">
        <f t="shared" si="360"/>
        <v>3780.3</v>
      </c>
      <c r="G2236" s="3">
        <v>1</v>
      </c>
      <c r="H2236">
        <v>3360</v>
      </c>
      <c r="I2236">
        <v>950</v>
      </c>
      <c r="J2236">
        <v>14032</v>
      </c>
      <c r="K2236">
        <v>14880</v>
      </c>
      <c r="L2236" s="2">
        <v>27.524374999999992</v>
      </c>
      <c r="M2236" s="5">
        <v>82.851499999999987</v>
      </c>
      <c r="N2236" s="1">
        <v>303.81209999999999</v>
      </c>
      <c r="O2236" s="2">
        <v>1.7</v>
      </c>
      <c r="P2236">
        <v>317</v>
      </c>
    </row>
    <row r="2237" spans="1:16" x14ac:dyDescent="0.35">
      <c r="A2237" s="4">
        <v>45444</v>
      </c>
      <c r="B2237" t="s">
        <v>17</v>
      </c>
      <c r="C2237" t="s">
        <v>13</v>
      </c>
      <c r="D2237">
        <v>1</v>
      </c>
      <c r="E2237" s="2">
        <f>(3650+3850+3950)/3</f>
        <v>3816.6666666666665</v>
      </c>
      <c r="F2237" s="2">
        <f t="shared" si="360"/>
        <v>3780.3</v>
      </c>
      <c r="G2237" s="3">
        <v>1</v>
      </c>
      <c r="H2237">
        <v>3360</v>
      </c>
      <c r="I2237">
        <v>950</v>
      </c>
      <c r="J2237">
        <v>14032</v>
      </c>
      <c r="K2237">
        <v>14880</v>
      </c>
      <c r="L2237" s="2">
        <v>27.524374999999992</v>
      </c>
      <c r="M2237" s="5">
        <v>82.851499999999987</v>
      </c>
      <c r="N2237" s="1">
        <v>303.81209999999999</v>
      </c>
      <c r="O2237" s="2">
        <v>1.7</v>
      </c>
      <c r="P2237">
        <v>317</v>
      </c>
    </row>
    <row r="2238" spans="1:16" x14ac:dyDescent="0.35">
      <c r="A2238" s="4">
        <v>45444</v>
      </c>
      <c r="B2238" t="s">
        <v>17</v>
      </c>
      <c r="C2238" t="s">
        <v>14</v>
      </c>
      <c r="D2238">
        <v>1</v>
      </c>
      <c r="E2238" s="2">
        <f>(3667+3733+3833+3667)/4</f>
        <v>3725</v>
      </c>
      <c r="F2238" s="2">
        <f t="shared" si="360"/>
        <v>3780.3</v>
      </c>
      <c r="G2238" s="3">
        <v>1</v>
      </c>
      <c r="H2238">
        <v>3360</v>
      </c>
      <c r="I2238">
        <v>950</v>
      </c>
      <c r="J2238">
        <v>14032</v>
      </c>
      <c r="K2238">
        <v>14880</v>
      </c>
      <c r="L2238" s="2">
        <v>27.524374999999992</v>
      </c>
      <c r="M2238" s="5">
        <v>82.851499999999987</v>
      </c>
      <c r="N2238" s="1">
        <v>303.81209999999999</v>
      </c>
      <c r="O2238" s="2">
        <v>1.7</v>
      </c>
      <c r="P2238">
        <v>317</v>
      </c>
    </row>
    <row r="2239" spans="1:16" x14ac:dyDescent="0.35">
      <c r="A2239" s="4">
        <v>45444</v>
      </c>
      <c r="B2239" t="s">
        <v>17</v>
      </c>
      <c r="C2239" t="s">
        <v>15</v>
      </c>
      <c r="D2239">
        <v>0</v>
      </c>
      <c r="E2239" s="2" t="s">
        <v>27</v>
      </c>
      <c r="F2239" s="2">
        <f t="shared" si="360"/>
        <v>3780.3</v>
      </c>
      <c r="G2239" s="3">
        <v>1</v>
      </c>
      <c r="H2239">
        <v>3360</v>
      </c>
      <c r="I2239">
        <v>950</v>
      </c>
      <c r="J2239">
        <v>14032</v>
      </c>
      <c r="K2239">
        <v>14880</v>
      </c>
      <c r="L2239" s="2">
        <v>27.524374999999992</v>
      </c>
      <c r="M2239" s="5">
        <v>82.851499999999987</v>
      </c>
      <c r="N2239" s="1">
        <v>303.81209999999999</v>
      </c>
      <c r="O2239" s="2">
        <v>1.7</v>
      </c>
      <c r="P2239">
        <v>317</v>
      </c>
    </row>
    <row r="2240" spans="1:16" x14ac:dyDescent="0.35">
      <c r="A2240" s="4">
        <v>45444</v>
      </c>
      <c r="B2240" t="s">
        <v>18</v>
      </c>
      <c r="C2240" t="s">
        <v>10</v>
      </c>
      <c r="D2240">
        <v>1</v>
      </c>
      <c r="E2240" s="2">
        <f>(3233+3738+3633+3533)/4</f>
        <v>3534.25</v>
      </c>
      <c r="F2240" s="2">
        <f>(3456.63+3517.56+3497.56+3496.22)/4</f>
        <v>3491.9924999999998</v>
      </c>
      <c r="G2240" s="3">
        <v>1</v>
      </c>
      <c r="H2240">
        <v>3360</v>
      </c>
      <c r="I2240">
        <v>950</v>
      </c>
      <c r="J2240">
        <v>14032</v>
      </c>
      <c r="K2240">
        <v>14880</v>
      </c>
      <c r="L2240" s="2">
        <v>27.524374999999992</v>
      </c>
      <c r="M2240" s="5">
        <v>82.851499999999987</v>
      </c>
      <c r="N2240" s="1">
        <v>303.81209999999999</v>
      </c>
      <c r="O2240" s="2">
        <v>1.7</v>
      </c>
      <c r="P2240">
        <v>317</v>
      </c>
    </row>
    <row r="2241" spans="1:16" x14ac:dyDescent="0.35">
      <c r="A2241" s="4">
        <v>45444</v>
      </c>
      <c r="B2241" t="s">
        <v>18</v>
      </c>
      <c r="C2241" t="s">
        <v>11</v>
      </c>
      <c r="D2241">
        <v>1</v>
      </c>
      <c r="E2241" s="2">
        <v>3500</v>
      </c>
      <c r="F2241" s="2">
        <f t="shared" ref="F2241:F2245" si="361">(3456.63+3517.56+3497.56+3496.22)/4</f>
        <v>3491.9924999999998</v>
      </c>
      <c r="G2241" s="3">
        <v>1</v>
      </c>
      <c r="H2241">
        <v>3360</v>
      </c>
      <c r="I2241">
        <v>950</v>
      </c>
      <c r="J2241">
        <v>14032</v>
      </c>
      <c r="K2241">
        <v>14880</v>
      </c>
      <c r="L2241" s="2">
        <v>27.524374999999992</v>
      </c>
      <c r="M2241" s="5">
        <v>82.851499999999987</v>
      </c>
      <c r="N2241" s="1">
        <v>303.81209999999999</v>
      </c>
      <c r="O2241" s="2">
        <v>1.7</v>
      </c>
      <c r="P2241">
        <v>317</v>
      </c>
    </row>
    <row r="2242" spans="1:16" x14ac:dyDescent="0.35">
      <c r="A2242" s="4">
        <v>45444</v>
      </c>
      <c r="B2242" t="s">
        <v>18</v>
      </c>
      <c r="C2242" t="s">
        <v>12</v>
      </c>
      <c r="D2242">
        <v>1</v>
      </c>
      <c r="E2242" s="2">
        <v>3470</v>
      </c>
      <c r="F2242" s="2">
        <f t="shared" si="361"/>
        <v>3491.9924999999998</v>
      </c>
      <c r="G2242" s="3">
        <v>1</v>
      </c>
      <c r="H2242">
        <v>3360</v>
      </c>
      <c r="I2242">
        <v>950</v>
      </c>
      <c r="J2242">
        <v>14032</v>
      </c>
      <c r="K2242">
        <v>14880</v>
      </c>
      <c r="L2242" s="2">
        <v>27.524374999999992</v>
      </c>
      <c r="M2242" s="5">
        <v>82.851499999999987</v>
      </c>
      <c r="N2242" s="1">
        <v>303.81209999999999</v>
      </c>
      <c r="O2242" s="2">
        <v>1.7</v>
      </c>
      <c r="P2242">
        <v>317</v>
      </c>
    </row>
    <row r="2243" spans="1:16" x14ac:dyDescent="0.35">
      <c r="A2243" s="4">
        <v>45444</v>
      </c>
      <c r="B2243" t="s">
        <v>18</v>
      </c>
      <c r="C2243" t="s">
        <v>13</v>
      </c>
      <c r="D2243">
        <v>1</v>
      </c>
      <c r="E2243" s="2">
        <v>3433.33</v>
      </c>
      <c r="F2243" s="2">
        <f t="shared" si="361"/>
        <v>3491.9924999999998</v>
      </c>
      <c r="G2243" s="3">
        <v>1</v>
      </c>
      <c r="H2243">
        <v>3360</v>
      </c>
      <c r="I2243">
        <v>950</v>
      </c>
      <c r="J2243">
        <v>14032</v>
      </c>
      <c r="K2243">
        <v>14880</v>
      </c>
      <c r="L2243" s="2">
        <v>27.524374999999992</v>
      </c>
      <c r="M2243" s="5">
        <v>82.851499999999987</v>
      </c>
      <c r="N2243" s="1">
        <v>303.81209999999999</v>
      </c>
      <c r="O2243" s="2">
        <v>1.7</v>
      </c>
      <c r="P2243">
        <v>317</v>
      </c>
    </row>
    <row r="2244" spans="1:16" x14ac:dyDescent="0.35">
      <c r="A2244" s="4">
        <v>45444</v>
      </c>
      <c r="B2244" t="s">
        <v>18</v>
      </c>
      <c r="C2244" t="s">
        <v>14</v>
      </c>
      <c r="D2244">
        <v>1</v>
      </c>
      <c r="E2244" s="2">
        <f>(3350+3400+3375+3263)/4</f>
        <v>3347</v>
      </c>
      <c r="F2244" s="2">
        <f t="shared" si="361"/>
        <v>3491.9924999999998</v>
      </c>
      <c r="G2244" s="3">
        <v>1</v>
      </c>
      <c r="H2244">
        <v>3360</v>
      </c>
      <c r="I2244">
        <v>950</v>
      </c>
      <c r="J2244">
        <v>14032</v>
      </c>
      <c r="K2244">
        <v>14880</v>
      </c>
      <c r="L2244" s="2">
        <v>27.524374999999992</v>
      </c>
      <c r="M2244" s="5">
        <v>82.851499999999987</v>
      </c>
      <c r="N2244" s="1">
        <v>303.81209999999999</v>
      </c>
      <c r="O2244" s="2">
        <v>1.7</v>
      </c>
      <c r="P2244">
        <v>317</v>
      </c>
    </row>
    <row r="2245" spans="1:16" x14ac:dyDescent="0.35">
      <c r="A2245" s="4">
        <v>45444</v>
      </c>
      <c r="B2245" t="s">
        <v>18</v>
      </c>
      <c r="C2245" t="s">
        <v>15</v>
      </c>
      <c r="D2245">
        <v>1</v>
      </c>
      <c r="E2245" s="2">
        <v>3462.5</v>
      </c>
      <c r="F2245" s="2">
        <f t="shared" si="361"/>
        <v>3491.9924999999998</v>
      </c>
      <c r="G2245" s="3">
        <v>1</v>
      </c>
      <c r="H2245">
        <v>3360</v>
      </c>
      <c r="I2245">
        <v>950</v>
      </c>
      <c r="J2245">
        <v>14032</v>
      </c>
      <c r="K2245">
        <v>14880</v>
      </c>
      <c r="L2245" s="2">
        <v>27.524374999999992</v>
      </c>
      <c r="M2245" s="5">
        <v>82.851499999999987</v>
      </c>
      <c r="N2245" s="1">
        <v>303.81209999999999</v>
      </c>
      <c r="O2245" s="2">
        <v>1.7</v>
      </c>
      <c r="P2245">
        <v>317</v>
      </c>
    </row>
    <row r="2246" spans="1:16" x14ac:dyDescent="0.35">
      <c r="A2246" s="4">
        <v>45444</v>
      </c>
      <c r="B2246" t="s">
        <v>19</v>
      </c>
      <c r="C2246" t="s">
        <v>10</v>
      </c>
      <c r="D2246">
        <v>1</v>
      </c>
      <c r="E2246" s="2">
        <f>(3060+2950+3100+3066)/4</f>
        <v>3044</v>
      </c>
      <c r="F2246" s="2">
        <f>(3152.78+3158.11+3170.22+3174.38)/4</f>
        <v>3163.8725000000004</v>
      </c>
      <c r="G2246" s="3">
        <v>1</v>
      </c>
      <c r="H2246">
        <v>3360</v>
      </c>
      <c r="I2246">
        <v>950</v>
      </c>
      <c r="J2246">
        <v>14032</v>
      </c>
      <c r="K2246">
        <v>14880</v>
      </c>
      <c r="L2246" s="2">
        <v>27.524374999999992</v>
      </c>
      <c r="M2246" s="5">
        <v>82.851499999999987</v>
      </c>
      <c r="N2246" s="1">
        <v>303.81209999999999</v>
      </c>
      <c r="O2246" s="2">
        <v>1.7</v>
      </c>
      <c r="P2246">
        <v>317</v>
      </c>
    </row>
    <row r="2247" spans="1:16" x14ac:dyDescent="0.35">
      <c r="A2247" s="4">
        <v>45444</v>
      </c>
      <c r="B2247" t="s">
        <v>19</v>
      </c>
      <c r="C2247" t="s">
        <v>11</v>
      </c>
      <c r="D2247">
        <v>1</v>
      </c>
      <c r="E2247" s="2">
        <v>3175</v>
      </c>
      <c r="F2247" s="2">
        <f t="shared" ref="F2247:F2251" si="362">(3152.78+3158.11+3170.22+3174.38)/4</f>
        <v>3163.8725000000004</v>
      </c>
      <c r="G2247" s="3">
        <v>1</v>
      </c>
      <c r="H2247">
        <v>3360</v>
      </c>
      <c r="I2247">
        <v>950</v>
      </c>
      <c r="J2247">
        <v>14032</v>
      </c>
      <c r="K2247">
        <v>14880</v>
      </c>
      <c r="L2247" s="2">
        <v>27.524374999999992</v>
      </c>
      <c r="M2247" s="5">
        <v>82.851499999999987</v>
      </c>
      <c r="N2247" s="1">
        <v>303.81209999999999</v>
      </c>
      <c r="O2247" s="2">
        <v>1.7</v>
      </c>
      <c r="P2247">
        <v>317</v>
      </c>
    </row>
    <row r="2248" spans="1:16" x14ac:dyDescent="0.35">
      <c r="A2248" s="4">
        <v>45444</v>
      </c>
      <c r="B2248" t="s">
        <v>19</v>
      </c>
      <c r="C2248" t="s">
        <v>12</v>
      </c>
      <c r="D2248">
        <v>1</v>
      </c>
      <c r="E2248" s="2">
        <v>3090</v>
      </c>
      <c r="F2248" s="2">
        <f t="shared" si="362"/>
        <v>3163.8725000000004</v>
      </c>
      <c r="G2248" s="3">
        <v>1</v>
      </c>
      <c r="H2248">
        <v>3360</v>
      </c>
      <c r="I2248">
        <v>950</v>
      </c>
      <c r="J2248">
        <v>14032</v>
      </c>
      <c r="K2248">
        <v>14880</v>
      </c>
      <c r="L2248" s="2">
        <v>27.524374999999992</v>
      </c>
      <c r="M2248" s="5">
        <v>82.851499999999987</v>
      </c>
      <c r="N2248" s="1">
        <v>303.81209999999999</v>
      </c>
      <c r="O2248" s="2">
        <v>1.7</v>
      </c>
      <c r="P2248">
        <v>317</v>
      </c>
    </row>
    <row r="2249" spans="1:16" x14ac:dyDescent="0.35">
      <c r="A2249" s="4">
        <v>45444</v>
      </c>
      <c r="B2249" t="s">
        <v>19</v>
      </c>
      <c r="C2249" t="s">
        <v>13</v>
      </c>
      <c r="D2249">
        <v>1</v>
      </c>
      <c r="E2249" s="2">
        <v>3150</v>
      </c>
      <c r="F2249" s="2">
        <f t="shared" si="362"/>
        <v>3163.8725000000004</v>
      </c>
      <c r="G2249" s="3">
        <v>1</v>
      </c>
      <c r="H2249">
        <v>3360</v>
      </c>
      <c r="I2249">
        <v>950</v>
      </c>
      <c r="J2249">
        <v>14032</v>
      </c>
      <c r="K2249">
        <v>14880</v>
      </c>
      <c r="L2249" s="2">
        <v>27.524374999999992</v>
      </c>
      <c r="M2249" s="5">
        <v>82.851499999999987</v>
      </c>
      <c r="N2249" s="1">
        <v>303.81209999999999</v>
      </c>
      <c r="O2249" s="2">
        <v>1.7</v>
      </c>
      <c r="P2249">
        <v>317</v>
      </c>
    </row>
    <row r="2250" spans="1:16" x14ac:dyDescent="0.35">
      <c r="A2250" s="4">
        <v>45444</v>
      </c>
      <c r="B2250" t="s">
        <v>19</v>
      </c>
      <c r="C2250" t="s">
        <v>14</v>
      </c>
      <c r="D2250">
        <v>1</v>
      </c>
      <c r="E2250" s="2">
        <f>(3150+3183+3167+3214)/4</f>
        <v>3178.5</v>
      </c>
      <c r="F2250" s="2">
        <f t="shared" si="362"/>
        <v>3163.8725000000004</v>
      </c>
      <c r="G2250" s="3">
        <v>1</v>
      </c>
      <c r="H2250">
        <v>3360</v>
      </c>
      <c r="I2250">
        <v>950</v>
      </c>
      <c r="J2250">
        <v>14032</v>
      </c>
      <c r="K2250">
        <v>14880</v>
      </c>
      <c r="L2250" s="2">
        <v>27.524374999999992</v>
      </c>
      <c r="M2250" s="5">
        <v>82.851499999999987</v>
      </c>
      <c r="N2250" s="1">
        <v>303.81209999999999</v>
      </c>
      <c r="O2250" s="2">
        <v>1.7</v>
      </c>
      <c r="P2250">
        <v>317</v>
      </c>
    </row>
    <row r="2251" spans="1:16" x14ac:dyDescent="0.35">
      <c r="A2251" s="4">
        <v>45444</v>
      </c>
      <c r="B2251" t="s">
        <v>19</v>
      </c>
      <c r="C2251" t="s">
        <v>15</v>
      </c>
      <c r="D2251">
        <v>1</v>
      </c>
      <c r="E2251" s="2">
        <v>3206.25</v>
      </c>
      <c r="F2251" s="2">
        <f t="shared" si="362"/>
        <v>3163.8725000000004</v>
      </c>
      <c r="G2251" s="3">
        <v>1</v>
      </c>
      <c r="H2251">
        <v>3360</v>
      </c>
      <c r="I2251">
        <v>950</v>
      </c>
      <c r="J2251">
        <v>14032</v>
      </c>
      <c r="K2251">
        <v>14880</v>
      </c>
      <c r="L2251" s="2">
        <v>27.524374999999992</v>
      </c>
      <c r="M2251" s="5">
        <v>82.851499999999987</v>
      </c>
      <c r="N2251" s="1">
        <v>303.81209999999999</v>
      </c>
      <c r="O2251" s="2">
        <v>1.7</v>
      </c>
      <c r="P2251">
        <v>317</v>
      </c>
    </row>
    <row r="2252" spans="1:16" x14ac:dyDescent="0.35">
      <c r="A2252" s="4">
        <v>45444</v>
      </c>
      <c r="B2252" t="s">
        <v>20</v>
      </c>
      <c r="C2252" t="s">
        <v>10</v>
      </c>
      <c r="D2252">
        <v>1</v>
      </c>
      <c r="E2252" s="2">
        <f>(2633+2550+2466+2533)/4</f>
        <v>2545.5</v>
      </c>
      <c r="F2252" s="2">
        <f>(2698.5+2688.25+2699.38+2648.33)/4</f>
        <v>2683.6149999999998</v>
      </c>
      <c r="G2252" s="3">
        <v>1</v>
      </c>
      <c r="H2252">
        <v>3360</v>
      </c>
      <c r="I2252">
        <v>950</v>
      </c>
      <c r="J2252">
        <v>14032</v>
      </c>
      <c r="K2252">
        <v>14880</v>
      </c>
      <c r="L2252" s="2">
        <v>27.524374999999992</v>
      </c>
      <c r="M2252" s="5">
        <v>82.851499999999987</v>
      </c>
      <c r="N2252" s="1">
        <v>303.81209999999999</v>
      </c>
      <c r="O2252" s="2">
        <v>1.7</v>
      </c>
      <c r="P2252">
        <v>317</v>
      </c>
    </row>
    <row r="2253" spans="1:16" x14ac:dyDescent="0.35">
      <c r="A2253" s="4">
        <v>45444</v>
      </c>
      <c r="B2253" t="s">
        <v>20</v>
      </c>
      <c r="C2253" t="s">
        <v>11</v>
      </c>
      <c r="D2253">
        <v>1</v>
      </c>
      <c r="E2253" s="2">
        <v>2600</v>
      </c>
      <c r="F2253" s="2">
        <f t="shared" ref="F2253:F2257" si="363">(2698.5+2688.25+2699.38+2648.33)/4</f>
        <v>2683.6149999999998</v>
      </c>
      <c r="G2253" s="3">
        <v>1</v>
      </c>
      <c r="H2253">
        <v>3360</v>
      </c>
      <c r="I2253">
        <v>950</v>
      </c>
      <c r="J2253">
        <v>14032</v>
      </c>
      <c r="K2253">
        <v>14880</v>
      </c>
      <c r="L2253" s="2">
        <v>27.524374999999992</v>
      </c>
      <c r="M2253" s="5">
        <v>82.851499999999987</v>
      </c>
      <c r="N2253" s="1">
        <v>303.81209999999999</v>
      </c>
      <c r="O2253" s="2">
        <v>1.7</v>
      </c>
      <c r="P2253">
        <v>317</v>
      </c>
    </row>
    <row r="2254" spans="1:16" x14ac:dyDescent="0.35">
      <c r="A2254" s="4">
        <v>45444</v>
      </c>
      <c r="B2254" t="s">
        <v>20</v>
      </c>
      <c r="C2254" t="s">
        <v>12</v>
      </c>
      <c r="D2254">
        <v>1</v>
      </c>
      <c r="E2254" s="2">
        <v>2190</v>
      </c>
      <c r="F2254" s="2">
        <f t="shared" si="363"/>
        <v>2683.6149999999998</v>
      </c>
      <c r="G2254" s="3">
        <v>1</v>
      </c>
      <c r="H2254">
        <v>3360</v>
      </c>
      <c r="I2254">
        <v>950</v>
      </c>
      <c r="J2254">
        <v>14032</v>
      </c>
      <c r="K2254">
        <v>14880</v>
      </c>
      <c r="L2254" s="2">
        <v>27.524374999999992</v>
      </c>
      <c r="M2254" s="5">
        <v>82.851499999999987</v>
      </c>
      <c r="N2254" s="1">
        <v>303.81209999999999</v>
      </c>
      <c r="O2254" s="2">
        <v>1.7</v>
      </c>
      <c r="P2254">
        <v>317</v>
      </c>
    </row>
    <row r="2255" spans="1:16" x14ac:dyDescent="0.35">
      <c r="A2255" s="4">
        <v>45444</v>
      </c>
      <c r="B2255" t="s">
        <v>20</v>
      </c>
      <c r="C2255" t="s">
        <v>13</v>
      </c>
      <c r="D2255">
        <v>1</v>
      </c>
      <c r="E2255" s="2">
        <f>(2975+2900+2750)/3</f>
        <v>2875</v>
      </c>
      <c r="F2255" s="2">
        <f t="shared" si="363"/>
        <v>2683.6149999999998</v>
      </c>
      <c r="G2255" s="3">
        <v>1</v>
      </c>
      <c r="H2255">
        <v>3360</v>
      </c>
      <c r="I2255">
        <v>950</v>
      </c>
      <c r="J2255">
        <v>14032</v>
      </c>
      <c r="K2255">
        <v>14880</v>
      </c>
      <c r="L2255" s="2">
        <v>27.524374999999992</v>
      </c>
      <c r="M2255" s="5">
        <v>82.851499999999987</v>
      </c>
      <c r="N2255" s="1">
        <v>303.81209999999999</v>
      </c>
      <c r="O2255" s="2">
        <v>1.7</v>
      </c>
      <c r="P2255">
        <v>317</v>
      </c>
    </row>
    <row r="2256" spans="1:16" x14ac:dyDescent="0.35">
      <c r="A2256" s="4">
        <v>45444</v>
      </c>
      <c r="B2256" t="s">
        <v>20</v>
      </c>
      <c r="C2256" t="s">
        <v>14</v>
      </c>
      <c r="D2256">
        <v>1</v>
      </c>
      <c r="E2256" s="2">
        <f>(2840+2900+2880+2867)/4</f>
        <v>2871.75</v>
      </c>
      <c r="F2256" s="2">
        <f t="shared" si="363"/>
        <v>2683.6149999999998</v>
      </c>
      <c r="G2256" s="3">
        <v>1</v>
      </c>
      <c r="H2256">
        <v>3360</v>
      </c>
      <c r="I2256">
        <v>950</v>
      </c>
      <c r="J2256">
        <v>14032</v>
      </c>
      <c r="K2256">
        <v>14880</v>
      </c>
      <c r="L2256" s="2">
        <v>27.524374999999992</v>
      </c>
      <c r="M2256" s="5">
        <v>82.851499999999987</v>
      </c>
      <c r="N2256" s="1">
        <v>303.81209999999999</v>
      </c>
      <c r="O2256" s="2">
        <v>1.7</v>
      </c>
      <c r="P2256">
        <v>317</v>
      </c>
    </row>
    <row r="2257" spans="1:16" x14ac:dyDescent="0.35">
      <c r="A2257" s="4">
        <v>45444</v>
      </c>
      <c r="B2257" t="s">
        <v>20</v>
      </c>
      <c r="C2257" t="s">
        <v>15</v>
      </c>
      <c r="D2257">
        <v>1</v>
      </c>
      <c r="E2257" s="2">
        <v>2900</v>
      </c>
      <c r="F2257" s="2">
        <f t="shared" si="363"/>
        <v>2683.6149999999998</v>
      </c>
      <c r="G2257" s="3">
        <v>1</v>
      </c>
      <c r="H2257">
        <v>3360</v>
      </c>
      <c r="I2257">
        <v>950</v>
      </c>
      <c r="J2257">
        <v>14032</v>
      </c>
      <c r="K2257">
        <v>14880</v>
      </c>
      <c r="L2257" s="2">
        <v>27.524374999999992</v>
      </c>
      <c r="M2257" s="5">
        <v>82.851499999999987</v>
      </c>
      <c r="N2257" s="1">
        <v>303.81209999999999</v>
      </c>
      <c r="O2257" s="2">
        <v>1.7</v>
      </c>
      <c r="P2257">
        <v>317</v>
      </c>
    </row>
    <row r="2258" spans="1:16" x14ac:dyDescent="0.35">
      <c r="A2258" s="4">
        <v>45444</v>
      </c>
      <c r="B2258" t="s">
        <v>21</v>
      </c>
      <c r="C2258" t="s">
        <v>10</v>
      </c>
      <c r="D2258">
        <v>1</v>
      </c>
      <c r="E2258" s="2">
        <v>2300</v>
      </c>
      <c r="F2258" s="2">
        <f>(2501.83+2489.29+2547.38+2545.75)/4</f>
        <v>2521.0625</v>
      </c>
      <c r="G2258" s="3">
        <v>1</v>
      </c>
      <c r="H2258">
        <v>3360</v>
      </c>
      <c r="I2258">
        <v>950</v>
      </c>
      <c r="J2258">
        <v>14032</v>
      </c>
      <c r="K2258">
        <v>14880</v>
      </c>
      <c r="L2258" s="2">
        <v>27.524374999999992</v>
      </c>
      <c r="M2258" s="5">
        <v>82.851499999999987</v>
      </c>
      <c r="N2258" s="1">
        <v>303.81209999999999</v>
      </c>
      <c r="O2258" s="2">
        <v>1.7</v>
      </c>
      <c r="P2258">
        <v>317</v>
      </c>
    </row>
    <row r="2259" spans="1:16" x14ac:dyDescent="0.35">
      <c r="A2259" s="4">
        <v>45444</v>
      </c>
      <c r="B2259" t="s">
        <v>21</v>
      </c>
      <c r="C2259" t="s">
        <v>11</v>
      </c>
      <c r="D2259">
        <v>1</v>
      </c>
      <c r="E2259" s="2">
        <v>2500</v>
      </c>
      <c r="F2259" s="2">
        <f t="shared" ref="F2259:F2263" si="364">(2501.83+2489.29+2547.38+2545.75)/4</f>
        <v>2521.0625</v>
      </c>
      <c r="G2259" s="3">
        <v>1</v>
      </c>
      <c r="H2259">
        <v>3360</v>
      </c>
      <c r="I2259">
        <v>950</v>
      </c>
      <c r="J2259">
        <v>14032</v>
      </c>
      <c r="K2259">
        <v>14880</v>
      </c>
      <c r="L2259" s="2">
        <v>27.524374999999992</v>
      </c>
      <c r="M2259" s="5">
        <v>82.851499999999987</v>
      </c>
      <c r="N2259" s="1">
        <v>303.81209999999999</v>
      </c>
      <c r="O2259" s="2">
        <v>1.7</v>
      </c>
      <c r="P2259">
        <v>317</v>
      </c>
    </row>
    <row r="2260" spans="1:16" x14ac:dyDescent="0.35">
      <c r="A2260" s="4">
        <v>45444</v>
      </c>
      <c r="B2260" t="s">
        <v>21</v>
      </c>
      <c r="C2260" t="s">
        <v>12</v>
      </c>
      <c r="D2260">
        <v>1</v>
      </c>
      <c r="E2260" s="2">
        <v>2100</v>
      </c>
      <c r="F2260" s="2">
        <f t="shared" si="364"/>
        <v>2521.0625</v>
      </c>
      <c r="G2260" s="3">
        <v>1</v>
      </c>
      <c r="H2260">
        <v>3360</v>
      </c>
      <c r="I2260">
        <v>950</v>
      </c>
      <c r="J2260">
        <v>14032</v>
      </c>
      <c r="K2260">
        <v>14880</v>
      </c>
      <c r="L2260" s="2">
        <v>27.524374999999992</v>
      </c>
      <c r="M2260" s="5">
        <v>82.851499999999987</v>
      </c>
      <c r="N2260" s="1">
        <v>303.81209999999999</v>
      </c>
      <c r="O2260" s="2">
        <v>1.7</v>
      </c>
      <c r="P2260">
        <v>317</v>
      </c>
    </row>
    <row r="2261" spans="1:16" x14ac:dyDescent="0.35">
      <c r="A2261" s="4">
        <v>45444</v>
      </c>
      <c r="B2261" t="s">
        <v>21</v>
      </c>
      <c r="C2261" t="s">
        <v>13</v>
      </c>
      <c r="D2261">
        <v>1</v>
      </c>
      <c r="E2261" s="2">
        <v>2675</v>
      </c>
      <c r="F2261" s="2">
        <f t="shared" si="364"/>
        <v>2521.0625</v>
      </c>
      <c r="G2261" s="3">
        <v>1</v>
      </c>
      <c r="H2261">
        <v>3360</v>
      </c>
      <c r="I2261">
        <v>950</v>
      </c>
      <c r="J2261">
        <v>14032</v>
      </c>
      <c r="K2261">
        <v>14880</v>
      </c>
      <c r="L2261" s="2">
        <v>27.524374999999992</v>
      </c>
      <c r="M2261" s="5">
        <v>82.851499999999987</v>
      </c>
      <c r="N2261" s="1">
        <v>303.81209999999999</v>
      </c>
      <c r="O2261" s="2">
        <v>1.7</v>
      </c>
      <c r="P2261">
        <v>317</v>
      </c>
    </row>
    <row r="2262" spans="1:16" x14ac:dyDescent="0.35">
      <c r="A2262" s="4">
        <v>45444</v>
      </c>
      <c r="B2262" t="s">
        <v>21</v>
      </c>
      <c r="C2262" t="s">
        <v>14</v>
      </c>
      <c r="D2262">
        <v>1</v>
      </c>
      <c r="E2262" s="2">
        <f>(2786+2800+2779+2700)/4</f>
        <v>2766.25</v>
      </c>
      <c r="F2262" s="2">
        <f t="shared" si="364"/>
        <v>2521.0625</v>
      </c>
      <c r="G2262" s="3">
        <v>1</v>
      </c>
      <c r="H2262">
        <v>3360</v>
      </c>
      <c r="I2262">
        <v>950</v>
      </c>
      <c r="J2262">
        <v>14032</v>
      </c>
      <c r="K2262">
        <v>14880</v>
      </c>
      <c r="L2262" s="2">
        <v>27.524374999999992</v>
      </c>
      <c r="M2262" s="5">
        <v>82.851499999999987</v>
      </c>
      <c r="N2262" s="1">
        <v>303.81209999999999</v>
      </c>
      <c r="O2262" s="2">
        <v>1.7</v>
      </c>
      <c r="P2262">
        <v>317</v>
      </c>
    </row>
    <row r="2263" spans="1:16" x14ac:dyDescent="0.35">
      <c r="A2263" s="4">
        <v>45444</v>
      </c>
      <c r="B2263" t="s">
        <v>21</v>
      </c>
      <c r="C2263" t="s">
        <v>15</v>
      </c>
      <c r="D2263">
        <v>1</v>
      </c>
      <c r="E2263" s="2">
        <v>2825</v>
      </c>
      <c r="F2263" s="2">
        <f t="shared" si="364"/>
        <v>2521.0625</v>
      </c>
      <c r="G2263" s="3">
        <v>1</v>
      </c>
      <c r="H2263">
        <v>3360</v>
      </c>
      <c r="I2263">
        <v>950</v>
      </c>
      <c r="J2263">
        <v>14032</v>
      </c>
      <c r="K2263">
        <v>14880</v>
      </c>
      <c r="L2263" s="2">
        <v>27.524374999999992</v>
      </c>
      <c r="M2263" s="5">
        <v>82.851499999999987</v>
      </c>
      <c r="N2263" s="1">
        <v>303.81209999999999</v>
      </c>
      <c r="O2263" s="2">
        <v>1.7</v>
      </c>
      <c r="P2263">
        <v>317</v>
      </c>
    </row>
    <row r="2264" spans="1:16" x14ac:dyDescent="0.35">
      <c r="A2264" s="4">
        <v>45444</v>
      </c>
      <c r="B2264" t="s">
        <v>22</v>
      </c>
      <c r="C2264" t="s">
        <v>10</v>
      </c>
      <c r="D2264">
        <v>0</v>
      </c>
      <c r="E2264" s="2" t="s">
        <v>27</v>
      </c>
      <c r="F2264" s="2">
        <f t="shared" ref="F2264:F2267" si="365">(2180+2225+2250+2275)/4</f>
        <v>2232.5</v>
      </c>
      <c r="G2264" s="3">
        <v>1</v>
      </c>
      <c r="H2264">
        <v>3360</v>
      </c>
      <c r="I2264">
        <v>950</v>
      </c>
      <c r="J2264">
        <v>14032</v>
      </c>
      <c r="K2264">
        <v>14880</v>
      </c>
      <c r="L2264" s="2">
        <v>27.524374999999992</v>
      </c>
      <c r="M2264" s="5">
        <v>82.851499999999987</v>
      </c>
      <c r="N2264" s="1">
        <v>303.81209999999999</v>
      </c>
      <c r="O2264" s="2">
        <v>1.7</v>
      </c>
      <c r="P2264">
        <v>317</v>
      </c>
    </row>
    <row r="2265" spans="1:16" x14ac:dyDescent="0.35">
      <c r="A2265" s="4">
        <v>45444</v>
      </c>
      <c r="B2265" t="s">
        <v>22</v>
      </c>
      <c r="C2265" t="s">
        <v>11</v>
      </c>
      <c r="D2265">
        <v>0</v>
      </c>
      <c r="E2265" s="2" t="s">
        <v>27</v>
      </c>
      <c r="F2265" s="2">
        <f t="shared" si="365"/>
        <v>2232.5</v>
      </c>
      <c r="G2265" s="3">
        <v>1</v>
      </c>
      <c r="H2265">
        <v>3360</v>
      </c>
      <c r="I2265">
        <v>950</v>
      </c>
      <c r="J2265">
        <v>14032</v>
      </c>
      <c r="K2265">
        <v>14880</v>
      </c>
      <c r="L2265" s="2">
        <v>27.524374999999992</v>
      </c>
      <c r="M2265" s="5">
        <v>82.851499999999987</v>
      </c>
      <c r="N2265" s="1">
        <v>303.81209999999999</v>
      </c>
      <c r="O2265" s="2">
        <v>1.7</v>
      </c>
      <c r="P2265">
        <v>317</v>
      </c>
    </row>
    <row r="2266" spans="1:16" x14ac:dyDescent="0.35">
      <c r="A2266" s="4">
        <v>45444</v>
      </c>
      <c r="B2266" t="s">
        <v>22</v>
      </c>
      <c r="C2266" t="s">
        <v>12</v>
      </c>
      <c r="D2266">
        <v>0</v>
      </c>
      <c r="E2266" s="2" t="s">
        <v>27</v>
      </c>
      <c r="F2266" s="2">
        <f t="shared" si="365"/>
        <v>2232.5</v>
      </c>
      <c r="G2266" s="3">
        <v>1</v>
      </c>
      <c r="H2266">
        <v>3360</v>
      </c>
      <c r="I2266">
        <v>950</v>
      </c>
      <c r="J2266">
        <v>14032</v>
      </c>
      <c r="K2266">
        <v>14880</v>
      </c>
      <c r="L2266" s="2">
        <v>27.524374999999992</v>
      </c>
      <c r="M2266" s="5">
        <v>82.851499999999987</v>
      </c>
      <c r="N2266" s="1">
        <v>303.81209999999999</v>
      </c>
      <c r="O2266" s="2">
        <v>1.7</v>
      </c>
      <c r="P2266">
        <v>317</v>
      </c>
    </row>
    <row r="2267" spans="1:16" x14ac:dyDescent="0.35">
      <c r="A2267" s="4">
        <v>45444</v>
      </c>
      <c r="B2267" t="s">
        <v>22</v>
      </c>
      <c r="C2267" t="s">
        <v>13</v>
      </c>
      <c r="D2267">
        <v>0</v>
      </c>
      <c r="E2267" s="2" t="s">
        <v>27</v>
      </c>
      <c r="F2267" s="2">
        <f t="shared" si="365"/>
        <v>2232.5</v>
      </c>
      <c r="G2267" s="3">
        <v>1</v>
      </c>
      <c r="H2267">
        <v>3360</v>
      </c>
      <c r="I2267">
        <v>950</v>
      </c>
      <c r="J2267">
        <v>14032</v>
      </c>
      <c r="K2267">
        <v>14880</v>
      </c>
      <c r="L2267" s="2">
        <v>27.524374999999992</v>
      </c>
      <c r="M2267" s="5">
        <v>82.851499999999987</v>
      </c>
      <c r="N2267" s="1">
        <v>303.81209999999999</v>
      </c>
      <c r="O2267" s="2">
        <v>1.7</v>
      </c>
      <c r="P2267">
        <v>317</v>
      </c>
    </row>
    <row r="2268" spans="1:16" x14ac:dyDescent="0.35">
      <c r="A2268" s="4">
        <v>45444</v>
      </c>
      <c r="B2268" t="s">
        <v>22</v>
      </c>
      <c r="C2268" t="s">
        <v>14</v>
      </c>
      <c r="D2268">
        <v>1</v>
      </c>
      <c r="E2268" s="2">
        <f>(2180+2225+2250+2275)/4</f>
        <v>2232.5</v>
      </c>
      <c r="F2268" s="2">
        <f>(2180+2225+2250+2275)/4</f>
        <v>2232.5</v>
      </c>
      <c r="G2268" s="3">
        <v>1</v>
      </c>
      <c r="H2268">
        <v>3360</v>
      </c>
      <c r="I2268">
        <v>950</v>
      </c>
      <c r="J2268">
        <v>14032</v>
      </c>
      <c r="K2268">
        <v>14880</v>
      </c>
      <c r="L2268" s="2">
        <v>27.524374999999992</v>
      </c>
      <c r="M2268" s="5">
        <v>82.851499999999987</v>
      </c>
      <c r="N2268" s="1">
        <v>303.81209999999999</v>
      </c>
      <c r="O2268" s="2">
        <v>1.7</v>
      </c>
      <c r="P2268">
        <v>317</v>
      </c>
    </row>
    <row r="2269" spans="1:16" x14ac:dyDescent="0.35">
      <c r="A2269" s="4">
        <v>45444</v>
      </c>
      <c r="B2269" t="s">
        <v>22</v>
      </c>
      <c r="C2269" t="s">
        <v>15</v>
      </c>
      <c r="D2269">
        <v>0</v>
      </c>
      <c r="E2269" s="2" t="s">
        <v>27</v>
      </c>
      <c r="F2269" s="2">
        <f>(2180+2225+2250+2275)/4</f>
        <v>2232.5</v>
      </c>
      <c r="G2269" s="3">
        <v>1</v>
      </c>
      <c r="H2269">
        <v>3360</v>
      </c>
      <c r="I2269">
        <v>950</v>
      </c>
      <c r="J2269">
        <v>14032</v>
      </c>
      <c r="K2269">
        <v>14880</v>
      </c>
      <c r="L2269" s="2">
        <v>27.524374999999992</v>
      </c>
      <c r="M2269" s="5">
        <v>82.851499999999987</v>
      </c>
      <c r="N2269" s="1">
        <v>303.81209999999999</v>
      </c>
      <c r="O2269" s="2">
        <v>1.7</v>
      </c>
      <c r="P2269">
        <v>317</v>
      </c>
    </row>
    <row r="2270" spans="1:16" x14ac:dyDescent="0.35">
      <c r="A2270" s="4">
        <v>45474</v>
      </c>
      <c r="B2270" t="s">
        <v>16</v>
      </c>
      <c r="C2270" t="s">
        <v>10</v>
      </c>
      <c r="D2270">
        <v>1</v>
      </c>
      <c r="E2270" s="2">
        <f>(4100+4300+4333+4367)/4</f>
        <v>4275</v>
      </c>
      <c r="F2270" s="2">
        <f>(4344+4308.75+4180.75+4093.25)/4</f>
        <v>4231.6875</v>
      </c>
      <c r="G2270" s="3">
        <v>1</v>
      </c>
      <c r="H2270">
        <v>3360</v>
      </c>
      <c r="I2270">
        <v>760</v>
      </c>
      <c r="J2270">
        <v>13099</v>
      </c>
      <c r="K2270">
        <v>14880</v>
      </c>
      <c r="L2270" s="2">
        <v>27.481249999999999</v>
      </c>
      <c r="M2270" s="5">
        <v>67.393499999999989</v>
      </c>
      <c r="N2270" s="1">
        <v>303.7559</v>
      </c>
      <c r="O2270" s="2">
        <v>2.4</v>
      </c>
      <c r="P2270">
        <v>317</v>
      </c>
    </row>
    <row r="2271" spans="1:16" x14ac:dyDescent="0.35">
      <c r="A2271" s="4">
        <v>45474</v>
      </c>
      <c r="B2271" t="s">
        <v>16</v>
      </c>
      <c r="C2271" t="s">
        <v>11</v>
      </c>
      <c r="D2271">
        <v>0</v>
      </c>
      <c r="E2271" s="2" t="s">
        <v>27</v>
      </c>
      <c r="F2271" s="2">
        <f t="shared" ref="F2271:F2275" si="366">(4344+4308.75+4180.75+4093.25)/4</f>
        <v>4231.6875</v>
      </c>
      <c r="G2271" s="3">
        <v>1</v>
      </c>
      <c r="H2271">
        <v>3360</v>
      </c>
      <c r="I2271">
        <v>760</v>
      </c>
      <c r="J2271">
        <v>13099</v>
      </c>
      <c r="K2271">
        <v>14880</v>
      </c>
      <c r="L2271" s="2">
        <v>27.481249999999999</v>
      </c>
      <c r="M2271" s="5">
        <v>67.393499999999989</v>
      </c>
      <c r="N2271" s="1">
        <v>303.7559</v>
      </c>
      <c r="O2271" s="2">
        <v>2.4</v>
      </c>
      <c r="P2271">
        <v>317</v>
      </c>
    </row>
    <row r="2272" spans="1:16" x14ac:dyDescent="0.35">
      <c r="A2272" s="4">
        <v>45474</v>
      </c>
      <c r="B2272" t="s">
        <v>16</v>
      </c>
      <c r="C2272" t="s">
        <v>12</v>
      </c>
      <c r="D2272">
        <v>1</v>
      </c>
      <c r="E2272" s="2">
        <f>(4090+4485)/2</f>
        <v>4287.5</v>
      </c>
      <c r="F2272" s="2">
        <f t="shared" si="366"/>
        <v>4231.6875</v>
      </c>
      <c r="G2272" s="3">
        <v>1</v>
      </c>
      <c r="H2272">
        <v>3360</v>
      </c>
      <c r="I2272">
        <v>760</v>
      </c>
      <c r="J2272">
        <v>13099</v>
      </c>
      <c r="K2272">
        <v>14880</v>
      </c>
      <c r="L2272" s="2">
        <v>27.481249999999999</v>
      </c>
      <c r="M2272" s="5">
        <v>67.393499999999989</v>
      </c>
      <c r="N2272" s="1">
        <v>303.7559</v>
      </c>
      <c r="O2272" s="2">
        <v>2.4</v>
      </c>
      <c r="P2272">
        <v>317</v>
      </c>
    </row>
    <row r="2273" spans="1:16" x14ac:dyDescent="0.35">
      <c r="A2273" s="4">
        <v>45474</v>
      </c>
      <c r="B2273" t="s">
        <v>16</v>
      </c>
      <c r="C2273" t="s">
        <v>13</v>
      </c>
      <c r="D2273">
        <v>1</v>
      </c>
      <c r="E2273" s="2">
        <v>4225</v>
      </c>
      <c r="F2273" s="2">
        <f t="shared" si="366"/>
        <v>4231.6875</v>
      </c>
      <c r="G2273" s="3">
        <v>1</v>
      </c>
      <c r="H2273">
        <v>3360</v>
      </c>
      <c r="I2273">
        <v>760</v>
      </c>
      <c r="J2273">
        <v>13099</v>
      </c>
      <c r="K2273">
        <v>14880</v>
      </c>
      <c r="L2273" s="2">
        <v>27.481249999999999</v>
      </c>
      <c r="M2273" s="5">
        <v>67.393499999999989</v>
      </c>
      <c r="N2273" s="1">
        <v>303.7559</v>
      </c>
      <c r="O2273" s="2">
        <v>2.4</v>
      </c>
      <c r="P2273">
        <v>317</v>
      </c>
    </row>
    <row r="2274" spans="1:16" x14ac:dyDescent="0.35">
      <c r="A2274" s="4">
        <v>45474</v>
      </c>
      <c r="B2274" t="s">
        <v>16</v>
      </c>
      <c r="C2274" t="s">
        <v>14</v>
      </c>
      <c r="D2274">
        <v>1</v>
      </c>
      <c r="E2274" s="2">
        <f>(4133+4200+4100+4125)/4</f>
        <v>4139.5</v>
      </c>
      <c r="F2274" s="2">
        <f t="shared" si="366"/>
        <v>4231.6875</v>
      </c>
      <c r="G2274" s="3">
        <v>1</v>
      </c>
      <c r="H2274">
        <v>3360</v>
      </c>
      <c r="I2274">
        <v>760</v>
      </c>
      <c r="J2274">
        <v>13099</v>
      </c>
      <c r="K2274">
        <v>14880</v>
      </c>
      <c r="L2274" s="2">
        <v>27.481249999999999</v>
      </c>
      <c r="M2274" s="5">
        <v>67.393499999999989</v>
      </c>
      <c r="N2274" s="1">
        <v>303.7559</v>
      </c>
      <c r="O2274" s="2">
        <v>2.4</v>
      </c>
      <c r="P2274">
        <v>317</v>
      </c>
    </row>
    <row r="2275" spans="1:16" x14ac:dyDescent="0.35">
      <c r="A2275" s="4">
        <v>45474</v>
      </c>
      <c r="B2275" t="s">
        <v>16</v>
      </c>
      <c r="C2275" t="s">
        <v>15</v>
      </c>
      <c r="D2275">
        <v>0</v>
      </c>
      <c r="E2275" s="2" t="s">
        <v>27</v>
      </c>
      <c r="F2275" s="2">
        <f t="shared" si="366"/>
        <v>4231.6875</v>
      </c>
      <c r="G2275" s="3">
        <v>1</v>
      </c>
      <c r="H2275">
        <v>3360</v>
      </c>
      <c r="I2275">
        <v>760</v>
      </c>
      <c r="J2275">
        <v>13099</v>
      </c>
      <c r="K2275">
        <v>14880</v>
      </c>
      <c r="L2275" s="2">
        <v>27.481249999999999</v>
      </c>
      <c r="M2275" s="5">
        <v>67.393499999999989</v>
      </c>
      <c r="N2275" s="1">
        <v>303.7559</v>
      </c>
      <c r="O2275" s="2">
        <v>2.4</v>
      </c>
      <c r="P2275">
        <v>317</v>
      </c>
    </row>
    <row r="2276" spans="1:16" x14ac:dyDescent="0.35">
      <c r="A2276" s="4">
        <v>45474</v>
      </c>
      <c r="B2276" t="s">
        <v>17</v>
      </c>
      <c r="C2276" t="s">
        <v>10</v>
      </c>
      <c r="D2276">
        <v>1</v>
      </c>
      <c r="E2276" s="2">
        <f>(3700+3633+3400+3600)/4</f>
        <v>3583.25</v>
      </c>
      <c r="F2276" s="2">
        <f>(3610.6+3507.4+3570.6+3600.75)/4</f>
        <v>3572.3375000000001</v>
      </c>
      <c r="G2276" s="3">
        <v>1</v>
      </c>
      <c r="H2276">
        <v>3360</v>
      </c>
      <c r="I2276">
        <v>760</v>
      </c>
      <c r="J2276">
        <v>13099</v>
      </c>
      <c r="K2276">
        <v>14880</v>
      </c>
      <c r="L2276" s="2">
        <v>27.481249999999999</v>
      </c>
      <c r="M2276" s="5">
        <v>67.393499999999989</v>
      </c>
      <c r="N2276" s="1">
        <v>303.7559</v>
      </c>
      <c r="O2276" s="2">
        <v>2.4</v>
      </c>
      <c r="P2276">
        <v>317</v>
      </c>
    </row>
    <row r="2277" spans="1:16" x14ac:dyDescent="0.35">
      <c r="A2277" s="4">
        <v>45474</v>
      </c>
      <c r="B2277" t="s">
        <v>17</v>
      </c>
      <c r="C2277" t="s">
        <v>11</v>
      </c>
      <c r="D2277">
        <v>1</v>
      </c>
      <c r="E2277" s="2">
        <v>3633.33</v>
      </c>
      <c r="F2277" s="2">
        <f t="shared" ref="F2277:F2281" si="367">(3610.6+3507.4+3570.6+3600.75)/4</f>
        <v>3572.3375000000001</v>
      </c>
      <c r="G2277" s="3">
        <v>1</v>
      </c>
      <c r="H2277">
        <v>3360</v>
      </c>
      <c r="I2277">
        <v>760</v>
      </c>
      <c r="J2277">
        <v>13099</v>
      </c>
      <c r="K2277">
        <v>14880</v>
      </c>
      <c r="L2277" s="2">
        <v>27.481249999999999</v>
      </c>
      <c r="M2277" s="5">
        <v>67.393499999999989</v>
      </c>
      <c r="N2277" s="1">
        <v>303.7559</v>
      </c>
      <c r="O2277" s="2">
        <v>2.4</v>
      </c>
      <c r="P2277">
        <v>317</v>
      </c>
    </row>
    <row r="2278" spans="1:16" x14ac:dyDescent="0.35">
      <c r="A2278" s="4">
        <v>45474</v>
      </c>
      <c r="B2278" t="s">
        <v>17</v>
      </c>
      <c r="C2278" t="s">
        <v>12</v>
      </c>
      <c r="D2278">
        <v>1</v>
      </c>
      <c r="E2278" s="2">
        <v>3470</v>
      </c>
      <c r="F2278" s="2">
        <f t="shared" si="367"/>
        <v>3572.3375000000001</v>
      </c>
      <c r="G2278" s="3">
        <v>1</v>
      </c>
      <c r="H2278">
        <v>3360</v>
      </c>
      <c r="I2278">
        <v>760</v>
      </c>
      <c r="J2278">
        <v>13099</v>
      </c>
      <c r="K2278">
        <v>14880</v>
      </c>
      <c r="L2278" s="2">
        <v>27.481249999999999</v>
      </c>
      <c r="M2278" s="5">
        <v>67.393499999999989</v>
      </c>
      <c r="N2278" s="1">
        <v>303.7559</v>
      </c>
      <c r="O2278" s="2">
        <v>2.4</v>
      </c>
      <c r="P2278">
        <v>317</v>
      </c>
    </row>
    <row r="2279" spans="1:16" x14ac:dyDescent="0.35">
      <c r="A2279" s="4">
        <v>45474</v>
      </c>
      <c r="B2279" t="s">
        <v>17</v>
      </c>
      <c r="C2279" t="s">
        <v>13</v>
      </c>
      <c r="D2279">
        <v>1</v>
      </c>
      <c r="E2279" s="2">
        <f>(3600+3650+3550+3750)/4</f>
        <v>3637.5</v>
      </c>
      <c r="F2279" s="2">
        <f t="shared" si="367"/>
        <v>3572.3375000000001</v>
      </c>
      <c r="G2279" s="3">
        <v>1</v>
      </c>
      <c r="H2279">
        <v>3360</v>
      </c>
      <c r="I2279">
        <v>760</v>
      </c>
      <c r="J2279">
        <v>13099</v>
      </c>
      <c r="K2279">
        <v>14880</v>
      </c>
      <c r="L2279" s="2">
        <v>27.481249999999999</v>
      </c>
      <c r="M2279" s="5">
        <v>67.393499999999989</v>
      </c>
      <c r="N2279" s="1">
        <v>303.7559</v>
      </c>
      <c r="O2279" s="2">
        <v>2.4</v>
      </c>
      <c r="P2279">
        <v>317</v>
      </c>
    </row>
    <row r="2280" spans="1:16" x14ac:dyDescent="0.35">
      <c r="A2280" s="4">
        <v>45474</v>
      </c>
      <c r="B2280" t="s">
        <v>17</v>
      </c>
      <c r="C2280" t="s">
        <v>14</v>
      </c>
      <c r="D2280">
        <v>1</v>
      </c>
      <c r="E2280" s="2">
        <f>(3583+3550+3517+3533)/4</f>
        <v>3545.75</v>
      </c>
      <c r="F2280" s="2">
        <f t="shared" si="367"/>
        <v>3572.3375000000001</v>
      </c>
      <c r="G2280" s="3">
        <v>1</v>
      </c>
      <c r="H2280">
        <v>3360</v>
      </c>
      <c r="I2280">
        <v>760</v>
      </c>
      <c r="J2280">
        <v>13099</v>
      </c>
      <c r="K2280">
        <v>14880</v>
      </c>
      <c r="L2280" s="2">
        <v>27.481249999999999</v>
      </c>
      <c r="M2280" s="5">
        <v>67.393499999999989</v>
      </c>
      <c r="N2280" s="1">
        <v>303.7559</v>
      </c>
      <c r="O2280" s="2">
        <v>2.4</v>
      </c>
      <c r="P2280">
        <v>317</v>
      </c>
    </row>
    <row r="2281" spans="1:16" x14ac:dyDescent="0.35">
      <c r="A2281" s="4">
        <v>45474</v>
      </c>
      <c r="B2281" t="s">
        <v>17</v>
      </c>
      <c r="C2281" t="s">
        <v>15</v>
      </c>
      <c r="D2281">
        <v>0</v>
      </c>
      <c r="E2281" s="2" t="s">
        <v>27</v>
      </c>
      <c r="F2281" s="2">
        <f t="shared" si="367"/>
        <v>3572.3375000000001</v>
      </c>
      <c r="G2281" s="3">
        <v>1</v>
      </c>
      <c r="H2281">
        <v>3360</v>
      </c>
      <c r="I2281">
        <v>760</v>
      </c>
      <c r="J2281">
        <v>13099</v>
      </c>
      <c r="K2281">
        <v>14880</v>
      </c>
      <c r="L2281" s="2">
        <v>27.481249999999999</v>
      </c>
      <c r="M2281" s="5">
        <v>67.393499999999989</v>
      </c>
      <c r="N2281" s="1">
        <v>303.7559</v>
      </c>
      <c r="O2281" s="2">
        <v>2.4</v>
      </c>
      <c r="P2281">
        <v>317</v>
      </c>
    </row>
    <row r="2282" spans="1:16" x14ac:dyDescent="0.35">
      <c r="A2282" s="4">
        <v>45474</v>
      </c>
      <c r="B2282" t="s">
        <v>18</v>
      </c>
      <c r="C2282" t="s">
        <v>10</v>
      </c>
      <c r="D2282">
        <v>1</v>
      </c>
      <c r="E2282" s="2">
        <f>(3350+3166+3216+3300)/4</f>
        <v>3258</v>
      </c>
      <c r="F2282" s="2">
        <f>(3379.13+3350.89+3381.44+3390.78)/4</f>
        <v>3375.5600000000004</v>
      </c>
      <c r="G2282" s="3">
        <v>1</v>
      </c>
      <c r="H2282">
        <v>3360</v>
      </c>
      <c r="I2282">
        <v>760</v>
      </c>
      <c r="J2282">
        <v>13099</v>
      </c>
      <c r="K2282">
        <v>14880</v>
      </c>
      <c r="L2282" s="2">
        <v>27.481249999999999</v>
      </c>
      <c r="M2282" s="5">
        <v>67.393499999999989</v>
      </c>
      <c r="N2282" s="1">
        <v>303.7559</v>
      </c>
      <c r="O2282" s="2">
        <v>2.4</v>
      </c>
      <c r="P2282">
        <v>317</v>
      </c>
    </row>
    <row r="2283" spans="1:16" x14ac:dyDescent="0.35">
      <c r="A2283" s="4">
        <v>45474</v>
      </c>
      <c r="B2283" t="s">
        <v>18</v>
      </c>
      <c r="C2283" t="s">
        <v>11</v>
      </c>
      <c r="D2283">
        <v>1</v>
      </c>
      <c r="E2283" s="2">
        <v>3500</v>
      </c>
      <c r="F2283" s="2">
        <f t="shared" ref="F2283:F2287" si="368">(3379.13+3350.89+3381.44+3390.78)/4</f>
        <v>3375.5600000000004</v>
      </c>
      <c r="G2283" s="3">
        <v>1</v>
      </c>
      <c r="H2283">
        <v>3360</v>
      </c>
      <c r="I2283">
        <v>760</v>
      </c>
      <c r="J2283">
        <v>13099</v>
      </c>
      <c r="K2283">
        <v>14880</v>
      </c>
      <c r="L2283" s="2">
        <v>27.481249999999999</v>
      </c>
      <c r="M2283" s="5">
        <v>67.393499999999989</v>
      </c>
      <c r="N2283" s="1">
        <v>303.7559</v>
      </c>
      <c r="O2283" s="2">
        <v>2.4</v>
      </c>
      <c r="P2283">
        <v>317</v>
      </c>
    </row>
    <row r="2284" spans="1:16" x14ac:dyDescent="0.35">
      <c r="A2284" s="4">
        <v>45474</v>
      </c>
      <c r="B2284" t="s">
        <v>18</v>
      </c>
      <c r="C2284" t="s">
        <v>12</v>
      </c>
      <c r="D2284">
        <v>1</v>
      </c>
      <c r="E2284" s="2">
        <v>3200</v>
      </c>
      <c r="F2284" s="2">
        <f t="shared" si="368"/>
        <v>3375.5600000000004</v>
      </c>
      <c r="G2284" s="3">
        <v>1</v>
      </c>
      <c r="H2284">
        <v>3360</v>
      </c>
      <c r="I2284">
        <v>760</v>
      </c>
      <c r="J2284">
        <v>13099</v>
      </c>
      <c r="K2284">
        <v>14880</v>
      </c>
      <c r="L2284" s="2">
        <v>27.481249999999999</v>
      </c>
      <c r="M2284" s="5">
        <v>67.393499999999989</v>
      </c>
      <c r="N2284" s="1">
        <v>303.7559</v>
      </c>
      <c r="O2284" s="2">
        <v>2.4</v>
      </c>
      <c r="P2284">
        <v>317</v>
      </c>
    </row>
    <row r="2285" spans="1:16" x14ac:dyDescent="0.35">
      <c r="A2285" s="4">
        <v>45474</v>
      </c>
      <c r="B2285" t="s">
        <v>18</v>
      </c>
      <c r="C2285" t="s">
        <v>13</v>
      </c>
      <c r="D2285">
        <v>1</v>
      </c>
      <c r="E2285" s="2">
        <f>(3350+3275+3350*2)/4</f>
        <v>3331.25</v>
      </c>
      <c r="F2285" s="2">
        <f t="shared" si="368"/>
        <v>3375.5600000000004</v>
      </c>
      <c r="G2285" s="3">
        <v>1</v>
      </c>
      <c r="H2285">
        <v>3360</v>
      </c>
      <c r="I2285">
        <v>760</v>
      </c>
      <c r="J2285">
        <v>13099</v>
      </c>
      <c r="K2285">
        <v>14880</v>
      </c>
      <c r="L2285" s="2">
        <v>27.481249999999999</v>
      </c>
      <c r="M2285" s="5">
        <v>67.393499999999989</v>
      </c>
      <c r="N2285" s="1">
        <v>303.7559</v>
      </c>
      <c r="O2285" s="2">
        <v>2.4</v>
      </c>
      <c r="P2285">
        <v>317</v>
      </c>
    </row>
    <row r="2286" spans="1:16" x14ac:dyDescent="0.35">
      <c r="A2286" s="4">
        <v>45474</v>
      </c>
      <c r="B2286" t="s">
        <v>18</v>
      </c>
      <c r="C2286" t="s">
        <v>14</v>
      </c>
      <c r="D2286">
        <v>1</v>
      </c>
      <c r="E2286" s="2">
        <f>(3383+3367+3267*2)/4</f>
        <v>3321</v>
      </c>
      <c r="F2286" s="2">
        <f t="shared" si="368"/>
        <v>3375.5600000000004</v>
      </c>
      <c r="G2286" s="3">
        <v>1</v>
      </c>
      <c r="H2286">
        <v>3360</v>
      </c>
      <c r="I2286">
        <v>760</v>
      </c>
      <c r="J2286">
        <v>13099</v>
      </c>
      <c r="K2286">
        <v>14880</v>
      </c>
      <c r="L2286" s="2">
        <v>27.481249999999999</v>
      </c>
      <c r="M2286" s="5">
        <v>67.393499999999989</v>
      </c>
      <c r="N2286" s="1">
        <v>303.7559</v>
      </c>
      <c r="O2286" s="2">
        <v>2.4</v>
      </c>
      <c r="P2286">
        <v>317</v>
      </c>
    </row>
    <row r="2287" spans="1:16" x14ac:dyDescent="0.35">
      <c r="A2287" s="4">
        <v>45474</v>
      </c>
      <c r="B2287" t="s">
        <v>18</v>
      </c>
      <c r="C2287" t="s">
        <v>15</v>
      </c>
      <c r="D2287">
        <v>1</v>
      </c>
      <c r="E2287" s="2">
        <f>(3400+3325+3375+3400)/4</f>
        <v>3375</v>
      </c>
      <c r="F2287" s="2">
        <f t="shared" si="368"/>
        <v>3375.5600000000004</v>
      </c>
      <c r="G2287" s="3">
        <v>1</v>
      </c>
      <c r="H2287">
        <v>3360</v>
      </c>
      <c r="I2287">
        <v>760</v>
      </c>
      <c r="J2287">
        <v>13099</v>
      </c>
      <c r="K2287">
        <v>14880</v>
      </c>
      <c r="L2287" s="2">
        <v>27.481249999999999</v>
      </c>
      <c r="M2287" s="5">
        <v>67.393499999999989</v>
      </c>
      <c r="N2287" s="1">
        <v>303.7559</v>
      </c>
      <c r="O2287" s="2">
        <v>2.4</v>
      </c>
      <c r="P2287">
        <v>317</v>
      </c>
    </row>
    <row r="2288" spans="1:16" x14ac:dyDescent="0.35">
      <c r="A2288" s="4">
        <v>45474</v>
      </c>
      <c r="B2288" t="s">
        <v>19</v>
      </c>
      <c r="C2288" t="s">
        <v>10</v>
      </c>
      <c r="D2288">
        <v>1</v>
      </c>
      <c r="E2288" s="2">
        <f>(3100+3066+2866+3033)/4</f>
        <v>3016.25</v>
      </c>
      <c r="F2288" s="2">
        <f>(3180.33+3191.67+3156.89+3194)/4</f>
        <v>3180.7224999999999</v>
      </c>
      <c r="G2288" s="3">
        <v>1</v>
      </c>
      <c r="H2288">
        <v>3360</v>
      </c>
      <c r="I2288">
        <v>760</v>
      </c>
      <c r="J2288">
        <v>13099</v>
      </c>
      <c r="K2288">
        <v>14880</v>
      </c>
      <c r="L2288" s="2">
        <v>27.481249999999999</v>
      </c>
      <c r="M2288" s="5">
        <v>67.393499999999989</v>
      </c>
      <c r="N2288" s="1">
        <v>303.7559</v>
      </c>
      <c r="O2288" s="2">
        <v>2.4</v>
      </c>
      <c r="P2288">
        <v>317</v>
      </c>
    </row>
    <row r="2289" spans="1:16" x14ac:dyDescent="0.35">
      <c r="A2289" s="4">
        <v>45474</v>
      </c>
      <c r="B2289" t="s">
        <v>19</v>
      </c>
      <c r="C2289" t="s">
        <v>11</v>
      </c>
      <c r="D2289">
        <v>1</v>
      </c>
      <c r="E2289" s="2">
        <v>3200</v>
      </c>
      <c r="F2289" s="2">
        <f t="shared" ref="F2289:F2293" si="369">(3180.33+3191.67+3156.89+3194)/4</f>
        <v>3180.7224999999999</v>
      </c>
      <c r="G2289" s="3">
        <v>1</v>
      </c>
      <c r="H2289">
        <v>3360</v>
      </c>
      <c r="I2289">
        <v>760</v>
      </c>
      <c r="J2289">
        <v>13099</v>
      </c>
      <c r="K2289">
        <v>14880</v>
      </c>
      <c r="L2289" s="2">
        <v>27.481249999999999</v>
      </c>
      <c r="M2289" s="5">
        <v>67.393499999999989</v>
      </c>
      <c r="N2289" s="1">
        <v>303.7559</v>
      </c>
      <c r="O2289" s="2">
        <v>2.4</v>
      </c>
      <c r="P2289">
        <v>317</v>
      </c>
    </row>
    <row r="2290" spans="1:16" x14ac:dyDescent="0.35">
      <c r="A2290" s="4">
        <v>45474</v>
      </c>
      <c r="B2290" t="s">
        <v>19</v>
      </c>
      <c r="C2290" t="s">
        <v>12</v>
      </c>
      <c r="D2290">
        <v>1</v>
      </c>
      <c r="E2290" s="2">
        <v>3090</v>
      </c>
      <c r="F2290" s="2">
        <f t="shared" si="369"/>
        <v>3180.7224999999999</v>
      </c>
      <c r="G2290" s="3">
        <v>1</v>
      </c>
      <c r="H2290">
        <v>3360</v>
      </c>
      <c r="I2290">
        <v>760</v>
      </c>
      <c r="J2290">
        <v>13099</v>
      </c>
      <c r="K2290">
        <v>14880</v>
      </c>
      <c r="L2290" s="2">
        <v>27.481249999999999</v>
      </c>
      <c r="M2290" s="5">
        <v>67.393499999999989</v>
      </c>
      <c r="N2290" s="1">
        <v>303.7559</v>
      </c>
      <c r="O2290" s="2">
        <v>2.4</v>
      </c>
      <c r="P2290">
        <v>317</v>
      </c>
    </row>
    <row r="2291" spans="1:16" x14ac:dyDescent="0.35">
      <c r="A2291" s="4">
        <v>45474</v>
      </c>
      <c r="B2291" t="s">
        <v>19</v>
      </c>
      <c r="C2291" t="s">
        <v>13</v>
      </c>
      <c r="D2291">
        <v>1</v>
      </c>
      <c r="E2291" s="2">
        <f>(3225*2+3125+3175)/4</f>
        <v>3187.5</v>
      </c>
      <c r="F2291" s="2">
        <f t="shared" si="369"/>
        <v>3180.7224999999999</v>
      </c>
      <c r="G2291" s="3">
        <v>1</v>
      </c>
      <c r="H2291">
        <v>3360</v>
      </c>
      <c r="I2291">
        <v>760</v>
      </c>
      <c r="J2291">
        <v>13099</v>
      </c>
      <c r="K2291">
        <v>14880</v>
      </c>
      <c r="L2291" s="2">
        <v>27.481249999999999</v>
      </c>
      <c r="M2291" s="5">
        <v>67.393499999999989</v>
      </c>
      <c r="N2291" s="1">
        <v>303.7559</v>
      </c>
      <c r="O2291" s="2">
        <v>2.4</v>
      </c>
      <c r="P2291">
        <v>317</v>
      </c>
    </row>
    <row r="2292" spans="1:16" x14ac:dyDescent="0.35">
      <c r="A2292" s="4">
        <v>45474</v>
      </c>
      <c r="B2292" t="s">
        <v>19</v>
      </c>
      <c r="C2292" t="s">
        <v>14</v>
      </c>
      <c r="D2292">
        <v>1</v>
      </c>
      <c r="E2292" s="2">
        <f>(3158+3194+3231+3229)/4</f>
        <v>3203</v>
      </c>
      <c r="F2292" s="2">
        <f t="shared" si="369"/>
        <v>3180.7224999999999</v>
      </c>
      <c r="G2292" s="3">
        <v>1</v>
      </c>
      <c r="H2292">
        <v>3360</v>
      </c>
      <c r="I2292">
        <v>760</v>
      </c>
      <c r="J2292">
        <v>13099</v>
      </c>
      <c r="K2292">
        <v>14880</v>
      </c>
      <c r="L2292" s="2">
        <v>27.481249999999999</v>
      </c>
      <c r="M2292" s="5">
        <v>67.393499999999989</v>
      </c>
      <c r="N2292" s="1">
        <v>303.7559</v>
      </c>
      <c r="O2292" s="2">
        <v>2.4</v>
      </c>
      <c r="P2292">
        <v>317</v>
      </c>
    </row>
    <row r="2293" spans="1:16" x14ac:dyDescent="0.35">
      <c r="A2293" s="4">
        <v>45474</v>
      </c>
      <c r="B2293" t="s">
        <v>19</v>
      </c>
      <c r="C2293" t="s">
        <v>15</v>
      </c>
      <c r="D2293">
        <v>1</v>
      </c>
      <c r="E2293" s="2">
        <v>3200</v>
      </c>
      <c r="F2293" s="2">
        <f t="shared" si="369"/>
        <v>3180.7224999999999</v>
      </c>
      <c r="G2293" s="3">
        <v>1</v>
      </c>
      <c r="H2293">
        <v>3360</v>
      </c>
      <c r="I2293">
        <v>760</v>
      </c>
      <c r="J2293">
        <v>13099</v>
      </c>
      <c r="K2293">
        <v>14880</v>
      </c>
      <c r="L2293" s="2">
        <v>27.481249999999999</v>
      </c>
      <c r="M2293" s="5">
        <v>67.393499999999989</v>
      </c>
      <c r="N2293" s="1">
        <v>303.7559</v>
      </c>
      <c r="O2293" s="2">
        <v>2.4</v>
      </c>
      <c r="P2293">
        <v>317</v>
      </c>
    </row>
    <row r="2294" spans="1:16" x14ac:dyDescent="0.35">
      <c r="A2294" s="4">
        <v>45474</v>
      </c>
      <c r="B2294" t="s">
        <v>20</v>
      </c>
      <c r="C2294" t="s">
        <v>10</v>
      </c>
      <c r="D2294">
        <v>1</v>
      </c>
      <c r="E2294" s="2">
        <f>(2666+2533+2633+2583)/4</f>
        <v>2603.75</v>
      </c>
      <c r="F2294" s="2">
        <f>(2704.5+2741+2730.38+2785.86)/4</f>
        <v>2740.4349999999999</v>
      </c>
      <c r="G2294" s="3">
        <v>1</v>
      </c>
      <c r="H2294">
        <v>3360</v>
      </c>
      <c r="I2294">
        <v>760</v>
      </c>
      <c r="J2294">
        <v>13099</v>
      </c>
      <c r="K2294">
        <v>14880</v>
      </c>
      <c r="L2294" s="2">
        <v>27.481249999999999</v>
      </c>
      <c r="M2294" s="5">
        <v>67.393499999999989</v>
      </c>
      <c r="N2294" s="1">
        <v>303.7559</v>
      </c>
      <c r="O2294" s="2">
        <v>2.4</v>
      </c>
      <c r="P2294">
        <v>317</v>
      </c>
    </row>
    <row r="2295" spans="1:16" x14ac:dyDescent="0.35">
      <c r="A2295" s="4">
        <v>45474</v>
      </c>
      <c r="B2295" t="s">
        <v>20</v>
      </c>
      <c r="C2295" t="s">
        <v>11</v>
      </c>
      <c r="D2295">
        <v>1</v>
      </c>
      <c r="E2295" s="2">
        <v>2533.33</v>
      </c>
      <c r="F2295" s="2">
        <f t="shared" ref="F2295:F2299" si="370">(2704.5+2741+2730.38+2785.86)/4</f>
        <v>2740.4349999999999</v>
      </c>
      <c r="G2295" s="3">
        <v>1</v>
      </c>
      <c r="H2295">
        <v>3360</v>
      </c>
      <c r="I2295">
        <v>760</v>
      </c>
      <c r="J2295">
        <v>13099</v>
      </c>
      <c r="K2295">
        <v>14880</v>
      </c>
      <c r="L2295" s="2">
        <v>27.481249999999999</v>
      </c>
      <c r="M2295" s="5">
        <v>67.393499999999989</v>
      </c>
      <c r="N2295" s="1">
        <v>303.7559</v>
      </c>
      <c r="O2295" s="2">
        <v>2.4</v>
      </c>
      <c r="P2295">
        <v>317</v>
      </c>
    </row>
    <row r="2296" spans="1:16" x14ac:dyDescent="0.35">
      <c r="A2296" s="4">
        <v>45474</v>
      </c>
      <c r="B2296" t="s">
        <v>20</v>
      </c>
      <c r="C2296" t="s">
        <v>12</v>
      </c>
      <c r="D2296">
        <v>1</v>
      </c>
      <c r="E2296" s="2">
        <v>2190</v>
      </c>
      <c r="F2296" s="2">
        <f t="shared" si="370"/>
        <v>2740.4349999999999</v>
      </c>
      <c r="G2296" s="3">
        <v>1</v>
      </c>
      <c r="H2296">
        <v>3360</v>
      </c>
      <c r="I2296">
        <v>760</v>
      </c>
      <c r="J2296">
        <v>13099</v>
      </c>
      <c r="K2296">
        <v>14880</v>
      </c>
      <c r="L2296" s="2">
        <v>27.481249999999999</v>
      </c>
      <c r="M2296" s="5">
        <v>67.393499999999989</v>
      </c>
      <c r="N2296" s="1">
        <v>303.7559</v>
      </c>
      <c r="O2296" s="2">
        <v>2.4</v>
      </c>
      <c r="P2296">
        <v>317</v>
      </c>
    </row>
    <row r="2297" spans="1:16" x14ac:dyDescent="0.35">
      <c r="A2297" s="4">
        <v>45474</v>
      </c>
      <c r="B2297" t="s">
        <v>20</v>
      </c>
      <c r="C2297" t="s">
        <v>13</v>
      </c>
      <c r="D2297">
        <v>1</v>
      </c>
      <c r="E2297" s="2">
        <f>(2925+2950+2875+2850)/4</f>
        <v>2900</v>
      </c>
      <c r="F2297" s="2">
        <f t="shared" si="370"/>
        <v>2740.4349999999999</v>
      </c>
      <c r="G2297" s="3">
        <v>1</v>
      </c>
      <c r="H2297">
        <v>3360</v>
      </c>
      <c r="I2297">
        <v>760</v>
      </c>
      <c r="J2297">
        <v>13099</v>
      </c>
      <c r="K2297">
        <v>14880</v>
      </c>
      <c r="L2297" s="2">
        <v>27.481249999999999</v>
      </c>
      <c r="M2297" s="5">
        <v>67.393499999999989</v>
      </c>
      <c r="N2297" s="1">
        <v>303.7559</v>
      </c>
      <c r="O2297" s="2">
        <v>2.4</v>
      </c>
      <c r="P2297">
        <v>317</v>
      </c>
    </row>
    <row r="2298" spans="1:16" x14ac:dyDescent="0.35">
      <c r="A2298" s="4">
        <v>45474</v>
      </c>
      <c r="B2298" t="s">
        <v>20</v>
      </c>
      <c r="C2298" t="s">
        <v>14</v>
      </c>
      <c r="D2298">
        <v>1</v>
      </c>
      <c r="E2298" s="2">
        <f>(2913+2930+2970+3020)/4</f>
        <v>2958.25</v>
      </c>
      <c r="F2298" s="2">
        <f t="shared" si="370"/>
        <v>2740.4349999999999</v>
      </c>
      <c r="G2298" s="3">
        <v>1</v>
      </c>
      <c r="H2298">
        <v>3360</v>
      </c>
      <c r="I2298">
        <v>760</v>
      </c>
      <c r="J2298">
        <v>13099</v>
      </c>
      <c r="K2298">
        <v>14880</v>
      </c>
      <c r="L2298" s="2">
        <v>27.481249999999999</v>
      </c>
      <c r="M2298" s="5">
        <v>67.393499999999989</v>
      </c>
      <c r="N2298" s="1">
        <v>303.7559</v>
      </c>
      <c r="O2298" s="2">
        <v>2.4</v>
      </c>
      <c r="P2298">
        <v>317</v>
      </c>
    </row>
    <row r="2299" spans="1:16" x14ac:dyDescent="0.35">
      <c r="A2299" s="4">
        <v>45474</v>
      </c>
      <c r="B2299" t="s">
        <v>20</v>
      </c>
      <c r="C2299" t="s">
        <v>15</v>
      </c>
      <c r="D2299">
        <v>1</v>
      </c>
      <c r="E2299" s="2">
        <v>2975</v>
      </c>
      <c r="F2299" s="2">
        <f t="shared" si="370"/>
        <v>2740.4349999999999</v>
      </c>
      <c r="G2299" s="3">
        <v>1</v>
      </c>
      <c r="H2299">
        <v>3360</v>
      </c>
      <c r="I2299">
        <v>760</v>
      </c>
      <c r="J2299">
        <v>13099</v>
      </c>
      <c r="K2299">
        <v>14880</v>
      </c>
      <c r="L2299" s="2">
        <v>27.481249999999999</v>
      </c>
      <c r="M2299" s="5">
        <v>67.393499999999989</v>
      </c>
      <c r="N2299" s="1">
        <v>303.7559</v>
      </c>
      <c r="O2299" s="2">
        <v>2.4</v>
      </c>
      <c r="P2299">
        <v>317</v>
      </c>
    </row>
    <row r="2300" spans="1:16" x14ac:dyDescent="0.35">
      <c r="A2300" s="4">
        <v>45474</v>
      </c>
      <c r="B2300" t="s">
        <v>21</v>
      </c>
      <c r="C2300" t="s">
        <v>10</v>
      </c>
      <c r="D2300">
        <v>1</v>
      </c>
      <c r="E2300" s="2">
        <f>(2466+2333+2400+2266)/4</f>
        <v>2366.25</v>
      </c>
      <c r="F2300" s="2">
        <f>(2600.75+2565.38+2583.63+2653.86)/4</f>
        <v>2600.9050000000002</v>
      </c>
      <c r="G2300" s="3">
        <v>1</v>
      </c>
      <c r="H2300">
        <v>3360</v>
      </c>
      <c r="I2300">
        <v>760</v>
      </c>
      <c r="J2300">
        <v>13099</v>
      </c>
      <c r="K2300">
        <v>14880</v>
      </c>
      <c r="L2300" s="2">
        <v>27.481249999999999</v>
      </c>
      <c r="M2300" s="5">
        <v>67.393499999999989</v>
      </c>
      <c r="N2300" s="1">
        <v>303.7559</v>
      </c>
      <c r="O2300" s="2">
        <v>2.4</v>
      </c>
      <c r="P2300">
        <v>317</v>
      </c>
    </row>
    <row r="2301" spans="1:16" x14ac:dyDescent="0.35">
      <c r="A2301" s="4">
        <v>45474</v>
      </c>
      <c r="B2301" t="s">
        <v>21</v>
      </c>
      <c r="C2301" t="s">
        <v>11</v>
      </c>
      <c r="D2301">
        <v>1</v>
      </c>
      <c r="E2301" s="2">
        <v>2433.33</v>
      </c>
      <c r="F2301" s="2">
        <f t="shared" ref="F2301:F2305" si="371">(2600.75+2565.38+2583.63+2653.86)/4</f>
        <v>2600.9050000000002</v>
      </c>
      <c r="G2301" s="3">
        <v>1</v>
      </c>
      <c r="H2301">
        <v>3360</v>
      </c>
      <c r="I2301">
        <v>760</v>
      </c>
      <c r="J2301">
        <v>13099</v>
      </c>
      <c r="K2301">
        <v>14880</v>
      </c>
      <c r="L2301" s="2">
        <v>27.481249999999999</v>
      </c>
      <c r="M2301" s="5">
        <v>67.393499999999989</v>
      </c>
      <c r="N2301" s="1">
        <v>303.7559</v>
      </c>
      <c r="O2301" s="2">
        <v>2.4</v>
      </c>
      <c r="P2301">
        <v>317</v>
      </c>
    </row>
    <row r="2302" spans="1:16" x14ac:dyDescent="0.35">
      <c r="A2302" s="4">
        <v>45474</v>
      </c>
      <c r="B2302" t="s">
        <v>21</v>
      </c>
      <c r="C2302" t="s">
        <v>12</v>
      </c>
      <c r="D2302">
        <v>1</v>
      </c>
      <c r="E2302" s="2">
        <v>2100</v>
      </c>
      <c r="F2302" s="2">
        <f t="shared" si="371"/>
        <v>2600.9050000000002</v>
      </c>
      <c r="G2302" s="3">
        <v>1</v>
      </c>
      <c r="H2302">
        <v>3360</v>
      </c>
      <c r="I2302">
        <v>760</v>
      </c>
      <c r="J2302">
        <v>13099</v>
      </c>
      <c r="K2302">
        <v>14880</v>
      </c>
      <c r="L2302" s="2">
        <v>27.481249999999999</v>
      </c>
      <c r="M2302" s="5">
        <v>67.393499999999989</v>
      </c>
      <c r="N2302" s="1">
        <v>303.7559</v>
      </c>
      <c r="O2302" s="2">
        <v>2.4</v>
      </c>
      <c r="P2302">
        <v>317</v>
      </c>
    </row>
    <row r="2303" spans="1:16" x14ac:dyDescent="0.35">
      <c r="A2303" s="4">
        <v>45474</v>
      </c>
      <c r="B2303" t="s">
        <v>21</v>
      </c>
      <c r="C2303" t="s">
        <v>13</v>
      </c>
      <c r="D2303">
        <v>1</v>
      </c>
      <c r="E2303" s="2">
        <f>(2825+2650+2875+2850)/4</f>
        <v>2800</v>
      </c>
      <c r="F2303" s="2">
        <f t="shared" si="371"/>
        <v>2600.9050000000002</v>
      </c>
      <c r="G2303" s="3">
        <v>1</v>
      </c>
      <c r="H2303">
        <v>3360</v>
      </c>
      <c r="I2303">
        <v>760</v>
      </c>
      <c r="J2303">
        <v>13099</v>
      </c>
      <c r="K2303">
        <v>14880</v>
      </c>
      <c r="L2303" s="2">
        <v>27.481249999999999</v>
      </c>
      <c r="M2303" s="5">
        <v>67.393499999999989</v>
      </c>
      <c r="N2303" s="1">
        <v>303.7559</v>
      </c>
      <c r="O2303" s="2">
        <v>2.4</v>
      </c>
      <c r="P2303">
        <v>317</v>
      </c>
    </row>
    <row r="2304" spans="1:16" x14ac:dyDescent="0.35">
      <c r="A2304" s="4">
        <v>45474</v>
      </c>
      <c r="B2304" t="s">
        <v>21</v>
      </c>
      <c r="C2304" t="s">
        <v>14</v>
      </c>
      <c r="D2304">
        <v>1</v>
      </c>
      <c r="E2304" s="2">
        <f>(2807+2856+2886+2936)/4</f>
        <v>2871.25</v>
      </c>
      <c r="F2304" s="2">
        <f t="shared" si="371"/>
        <v>2600.9050000000002</v>
      </c>
      <c r="G2304" s="3">
        <v>1</v>
      </c>
      <c r="H2304">
        <v>3360</v>
      </c>
      <c r="I2304">
        <v>760</v>
      </c>
      <c r="J2304">
        <v>13099</v>
      </c>
      <c r="K2304">
        <v>14880</v>
      </c>
      <c r="L2304" s="2">
        <v>27.481249999999999</v>
      </c>
      <c r="M2304" s="5">
        <v>67.393499999999989</v>
      </c>
      <c r="N2304" s="1">
        <v>303.7559</v>
      </c>
      <c r="O2304" s="2">
        <v>2.4</v>
      </c>
      <c r="P2304">
        <v>317</v>
      </c>
    </row>
    <row r="2305" spans="1:16" x14ac:dyDescent="0.35">
      <c r="A2305" s="4">
        <v>45474</v>
      </c>
      <c r="B2305" t="s">
        <v>21</v>
      </c>
      <c r="C2305" t="s">
        <v>15</v>
      </c>
      <c r="D2305">
        <v>1</v>
      </c>
      <c r="E2305" s="2">
        <f>(2950*2+2850+2875)/4</f>
        <v>2906.25</v>
      </c>
      <c r="F2305" s="2">
        <f t="shared" si="371"/>
        <v>2600.9050000000002</v>
      </c>
      <c r="G2305" s="3">
        <v>1</v>
      </c>
      <c r="H2305">
        <v>3360</v>
      </c>
      <c r="I2305">
        <v>760</v>
      </c>
      <c r="J2305">
        <v>13099</v>
      </c>
      <c r="K2305">
        <v>14880</v>
      </c>
      <c r="L2305" s="2">
        <v>27.481249999999999</v>
      </c>
      <c r="M2305" s="5">
        <v>67.393499999999989</v>
      </c>
      <c r="N2305" s="1">
        <v>303.7559</v>
      </c>
      <c r="O2305" s="2">
        <v>2.4</v>
      </c>
      <c r="P2305">
        <v>317</v>
      </c>
    </row>
    <row r="2306" spans="1:16" x14ac:dyDescent="0.35">
      <c r="A2306" s="4">
        <v>45474</v>
      </c>
      <c r="B2306" t="s">
        <v>22</v>
      </c>
      <c r="C2306" t="s">
        <v>10</v>
      </c>
      <c r="D2306">
        <v>0</v>
      </c>
      <c r="E2306" s="2" t="s">
        <v>27</v>
      </c>
      <c r="F2306" s="2">
        <f t="shared" ref="F2306:F2309" si="372">(2540+2360+2280+2275)/4</f>
        <v>2363.75</v>
      </c>
      <c r="G2306" s="3">
        <v>1</v>
      </c>
      <c r="H2306">
        <v>3360</v>
      </c>
      <c r="I2306">
        <v>760</v>
      </c>
      <c r="J2306">
        <v>13099</v>
      </c>
      <c r="K2306">
        <v>14880</v>
      </c>
      <c r="L2306" s="2">
        <v>27.481249999999999</v>
      </c>
      <c r="M2306" s="5">
        <v>67.393499999999989</v>
      </c>
      <c r="N2306" s="1">
        <v>303.7559</v>
      </c>
      <c r="O2306" s="2">
        <v>2.4</v>
      </c>
      <c r="P2306">
        <v>317</v>
      </c>
    </row>
    <row r="2307" spans="1:16" x14ac:dyDescent="0.35">
      <c r="A2307" s="4">
        <v>45474</v>
      </c>
      <c r="B2307" t="s">
        <v>22</v>
      </c>
      <c r="C2307" t="s">
        <v>11</v>
      </c>
      <c r="D2307">
        <v>0</v>
      </c>
      <c r="E2307" s="2" t="s">
        <v>27</v>
      </c>
      <c r="F2307" s="2">
        <f t="shared" si="372"/>
        <v>2363.75</v>
      </c>
      <c r="G2307" s="3">
        <v>1</v>
      </c>
      <c r="H2307">
        <v>3360</v>
      </c>
      <c r="I2307">
        <v>760</v>
      </c>
      <c r="J2307">
        <v>13099</v>
      </c>
      <c r="K2307">
        <v>14880</v>
      </c>
      <c r="L2307" s="2">
        <v>27.481249999999999</v>
      </c>
      <c r="M2307" s="5">
        <v>67.393499999999989</v>
      </c>
      <c r="N2307" s="1">
        <v>303.7559</v>
      </c>
      <c r="O2307" s="2">
        <v>2.4</v>
      </c>
      <c r="P2307">
        <v>317</v>
      </c>
    </row>
    <row r="2308" spans="1:16" x14ac:dyDescent="0.35">
      <c r="A2308" s="4">
        <v>45474</v>
      </c>
      <c r="B2308" t="s">
        <v>22</v>
      </c>
      <c r="C2308" t="s">
        <v>12</v>
      </c>
      <c r="D2308">
        <v>0</v>
      </c>
      <c r="E2308" s="2" t="s">
        <v>27</v>
      </c>
      <c r="F2308" s="2">
        <f t="shared" si="372"/>
        <v>2363.75</v>
      </c>
      <c r="G2308" s="3">
        <v>1</v>
      </c>
      <c r="H2308">
        <v>3360</v>
      </c>
      <c r="I2308">
        <v>760</v>
      </c>
      <c r="J2308">
        <v>13099</v>
      </c>
      <c r="K2308">
        <v>14880</v>
      </c>
      <c r="L2308" s="2">
        <v>27.481249999999999</v>
      </c>
      <c r="M2308" s="5">
        <v>67.393499999999989</v>
      </c>
      <c r="N2308" s="1">
        <v>303.7559</v>
      </c>
      <c r="O2308" s="2">
        <v>2.4</v>
      </c>
      <c r="P2308">
        <v>317</v>
      </c>
    </row>
    <row r="2309" spans="1:16" x14ac:dyDescent="0.35">
      <c r="A2309" s="4">
        <v>45474</v>
      </c>
      <c r="B2309" t="s">
        <v>22</v>
      </c>
      <c r="C2309" t="s">
        <v>13</v>
      </c>
      <c r="D2309">
        <v>0</v>
      </c>
      <c r="E2309" s="2" t="s">
        <v>27</v>
      </c>
      <c r="F2309" s="2">
        <f t="shared" si="372"/>
        <v>2363.75</v>
      </c>
      <c r="G2309" s="3">
        <v>1</v>
      </c>
      <c r="H2309">
        <v>3360</v>
      </c>
      <c r="I2309">
        <v>760</v>
      </c>
      <c r="J2309">
        <v>13099</v>
      </c>
      <c r="K2309">
        <v>14880</v>
      </c>
      <c r="L2309" s="2">
        <v>27.481249999999999</v>
      </c>
      <c r="M2309" s="5">
        <v>67.393499999999989</v>
      </c>
      <c r="N2309" s="1">
        <v>303.7559</v>
      </c>
      <c r="O2309" s="2">
        <v>2.4</v>
      </c>
      <c r="P2309">
        <v>317</v>
      </c>
    </row>
    <row r="2310" spans="1:16" x14ac:dyDescent="0.35">
      <c r="A2310" s="4">
        <v>45474</v>
      </c>
      <c r="B2310" t="s">
        <v>22</v>
      </c>
      <c r="C2310" t="s">
        <v>14</v>
      </c>
      <c r="D2310">
        <v>1</v>
      </c>
      <c r="E2310" s="2">
        <f>(2540+2360+2280+2275)/4</f>
        <v>2363.75</v>
      </c>
      <c r="F2310" s="2">
        <f>(2540+2360+2280+2275)/4</f>
        <v>2363.75</v>
      </c>
      <c r="G2310" s="3">
        <v>1</v>
      </c>
      <c r="H2310">
        <v>3360</v>
      </c>
      <c r="I2310">
        <v>760</v>
      </c>
      <c r="J2310">
        <v>13099</v>
      </c>
      <c r="K2310">
        <v>14880</v>
      </c>
      <c r="L2310" s="2">
        <v>27.481249999999999</v>
      </c>
      <c r="M2310" s="5">
        <v>67.393499999999989</v>
      </c>
      <c r="N2310" s="1">
        <v>303.7559</v>
      </c>
      <c r="O2310" s="2">
        <v>2.4</v>
      </c>
      <c r="P2310">
        <v>317</v>
      </c>
    </row>
    <row r="2311" spans="1:16" x14ac:dyDescent="0.35">
      <c r="A2311" s="4">
        <v>45474</v>
      </c>
      <c r="B2311" t="s">
        <v>22</v>
      </c>
      <c r="C2311" t="s">
        <v>15</v>
      </c>
      <c r="D2311">
        <v>0</v>
      </c>
      <c r="E2311" s="2" t="s">
        <v>27</v>
      </c>
      <c r="F2311" s="2">
        <f>(2540+2360+2280+2275)/4</f>
        <v>2363.75</v>
      </c>
      <c r="G2311" s="3">
        <v>1</v>
      </c>
      <c r="H2311">
        <v>3360</v>
      </c>
      <c r="I2311">
        <v>760</v>
      </c>
      <c r="J2311">
        <v>13099</v>
      </c>
      <c r="K2311">
        <v>14880</v>
      </c>
      <c r="L2311" s="2">
        <v>27.481249999999999</v>
      </c>
      <c r="M2311" s="5">
        <v>67.393499999999989</v>
      </c>
      <c r="N2311" s="1">
        <v>303.7559</v>
      </c>
      <c r="O2311" s="2">
        <v>2.4</v>
      </c>
      <c r="P2311">
        <v>317</v>
      </c>
    </row>
    <row r="2312" spans="1:16" x14ac:dyDescent="0.35">
      <c r="A2312" s="4">
        <v>45505</v>
      </c>
      <c r="B2312" t="s">
        <v>16</v>
      </c>
      <c r="C2312" t="s">
        <v>10</v>
      </c>
      <c r="D2312">
        <v>1</v>
      </c>
      <c r="E2312" s="2">
        <f>(4500*3+4333)/4</f>
        <v>4458.25</v>
      </c>
      <c r="F2312" s="2">
        <f>(4193.25+4310+4397.5+4422.5)/4</f>
        <v>4330.8125</v>
      </c>
      <c r="G2312" s="3">
        <v>1</v>
      </c>
      <c r="H2312">
        <v>2240</v>
      </c>
      <c r="I2312">
        <v>2850</v>
      </c>
      <c r="J2312">
        <v>17127</v>
      </c>
      <c r="K2312">
        <v>14880</v>
      </c>
      <c r="L2312" s="2">
        <v>27.217499999999998</v>
      </c>
      <c r="M2312" s="5">
        <v>137.24199999999996</v>
      </c>
      <c r="N2312" s="1">
        <v>300.66829999999999</v>
      </c>
      <c r="O2312" s="2">
        <v>0.5</v>
      </c>
      <c r="P2312">
        <v>307</v>
      </c>
    </row>
    <row r="2313" spans="1:16" x14ac:dyDescent="0.35">
      <c r="A2313" s="4">
        <v>45505</v>
      </c>
      <c r="B2313" t="s">
        <v>16</v>
      </c>
      <c r="C2313" t="s">
        <v>11</v>
      </c>
      <c r="D2313">
        <v>0</v>
      </c>
      <c r="E2313" s="2" t="s">
        <v>27</v>
      </c>
      <c r="F2313" s="2">
        <f t="shared" ref="F2313:F2317" si="373">(4193.25+4310+4397.5+4422.5)/4</f>
        <v>4330.8125</v>
      </c>
      <c r="G2313" s="3">
        <v>1</v>
      </c>
      <c r="H2313">
        <v>2240</v>
      </c>
      <c r="I2313">
        <v>2850</v>
      </c>
      <c r="J2313">
        <v>17127</v>
      </c>
      <c r="K2313">
        <v>14880</v>
      </c>
      <c r="L2313" s="2">
        <v>27.217499999999998</v>
      </c>
      <c r="M2313" s="5">
        <v>137.24199999999996</v>
      </c>
      <c r="N2313" s="1">
        <v>300.66829999999999</v>
      </c>
      <c r="O2313" s="2">
        <v>0.5</v>
      </c>
      <c r="P2313">
        <v>307</v>
      </c>
    </row>
    <row r="2314" spans="1:16" x14ac:dyDescent="0.35">
      <c r="A2314" s="4">
        <v>45505</v>
      </c>
      <c r="B2314" t="s">
        <v>16</v>
      </c>
      <c r="C2314" t="s">
        <v>12</v>
      </c>
      <c r="D2314">
        <v>1</v>
      </c>
      <c r="E2314" s="2">
        <v>4090</v>
      </c>
      <c r="F2314" s="2">
        <f t="shared" si="373"/>
        <v>4330.8125</v>
      </c>
      <c r="G2314" s="3">
        <v>1</v>
      </c>
      <c r="H2314">
        <v>2240</v>
      </c>
      <c r="I2314">
        <v>2850</v>
      </c>
      <c r="J2314">
        <v>17127</v>
      </c>
      <c r="K2314">
        <v>14880</v>
      </c>
      <c r="L2314" s="2">
        <v>27.217499999999998</v>
      </c>
      <c r="M2314" s="5">
        <v>137.24199999999996</v>
      </c>
      <c r="N2314" s="1">
        <v>300.66829999999999</v>
      </c>
      <c r="O2314" s="2">
        <v>0.5</v>
      </c>
      <c r="P2314">
        <v>307</v>
      </c>
    </row>
    <row r="2315" spans="1:16" x14ac:dyDescent="0.35">
      <c r="A2315" s="4">
        <v>45505</v>
      </c>
      <c r="B2315" t="s">
        <v>16</v>
      </c>
      <c r="C2315" t="s">
        <v>13</v>
      </c>
      <c r="D2315">
        <v>1</v>
      </c>
      <c r="E2315" s="2">
        <v>4450</v>
      </c>
      <c r="F2315" s="2">
        <f t="shared" si="373"/>
        <v>4330.8125</v>
      </c>
      <c r="G2315" s="3">
        <v>1</v>
      </c>
      <c r="H2315">
        <v>2240</v>
      </c>
      <c r="I2315">
        <v>2850</v>
      </c>
      <c r="J2315">
        <v>17127</v>
      </c>
      <c r="K2315">
        <v>14880</v>
      </c>
      <c r="L2315" s="2">
        <v>27.217499999999998</v>
      </c>
      <c r="M2315" s="5">
        <v>137.24199999999996</v>
      </c>
      <c r="N2315" s="1">
        <v>300.66829999999999</v>
      </c>
      <c r="O2315" s="2">
        <v>0.5</v>
      </c>
      <c r="P2315">
        <v>307</v>
      </c>
    </row>
    <row r="2316" spans="1:16" x14ac:dyDescent="0.35">
      <c r="A2316" s="4">
        <v>45505</v>
      </c>
      <c r="B2316" t="s">
        <v>16</v>
      </c>
      <c r="C2316" t="s">
        <v>14</v>
      </c>
      <c r="D2316">
        <v>1</v>
      </c>
      <c r="E2316" s="2">
        <v>4325</v>
      </c>
      <c r="F2316" s="2">
        <f t="shared" si="373"/>
        <v>4330.8125</v>
      </c>
      <c r="G2316" s="3">
        <v>1</v>
      </c>
      <c r="H2316">
        <v>2240</v>
      </c>
      <c r="I2316">
        <v>2850</v>
      </c>
      <c r="J2316">
        <v>17127</v>
      </c>
      <c r="K2316">
        <v>14880</v>
      </c>
      <c r="L2316" s="2">
        <v>27.217499999999998</v>
      </c>
      <c r="M2316" s="5">
        <v>137.24199999999996</v>
      </c>
      <c r="N2316" s="1">
        <v>300.66829999999999</v>
      </c>
      <c r="O2316" s="2">
        <v>0.5</v>
      </c>
      <c r="P2316">
        <v>307</v>
      </c>
    </row>
    <row r="2317" spans="1:16" x14ac:dyDescent="0.35">
      <c r="A2317" s="4">
        <v>45505</v>
      </c>
      <c r="B2317" t="s">
        <v>16</v>
      </c>
      <c r="C2317" t="s">
        <v>15</v>
      </c>
      <c r="D2317">
        <v>0</v>
      </c>
      <c r="E2317" s="2" t="s">
        <v>27</v>
      </c>
      <c r="F2317" s="2">
        <f t="shared" si="373"/>
        <v>4330.8125</v>
      </c>
      <c r="G2317" s="3">
        <v>1</v>
      </c>
      <c r="H2317">
        <v>2240</v>
      </c>
      <c r="I2317">
        <v>2850</v>
      </c>
      <c r="J2317">
        <v>17127</v>
      </c>
      <c r="K2317">
        <v>14880</v>
      </c>
      <c r="L2317" s="2">
        <v>27.217499999999998</v>
      </c>
      <c r="M2317" s="5">
        <v>137.24199999999996</v>
      </c>
      <c r="N2317" s="1">
        <v>300.66829999999999</v>
      </c>
      <c r="O2317" s="2">
        <v>0.5</v>
      </c>
      <c r="P2317">
        <v>307</v>
      </c>
    </row>
    <row r="2318" spans="1:16" x14ac:dyDescent="0.35">
      <c r="A2318" s="4">
        <v>45505</v>
      </c>
      <c r="B2318" t="s">
        <v>17</v>
      </c>
      <c r="C2318" t="s">
        <v>10</v>
      </c>
      <c r="D2318">
        <v>1</v>
      </c>
      <c r="E2318" s="2">
        <f>(3666+3550+3650+3900)/4</f>
        <v>3691.5</v>
      </c>
      <c r="F2318" s="2">
        <f>(3664+3607.4+3660.6+3570.6)/4</f>
        <v>3625.65</v>
      </c>
      <c r="G2318" s="3">
        <v>1</v>
      </c>
      <c r="H2318">
        <v>2240</v>
      </c>
      <c r="I2318">
        <v>2850</v>
      </c>
      <c r="J2318">
        <v>17127</v>
      </c>
      <c r="K2318">
        <v>14880</v>
      </c>
      <c r="L2318" s="2">
        <v>27.217499999999998</v>
      </c>
      <c r="M2318" s="5">
        <v>137.24199999999996</v>
      </c>
      <c r="N2318" s="1">
        <v>300.66829999999999</v>
      </c>
      <c r="O2318" s="2">
        <v>0.5</v>
      </c>
      <c r="P2318">
        <v>307</v>
      </c>
    </row>
    <row r="2319" spans="1:16" x14ac:dyDescent="0.35">
      <c r="A2319" s="4">
        <v>45505</v>
      </c>
      <c r="B2319" t="s">
        <v>17</v>
      </c>
      <c r="C2319" t="s">
        <v>11</v>
      </c>
      <c r="D2319">
        <v>1</v>
      </c>
      <c r="E2319" s="2">
        <v>3675</v>
      </c>
      <c r="F2319" s="2">
        <f t="shared" ref="F2319:F2323" si="374">(3664+3607.4+3660.6+3570.6)/4</f>
        <v>3625.65</v>
      </c>
      <c r="G2319" s="3">
        <v>1</v>
      </c>
      <c r="H2319">
        <v>2240</v>
      </c>
      <c r="I2319">
        <v>2850</v>
      </c>
      <c r="J2319">
        <v>17127</v>
      </c>
      <c r="K2319">
        <v>14880</v>
      </c>
      <c r="L2319" s="2">
        <v>27.217499999999998</v>
      </c>
      <c r="M2319" s="5">
        <v>137.24199999999996</v>
      </c>
      <c r="N2319" s="1">
        <v>300.66829999999999</v>
      </c>
      <c r="O2319" s="2">
        <v>0.5</v>
      </c>
      <c r="P2319">
        <v>307</v>
      </c>
    </row>
    <row r="2320" spans="1:16" x14ac:dyDescent="0.35">
      <c r="A2320" s="4">
        <v>45505</v>
      </c>
      <c r="B2320" t="s">
        <v>17</v>
      </c>
      <c r="C2320" t="s">
        <v>12</v>
      </c>
      <c r="D2320">
        <v>1</v>
      </c>
      <c r="E2320" s="2">
        <v>3470</v>
      </c>
      <c r="F2320" s="2">
        <f t="shared" si="374"/>
        <v>3625.65</v>
      </c>
      <c r="G2320" s="3">
        <v>1</v>
      </c>
      <c r="H2320">
        <v>2240</v>
      </c>
      <c r="I2320">
        <v>2850</v>
      </c>
      <c r="J2320">
        <v>17127</v>
      </c>
      <c r="K2320">
        <v>14880</v>
      </c>
      <c r="L2320" s="2">
        <v>27.217499999999998</v>
      </c>
      <c r="M2320" s="5">
        <v>137.24199999999996</v>
      </c>
      <c r="N2320" s="1">
        <v>300.66829999999999</v>
      </c>
      <c r="O2320" s="2">
        <v>0.5</v>
      </c>
      <c r="P2320">
        <v>307</v>
      </c>
    </row>
    <row r="2321" spans="1:16" x14ac:dyDescent="0.35">
      <c r="A2321" s="4">
        <v>45505</v>
      </c>
      <c r="B2321" t="s">
        <v>17</v>
      </c>
      <c r="C2321" t="s">
        <v>13</v>
      </c>
      <c r="D2321">
        <v>1</v>
      </c>
      <c r="E2321" s="2">
        <f>(3600+3850*2+3550)/4</f>
        <v>3712.5</v>
      </c>
      <c r="F2321" s="2">
        <f t="shared" si="374"/>
        <v>3625.65</v>
      </c>
      <c r="G2321" s="3">
        <v>1</v>
      </c>
      <c r="H2321">
        <v>2240</v>
      </c>
      <c r="I2321">
        <v>2850</v>
      </c>
      <c r="J2321">
        <v>17127</v>
      </c>
      <c r="K2321">
        <v>14880</v>
      </c>
      <c r="L2321" s="2">
        <v>27.217499999999998</v>
      </c>
      <c r="M2321" s="5">
        <v>137.24199999999996</v>
      </c>
      <c r="N2321" s="1">
        <v>300.66829999999999</v>
      </c>
      <c r="O2321" s="2">
        <v>0.5</v>
      </c>
      <c r="P2321">
        <v>307</v>
      </c>
    </row>
    <row r="2322" spans="1:16" x14ac:dyDescent="0.35">
      <c r="A2322" s="4">
        <v>45505</v>
      </c>
      <c r="B2322" t="s">
        <v>17</v>
      </c>
      <c r="C2322" t="s">
        <v>14</v>
      </c>
      <c r="D2322">
        <v>1</v>
      </c>
      <c r="E2322" s="2">
        <f>(3517+3633+3667+3500)/4</f>
        <v>3579.25</v>
      </c>
      <c r="F2322" s="2">
        <f t="shared" si="374"/>
        <v>3625.65</v>
      </c>
      <c r="G2322" s="3">
        <v>1</v>
      </c>
      <c r="H2322">
        <v>2240</v>
      </c>
      <c r="I2322">
        <v>2850</v>
      </c>
      <c r="J2322">
        <v>17127</v>
      </c>
      <c r="K2322">
        <v>14880</v>
      </c>
      <c r="L2322" s="2">
        <v>27.217499999999998</v>
      </c>
      <c r="M2322" s="5">
        <v>137.24199999999996</v>
      </c>
      <c r="N2322" s="1">
        <v>300.66829999999999</v>
      </c>
      <c r="O2322" s="2">
        <v>0.5</v>
      </c>
      <c r="P2322">
        <v>307</v>
      </c>
    </row>
    <row r="2323" spans="1:16" x14ac:dyDescent="0.35">
      <c r="A2323" s="4">
        <v>45505</v>
      </c>
      <c r="B2323" t="s">
        <v>17</v>
      </c>
      <c r="C2323" t="s">
        <v>15</v>
      </c>
      <c r="D2323">
        <v>0</v>
      </c>
      <c r="E2323" s="2" t="s">
        <v>27</v>
      </c>
      <c r="F2323" s="2">
        <f t="shared" si="374"/>
        <v>3625.65</v>
      </c>
      <c r="G2323" s="3">
        <v>1</v>
      </c>
      <c r="H2323">
        <v>2240</v>
      </c>
      <c r="I2323">
        <v>2850</v>
      </c>
      <c r="J2323">
        <v>17127</v>
      </c>
      <c r="K2323">
        <v>14880</v>
      </c>
      <c r="L2323" s="2">
        <v>27.217499999999998</v>
      </c>
      <c r="M2323" s="5">
        <v>137.24199999999996</v>
      </c>
      <c r="N2323" s="1">
        <v>300.66829999999999</v>
      </c>
      <c r="O2323" s="2">
        <v>0.5</v>
      </c>
      <c r="P2323">
        <v>307</v>
      </c>
    </row>
    <row r="2324" spans="1:16" x14ac:dyDescent="0.35">
      <c r="A2324" s="4">
        <v>45505</v>
      </c>
      <c r="B2324" t="s">
        <v>18</v>
      </c>
      <c r="C2324" t="s">
        <v>10</v>
      </c>
      <c r="D2324">
        <v>1</v>
      </c>
      <c r="E2324" s="2">
        <f>(3266+3300+3433+3450)/4</f>
        <v>3362.25</v>
      </c>
      <c r="F2324" s="2">
        <f>(3437.14+3457.25+3429.38+3409)/4</f>
        <v>3433.1925000000001</v>
      </c>
      <c r="G2324" s="3">
        <v>1</v>
      </c>
      <c r="H2324">
        <v>2240</v>
      </c>
      <c r="I2324">
        <v>2850</v>
      </c>
      <c r="J2324">
        <v>17127</v>
      </c>
      <c r="K2324">
        <v>14880</v>
      </c>
      <c r="L2324" s="2">
        <v>27.217499999999998</v>
      </c>
      <c r="M2324" s="5">
        <v>137.24199999999996</v>
      </c>
      <c r="N2324" s="1">
        <v>300.66829999999999</v>
      </c>
      <c r="O2324" s="2">
        <v>0.5</v>
      </c>
      <c r="P2324">
        <v>307</v>
      </c>
    </row>
    <row r="2325" spans="1:16" x14ac:dyDescent="0.35">
      <c r="A2325" s="4">
        <v>45505</v>
      </c>
      <c r="B2325" t="s">
        <v>18</v>
      </c>
      <c r="C2325" t="s">
        <v>11</v>
      </c>
      <c r="D2325">
        <v>1</v>
      </c>
      <c r="E2325" s="2">
        <v>3475</v>
      </c>
      <c r="F2325" s="2">
        <f t="shared" ref="F2325:F2329" si="375">(3437.14+3457.25+3429.38+3409)/4</f>
        <v>3433.1925000000001</v>
      </c>
      <c r="G2325" s="3">
        <v>1</v>
      </c>
      <c r="H2325">
        <v>2240</v>
      </c>
      <c r="I2325">
        <v>2850</v>
      </c>
      <c r="J2325">
        <v>17127</v>
      </c>
      <c r="K2325">
        <v>14880</v>
      </c>
      <c r="L2325" s="2">
        <v>27.217499999999998</v>
      </c>
      <c r="M2325" s="5">
        <v>137.24199999999996</v>
      </c>
      <c r="N2325" s="1">
        <v>300.66829999999999</v>
      </c>
      <c r="O2325" s="2">
        <v>0.5</v>
      </c>
      <c r="P2325">
        <v>307</v>
      </c>
    </row>
    <row r="2326" spans="1:16" x14ac:dyDescent="0.35">
      <c r="A2326" s="4">
        <v>45505</v>
      </c>
      <c r="B2326" t="s">
        <v>18</v>
      </c>
      <c r="C2326" t="s">
        <v>12</v>
      </c>
      <c r="D2326">
        <v>1</v>
      </c>
      <c r="E2326" s="2">
        <v>3200</v>
      </c>
      <c r="F2326" s="2">
        <f t="shared" si="375"/>
        <v>3433.1925000000001</v>
      </c>
      <c r="G2326" s="3">
        <v>1</v>
      </c>
      <c r="H2326">
        <v>2240</v>
      </c>
      <c r="I2326">
        <v>2850</v>
      </c>
      <c r="J2326">
        <v>17127</v>
      </c>
      <c r="K2326">
        <v>14880</v>
      </c>
      <c r="L2326" s="2">
        <v>27.217499999999998</v>
      </c>
      <c r="M2326" s="5">
        <v>137.24199999999996</v>
      </c>
      <c r="N2326" s="1">
        <v>300.66829999999999</v>
      </c>
      <c r="O2326" s="2">
        <v>0.5</v>
      </c>
      <c r="P2326">
        <v>307</v>
      </c>
    </row>
    <row r="2327" spans="1:16" x14ac:dyDescent="0.35">
      <c r="A2327" s="4">
        <v>45505</v>
      </c>
      <c r="B2327" t="s">
        <v>18</v>
      </c>
      <c r="C2327" t="s">
        <v>13</v>
      </c>
      <c r="D2327">
        <v>1</v>
      </c>
      <c r="E2327" s="2">
        <f>(3500+3350+3400*2)/4</f>
        <v>3412.5</v>
      </c>
      <c r="F2327" s="2">
        <f t="shared" si="375"/>
        <v>3433.1925000000001</v>
      </c>
      <c r="G2327" s="3">
        <v>1</v>
      </c>
      <c r="H2327">
        <v>2240</v>
      </c>
      <c r="I2327">
        <v>2850</v>
      </c>
      <c r="J2327">
        <v>17127</v>
      </c>
      <c r="K2327">
        <v>14880</v>
      </c>
      <c r="L2327" s="2">
        <v>27.217499999999998</v>
      </c>
      <c r="M2327" s="5">
        <v>137.24199999999996</v>
      </c>
      <c r="N2327" s="1">
        <v>300.66829999999999</v>
      </c>
      <c r="O2327" s="2">
        <v>0.5</v>
      </c>
      <c r="P2327">
        <v>307</v>
      </c>
    </row>
    <row r="2328" spans="1:16" x14ac:dyDescent="0.35">
      <c r="A2328" s="4">
        <v>45505</v>
      </c>
      <c r="B2328" t="s">
        <v>18</v>
      </c>
      <c r="C2328" t="s">
        <v>14</v>
      </c>
      <c r="D2328">
        <v>1</v>
      </c>
      <c r="E2328" s="2">
        <f>(3340+3360+3475+3460)/4</f>
        <v>3408.75</v>
      </c>
      <c r="F2328" s="2">
        <f t="shared" si="375"/>
        <v>3433.1925000000001</v>
      </c>
      <c r="G2328" s="3">
        <v>1</v>
      </c>
      <c r="H2328">
        <v>2240</v>
      </c>
      <c r="I2328">
        <v>2850</v>
      </c>
      <c r="J2328">
        <v>17127</v>
      </c>
      <c r="K2328">
        <v>14880</v>
      </c>
      <c r="L2328" s="2">
        <v>27.217499999999998</v>
      </c>
      <c r="M2328" s="5">
        <v>137.24199999999996</v>
      </c>
      <c r="N2328" s="1">
        <v>300.66829999999999</v>
      </c>
      <c r="O2328" s="2">
        <v>0.5</v>
      </c>
      <c r="P2328">
        <v>307</v>
      </c>
    </row>
    <row r="2329" spans="1:16" x14ac:dyDescent="0.35">
      <c r="A2329" s="4">
        <v>45505</v>
      </c>
      <c r="B2329" t="s">
        <v>18</v>
      </c>
      <c r="C2329" t="s">
        <v>15</v>
      </c>
      <c r="D2329">
        <v>1</v>
      </c>
      <c r="E2329" s="2">
        <f>(3475*2+3600+3650)/4</f>
        <v>3550</v>
      </c>
      <c r="F2329" s="2">
        <f t="shared" si="375"/>
        <v>3433.1925000000001</v>
      </c>
      <c r="G2329" s="3">
        <v>1</v>
      </c>
      <c r="H2329">
        <v>2240</v>
      </c>
      <c r="I2329">
        <v>2850</v>
      </c>
      <c r="J2329">
        <v>17127</v>
      </c>
      <c r="K2329">
        <v>14880</v>
      </c>
      <c r="L2329" s="2">
        <v>27.217499999999998</v>
      </c>
      <c r="M2329" s="5">
        <v>137.24199999999996</v>
      </c>
      <c r="N2329" s="1">
        <v>300.66829999999999</v>
      </c>
      <c r="O2329" s="2">
        <v>0.5</v>
      </c>
      <c r="P2329">
        <v>307</v>
      </c>
    </row>
    <row r="2330" spans="1:16" x14ac:dyDescent="0.35">
      <c r="A2330" s="4">
        <v>45505</v>
      </c>
      <c r="B2330" t="s">
        <v>19</v>
      </c>
      <c r="C2330" t="s">
        <v>10</v>
      </c>
      <c r="D2330">
        <v>1</v>
      </c>
      <c r="E2330" s="2">
        <f>(3033+3133+3150+3230)/4</f>
        <v>3136.5</v>
      </c>
      <c r="F2330" s="2">
        <f>(3205.33+3256.88+3262.75+3230)/4</f>
        <v>3238.74</v>
      </c>
      <c r="G2330" s="3">
        <v>1</v>
      </c>
      <c r="H2330">
        <v>2240</v>
      </c>
      <c r="I2330">
        <v>2850</v>
      </c>
      <c r="J2330">
        <v>17127</v>
      </c>
      <c r="K2330">
        <v>14880</v>
      </c>
      <c r="L2330" s="2">
        <v>27.217499999999998</v>
      </c>
      <c r="M2330" s="5">
        <v>137.24199999999996</v>
      </c>
      <c r="N2330" s="1">
        <v>300.66829999999999</v>
      </c>
      <c r="O2330" s="2">
        <v>0.5</v>
      </c>
      <c r="P2330">
        <v>307</v>
      </c>
    </row>
    <row r="2331" spans="1:16" x14ac:dyDescent="0.35">
      <c r="A2331" s="4">
        <v>45505</v>
      </c>
      <c r="B2331" t="s">
        <v>19</v>
      </c>
      <c r="C2331" t="s">
        <v>11</v>
      </c>
      <c r="D2331">
        <v>1</v>
      </c>
      <c r="E2331" s="2">
        <f>(12850)/4</f>
        <v>3212.5</v>
      </c>
      <c r="F2331" s="2">
        <f t="shared" ref="F2331:F2335" si="376">(3205.33+3256.88+3262.75+3230)/4</f>
        <v>3238.74</v>
      </c>
      <c r="G2331" s="3">
        <v>1</v>
      </c>
      <c r="H2331">
        <v>2240</v>
      </c>
      <c r="I2331">
        <v>2850</v>
      </c>
      <c r="J2331">
        <v>17127</v>
      </c>
      <c r="K2331">
        <v>14880</v>
      </c>
      <c r="L2331" s="2">
        <v>27.217499999999998</v>
      </c>
      <c r="M2331" s="5">
        <v>137.24199999999996</v>
      </c>
      <c r="N2331" s="1">
        <v>300.66829999999999</v>
      </c>
      <c r="O2331" s="2">
        <v>0.5</v>
      </c>
      <c r="P2331">
        <v>307</v>
      </c>
    </row>
    <row r="2332" spans="1:16" x14ac:dyDescent="0.35">
      <c r="A2332" s="4">
        <v>45505</v>
      </c>
      <c r="B2332" t="s">
        <v>19</v>
      </c>
      <c r="C2332" t="s">
        <v>12</v>
      </c>
      <c r="D2332">
        <v>1</v>
      </c>
      <c r="E2332" s="2">
        <v>3090</v>
      </c>
      <c r="F2332" s="2">
        <f t="shared" si="376"/>
        <v>3238.74</v>
      </c>
      <c r="G2332" s="3">
        <v>1</v>
      </c>
      <c r="H2332">
        <v>2240</v>
      </c>
      <c r="I2332">
        <v>2850</v>
      </c>
      <c r="J2332">
        <v>17127</v>
      </c>
      <c r="K2332">
        <v>14880</v>
      </c>
      <c r="L2332" s="2">
        <v>27.217499999999998</v>
      </c>
      <c r="M2332" s="5">
        <v>137.24199999999996</v>
      </c>
      <c r="N2332" s="1">
        <v>300.66829999999999</v>
      </c>
      <c r="O2332" s="2">
        <v>0.5</v>
      </c>
      <c r="P2332">
        <v>307</v>
      </c>
    </row>
    <row r="2333" spans="1:16" x14ac:dyDescent="0.35">
      <c r="A2333" s="4">
        <v>45505</v>
      </c>
      <c r="B2333" t="s">
        <v>19</v>
      </c>
      <c r="C2333" t="s">
        <v>13</v>
      </c>
      <c r="D2333">
        <v>1</v>
      </c>
      <c r="E2333" s="2">
        <f>(3300+3375+3250*2)/4</f>
        <v>3293.75</v>
      </c>
      <c r="F2333" s="2">
        <f t="shared" si="376"/>
        <v>3238.74</v>
      </c>
      <c r="G2333" s="3">
        <v>1</v>
      </c>
      <c r="H2333">
        <v>2240</v>
      </c>
      <c r="I2333">
        <v>2850</v>
      </c>
      <c r="J2333">
        <v>17127</v>
      </c>
      <c r="K2333">
        <v>14880</v>
      </c>
      <c r="L2333" s="2">
        <v>27.217499999999998</v>
      </c>
      <c r="M2333" s="5">
        <v>137.24199999999996</v>
      </c>
      <c r="N2333" s="1">
        <v>300.66829999999999</v>
      </c>
      <c r="O2333" s="2">
        <v>0.5</v>
      </c>
      <c r="P2333">
        <v>307</v>
      </c>
    </row>
    <row r="2334" spans="1:16" x14ac:dyDescent="0.35">
      <c r="A2334" s="4">
        <v>45505</v>
      </c>
      <c r="B2334" t="s">
        <v>19</v>
      </c>
      <c r="C2334" t="s">
        <v>14</v>
      </c>
      <c r="D2334">
        <v>1</v>
      </c>
      <c r="E2334" s="2">
        <f>(3200+3257+3357+3395)/4</f>
        <v>3302.25</v>
      </c>
      <c r="F2334" s="2">
        <f t="shared" si="376"/>
        <v>3238.74</v>
      </c>
      <c r="G2334" s="3">
        <v>1</v>
      </c>
      <c r="H2334">
        <v>2240</v>
      </c>
      <c r="I2334">
        <v>2850</v>
      </c>
      <c r="J2334">
        <v>17127</v>
      </c>
      <c r="K2334">
        <v>14880</v>
      </c>
      <c r="L2334" s="2">
        <v>27.217499999999998</v>
      </c>
      <c r="M2334" s="5">
        <v>137.24199999999996</v>
      </c>
      <c r="N2334" s="1">
        <v>300.66829999999999</v>
      </c>
      <c r="O2334" s="2">
        <v>0.5</v>
      </c>
      <c r="P2334">
        <v>307</v>
      </c>
    </row>
    <row r="2335" spans="1:16" x14ac:dyDescent="0.35">
      <c r="A2335" s="4">
        <v>45505</v>
      </c>
      <c r="B2335" t="s">
        <v>19</v>
      </c>
      <c r="C2335" t="s">
        <v>15</v>
      </c>
      <c r="D2335">
        <v>1</v>
      </c>
      <c r="E2335" s="2">
        <f>(3400+3375+3325*2)/4</f>
        <v>3356.25</v>
      </c>
      <c r="F2335" s="2">
        <f t="shared" si="376"/>
        <v>3238.74</v>
      </c>
      <c r="G2335" s="3">
        <v>1</v>
      </c>
      <c r="H2335">
        <v>2240</v>
      </c>
      <c r="I2335">
        <v>2850</v>
      </c>
      <c r="J2335">
        <v>17127</v>
      </c>
      <c r="K2335">
        <v>14880</v>
      </c>
      <c r="L2335" s="2">
        <v>27.217499999999998</v>
      </c>
      <c r="M2335" s="5">
        <v>137.24199999999996</v>
      </c>
      <c r="N2335" s="1">
        <v>300.66829999999999</v>
      </c>
      <c r="O2335" s="2">
        <v>0.5</v>
      </c>
      <c r="P2335">
        <v>307</v>
      </c>
    </row>
    <row r="2336" spans="1:16" x14ac:dyDescent="0.35">
      <c r="A2336" s="4">
        <v>45505</v>
      </c>
      <c r="B2336" t="s">
        <v>20</v>
      </c>
      <c r="C2336" t="s">
        <v>10</v>
      </c>
      <c r="D2336">
        <v>1</v>
      </c>
      <c r="E2336" s="2">
        <f>(2633+2900*3)/4</f>
        <v>2833.25</v>
      </c>
      <c r="F2336" s="2">
        <f>(2735.43+2804.29+2874.63+2879.38)/4</f>
        <v>2823.4324999999999</v>
      </c>
      <c r="G2336" s="3">
        <v>1</v>
      </c>
      <c r="H2336">
        <v>2240</v>
      </c>
      <c r="I2336">
        <v>2850</v>
      </c>
      <c r="J2336">
        <v>17127</v>
      </c>
      <c r="K2336">
        <v>14880</v>
      </c>
      <c r="L2336" s="2">
        <v>27.217499999999998</v>
      </c>
      <c r="M2336" s="5">
        <v>137.24199999999996</v>
      </c>
      <c r="N2336" s="1">
        <v>300.66829999999999</v>
      </c>
      <c r="O2336" s="2">
        <v>0.5</v>
      </c>
      <c r="P2336">
        <v>307</v>
      </c>
    </row>
    <row r="2337" spans="1:16" x14ac:dyDescent="0.35">
      <c r="A2337" s="4">
        <v>45505</v>
      </c>
      <c r="B2337" t="s">
        <v>20</v>
      </c>
      <c r="C2337" t="s">
        <v>11</v>
      </c>
      <c r="D2337">
        <v>1</v>
      </c>
      <c r="E2337" s="2">
        <v>2675</v>
      </c>
      <c r="F2337" s="2">
        <f t="shared" ref="F2337:F2341" si="377">(2735.43+2804.29+2874.63+2879.38)/4</f>
        <v>2823.4324999999999</v>
      </c>
      <c r="G2337" s="3">
        <v>1</v>
      </c>
      <c r="H2337">
        <v>2240</v>
      </c>
      <c r="I2337">
        <v>2850</v>
      </c>
      <c r="J2337">
        <v>17127</v>
      </c>
      <c r="K2337">
        <v>14880</v>
      </c>
      <c r="L2337" s="2">
        <v>27.217499999999998</v>
      </c>
      <c r="M2337" s="5">
        <v>137.24199999999996</v>
      </c>
      <c r="N2337" s="1">
        <v>300.66829999999999</v>
      </c>
      <c r="O2337" s="2">
        <v>0.5</v>
      </c>
      <c r="P2337">
        <v>307</v>
      </c>
    </row>
    <row r="2338" spans="1:16" x14ac:dyDescent="0.35">
      <c r="A2338" s="4">
        <v>45505</v>
      </c>
      <c r="B2338" t="s">
        <v>20</v>
      </c>
      <c r="C2338" t="s">
        <v>12</v>
      </c>
      <c r="D2338">
        <v>1</v>
      </c>
      <c r="E2338" s="2">
        <v>2185</v>
      </c>
      <c r="F2338" s="2">
        <f t="shared" si="377"/>
        <v>2823.4324999999999</v>
      </c>
      <c r="G2338" s="3">
        <v>1</v>
      </c>
      <c r="H2338">
        <v>2240</v>
      </c>
      <c r="I2338">
        <v>2850</v>
      </c>
      <c r="J2338">
        <v>17127</v>
      </c>
      <c r="K2338">
        <v>14880</v>
      </c>
      <c r="L2338" s="2">
        <v>27.217499999999998</v>
      </c>
      <c r="M2338" s="5">
        <v>137.24199999999996</v>
      </c>
      <c r="N2338" s="1">
        <v>300.66829999999999</v>
      </c>
      <c r="O2338" s="2">
        <v>0.5</v>
      </c>
      <c r="P2338">
        <v>307</v>
      </c>
    </row>
    <row r="2339" spans="1:16" x14ac:dyDescent="0.35">
      <c r="A2339" s="4">
        <v>45505</v>
      </c>
      <c r="B2339" t="s">
        <v>20</v>
      </c>
      <c r="C2339" t="s">
        <v>13</v>
      </c>
      <c r="D2339">
        <v>1</v>
      </c>
      <c r="E2339" s="2">
        <f>(3100*2+3050+2975)/4</f>
        <v>3056.25</v>
      </c>
      <c r="F2339" s="2">
        <f t="shared" si="377"/>
        <v>2823.4324999999999</v>
      </c>
      <c r="G2339" s="3">
        <v>1</v>
      </c>
      <c r="H2339">
        <v>2240</v>
      </c>
      <c r="I2339">
        <v>2850</v>
      </c>
      <c r="J2339">
        <v>17127</v>
      </c>
      <c r="K2339">
        <v>14880</v>
      </c>
      <c r="L2339" s="2">
        <v>27.217499999999998</v>
      </c>
      <c r="M2339" s="5">
        <v>137.24199999999996</v>
      </c>
      <c r="N2339" s="1">
        <v>300.66829999999999</v>
      </c>
      <c r="O2339" s="2">
        <v>0.5</v>
      </c>
      <c r="P2339">
        <v>307</v>
      </c>
    </row>
    <row r="2340" spans="1:16" x14ac:dyDescent="0.35">
      <c r="A2340" s="4">
        <v>45505</v>
      </c>
      <c r="B2340" t="s">
        <v>20</v>
      </c>
      <c r="C2340" t="s">
        <v>14</v>
      </c>
      <c r="D2340">
        <v>1</v>
      </c>
      <c r="E2340" s="2">
        <f>(3050+3120+3212+3250)/4</f>
        <v>3158</v>
      </c>
      <c r="F2340" s="2">
        <f t="shared" si="377"/>
        <v>2823.4324999999999</v>
      </c>
      <c r="G2340" s="3">
        <v>1</v>
      </c>
      <c r="H2340">
        <v>2240</v>
      </c>
      <c r="I2340">
        <v>2850</v>
      </c>
      <c r="J2340">
        <v>17127</v>
      </c>
      <c r="K2340">
        <v>14880</v>
      </c>
      <c r="L2340" s="2">
        <v>27.217499999999998</v>
      </c>
      <c r="M2340" s="5">
        <v>137.24199999999996</v>
      </c>
      <c r="N2340" s="1">
        <v>300.66829999999999</v>
      </c>
      <c r="O2340" s="2">
        <v>0.5</v>
      </c>
      <c r="P2340">
        <v>307</v>
      </c>
    </row>
    <row r="2341" spans="1:16" x14ac:dyDescent="0.35">
      <c r="A2341" s="4">
        <v>45505</v>
      </c>
      <c r="B2341" t="s">
        <v>20</v>
      </c>
      <c r="C2341" t="s">
        <v>15</v>
      </c>
      <c r="D2341">
        <v>1</v>
      </c>
      <c r="E2341" s="2">
        <f>(3200*2+3100+3175)/4</f>
        <v>3168.75</v>
      </c>
      <c r="F2341" s="2">
        <f t="shared" si="377"/>
        <v>2823.4324999999999</v>
      </c>
      <c r="G2341" s="3">
        <v>1</v>
      </c>
      <c r="H2341">
        <v>2240</v>
      </c>
      <c r="I2341">
        <v>2850</v>
      </c>
      <c r="J2341">
        <v>17127</v>
      </c>
      <c r="K2341">
        <v>14880</v>
      </c>
      <c r="L2341" s="2">
        <v>27.217499999999998</v>
      </c>
      <c r="M2341" s="5">
        <v>137.24199999999996</v>
      </c>
      <c r="N2341" s="1">
        <v>300.66829999999999</v>
      </c>
      <c r="O2341" s="2">
        <v>0.5</v>
      </c>
      <c r="P2341">
        <v>307</v>
      </c>
    </row>
    <row r="2342" spans="1:16" x14ac:dyDescent="0.35">
      <c r="A2342" s="4">
        <v>45505</v>
      </c>
      <c r="B2342" t="s">
        <v>21</v>
      </c>
      <c r="C2342" t="s">
        <v>10</v>
      </c>
      <c r="D2342">
        <v>1</v>
      </c>
      <c r="E2342" s="2">
        <f>(2650+2500+2850+2316)/4</f>
        <v>2579</v>
      </c>
      <c r="F2342" s="2">
        <f>(2590.71+2693.29+2711.63+2727.13)/4</f>
        <v>2680.69</v>
      </c>
      <c r="G2342" s="3">
        <v>1</v>
      </c>
      <c r="H2342">
        <v>2240</v>
      </c>
      <c r="I2342">
        <v>2850</v>
      </c>
      <c r="J2342">
        <v>17127</v>
      </c>
      <c r="K2342">
        <v>14880</v>
      </c>
      <c r="L2342" s="2">
        <v>27.217499999999998</v>
      </c>
      <c r="M2342" s="5">
        <v>137.24199999999996</v>
      </c>
      <c r="N2342" s="1">
        <v>300.66829999999999</v>
      </c>
      <c r="O2342" s="2">
        <v>0.5</v>
      </c>
      <c r="P2342">
        <v>307</v>
      </c>
    </row>
    <row r="2343" spans="1:16" x14ac:dyDescent="0.35">
      <c r="A2343" s="4">
        <v>45505</v>
      </c>
      <c r="B2343" t="s">
        <v>21</v>
      </c>
      <c r="C2343" t="s">
        <v>11</v>
      </c>
      <c r="D2343">
        <v>1</v>
      </c>
      <c r="E2343" s="2">
        <v>2575</v>
      </c>
      <c r="F2343" s="2">
        <f t="shared" ref="F2343:F2347" si="378">(2590.71+2693.29+2711.63+2727.13)/4</f>
        <v>2680.69</v>
      </c>
      <c r="G2343" s="3">
        <v>1</v>
      </c>
      <c r="H2343">
        <v>2240</v>
      </c>
      <c r="I2343">
        <v>2850</v>
      </c>
      <c r="J2343">
        <v>17127</v>
      </c>
      <c r="K2343">
        <v>14880</v>
      </c>
      <c r="L2343" s="2">
        <v>27.217499999999998</v>
      </c>
      <c r="M2343" s="5">
        <v>137.24199999999996</v>
      </c>
      <c r="N2343" s="1">
        <v>300.66829999999999</v>
      </c>
      <c r="O2343" s="2">
        <v>0.5</v>
      </c>
      <c r="P2343">
        <v>307</v>
      </c>
    </row>
    <row r="2344" spans="1:16" x14ac:dyDescent="0.35">
      <c r="A2344" s="4">
        <v>45505</v>
      </c>
      <c r="B2344" t="s">
        <v>21</v>
      </c>
      <c r="C2344" t="s">
        <v>12</v>
      </c>
      <c r="D2344">
        <v>1</v>
      </c>
      <c r="E2344" s="2">
        <v>2100</v>
      </c>
      <c r="F2344" s="2">
        <f t="shared" si="378"/>
        <v>2680.69</v>
      </c>
      <c r="G2344" s="3">
        <v>1</v>
      </c>
      <c r="H2344">
        <v>2240</v>
      </c>
      <c r="I2344">
        <v>2850</v>
      </c>
      <c r="J2344">
        <v>17127</v>
      </c>
      <c r="K2344">
        <v>14880</v>
      </c>
      <c r="L2344" s="2">
        <v>27.217499999999998</v>
      </c>
      <c r="M2344" s="5">
        <v>137.24199999999996</v>
      </c>
      <c r="N2344" s="1">
        <v>300.66829999999999</v>
      </c>
      <c r="O2344" s="2">
        <v>0.5</v>
      </c>
      <c r="P2344">
        <v>307</v>
      </c>
    </row>
    <row r="2345" spans="1:16" x14ac:dyDescent="0.35">
      <c r="A2345" s="4">
        <v>45505</v>
      </c>
      <c r="B2345" t="s">
        <v>21</v>
      </c>
      <c r="C2345" t="s">
        <v>13</v>
      </c>
      <c r="D2345">
        <v>1</v>
      </c>
      <c r="E2345" s="2">
        <f>(2950+3025+2850+2900)/4</f>
        <v>2931.25</v>
      </c>
      <c r="F2345" s="2">
        <f t="shared" si="378"/>
        <v>2680.69</v>
      </c>
      <c r="G2345" s="3">
        <v>1</v>
      </c>
      <c r="H2345">
        <v>2240</v>
      </c>
      <c r="I2345">
        <v>2850</v>
      </c>
      <c r="J2345">
        <v>17127</v>
      </c>
      <c r="K2345">
        <v>14880</v>
      </c>
      <c r="L2345" s="2">
        <v>27.217499999999998</v>
      </c>
      <c r="M2345" s="5">
        <v>137.24199999999996</v>
      </c>
      <c r="N2345" s="1">
        <v>300.66829999999999</v>
      </c>
      <c r="O2345" s="2">
        <v>0.5</v>
      </c>
      <c r="P2345">
        <v>307</v>
      </c>
    </row>
    <row r="2346" spans="1:16" x14ac:dyDescent="0.35">
      <c r="A2346" s="4">
        <v>45505</v>
      </c>
      <c r="B2346" t="s">
        <v>21</v>
      </c>
      <c r="C2346" t="s">
        <v>14</v>
      </c>
      <c r="D2346">
        <v>1</v>
      </c>
      <c r="E2346" s="2">
        <f>(2944+3037+3093+3117)/4</f>
        <v>3047.75</v>
      </c>
      <c r="F2346" s="2">
        <f t="shared" si="378"/>
        <v>2680.69</v>
      </c>
      <c r="G2346" s="3">
        <v>1</v>
      </c>
      <c r="H2346">
        <v>2240</v>
      </c>
      <c r="I2346">
        <v>2850</v>
      </c>
      <c r="J2346">
        <v>17127</v>
      </c>
      <c r="K2346">
        <v>14880</v>
      </c>
      <c r="L2346" s="2">
        <v>27.217499999999998</v>
      </c>
      <c r="M2346" s="5">
        <v>137.24199999999996</v>
      </c>
      <c r="N2346" s="1">
        <v>300.66829999999999</v>
      </c>
      <c r="O2346" s="2">
        <v>0.5</v>
      </c>
      <c r="P2346">
        <v>307</v>
      </c>
    </row>
    <row r="2347" spans="1:16" x14ac:dyDescent="0.35">
      <c r="A2347" s="4">
        <v>45505</v>
      </c>
      <c r="B2347" t="s">
        <v>21</v>
      </c>
      <c r="C2347" t="s">
        <v>15</v>
      </c>
      <c r="D2347">
        <v>1</v>
      </c>
      <c r="E2347" s="2">
        <f>(3150+3125+3050+3025)/4</f>
        <v>3087.5</v>
      </c>
      <c r="F2347" s="2">
        <f t="shared" si="378"/>
        <v>2680.69</v>
      </c>
      <c r="G2347" s="3">
        <v>1</v>
      </c>
      <c r="H2347">
        <v>2240</v>
      </c>
      <c r="I2347">
        <v>2850</v>
      </c>
      <c r="J2347">
        <v>17127</v>
      </c>
      <c r="K2347">
        <v>14880</v>
      </c>
      <c r="L2347" s="2">
        <v>27.217499999999998</v>
      </c>
      <c r="M2347" s="5">
        <v>137.24199999999996</v>
      </c>
      <c r="N2347" s="1">
        <v>300.66829999999999</v>
      </c>
      <c r="O2347" s="2">
        <v>0.5</v>
      </c>
      <c r="P2347">
        <v>307</v>
      </c>
    </row>
    <row r="2348" spans="1:16" x14ac:dyDescent="0.35">
      <c r="A2348" s="4">
        <v>45505</v>
      </c>
      <c r="B2348" t="s">
        <v>22</v>
      </c>
      <c r="C2348" t="s">
        <v>10</v>
      </c>
      <c r="D2348">
        <v>0</v>
      </c>
      <c r="E2348" s="2" t="s">
        <v>27</v>
      </c>
      <c r="F2348" s="2">
        <f t="shared" ref="F2348:F2351" si="379">(2667+2575+2400+2425)/4</f>
        <v>2516.75</v>
      </c>
      <c r="G2348" s="3">
        <v>1</v>
      </c>
      <c r="H2348">
        <v>2240</v>
      </c>
      <c r="I2348">
        <v>2850</v>
      </c>
      <c r="J2348">
        <v>17127</v>
      </c>
      <c r="K2348">
        <v>14880</v>
      </c>
      <c r="L2348" s="2">
        <v>27.217499999999998</v>
      </c>
      <c r="M2348" s="5">
        <v>137.24199999999996</v>
      </c>
      <c r="N2348" s="1">
        <v>300.66829999999999</v>
      </c>
      <c r="O2348" s="2">
        <v>0.5</v>
      </c>
      <c r="P2348">
        <v>307</v>
      </c>
    </row>
    <row r="2349" spans="1:16" x14ac:dyDescent="0.35">
      <c r="A2349" s="4">
        <v>45505</v>
      </c>
      <c r="B2349" t="s">
        <v>22</v>
      </c>
      <c r="C2349" t="s">
        <v>11</v>
      </c>
      <c r="D2349">
        <v>0</v>
      </c>
      <c r="E2349" s="2" t="s">
        <v>27</v>
      </c>
      <c r="F2349" s="2">
        <f t="shared" si="379"/>
        <v>2516.75</v>
      </c>
      <c r="G2349" s="3">
        <v>1</v>
      </c>
      <c r="H2349">
        <v>2240</v>
      </c>
      <c r="I2349">
        <v>2850</v>
      </c>
      <c r="J2349">
        <v>17127</v>
      </c>
      <c r="K2349">
        <v>14880</v>
      </c>
      <c r="L2349" s="2">
        <v>27.217499999999998</v>
      </c>
      <c r="M2349" s="5">
        <v>137.24199999999996</v>
      </c>
      <c r="N2349" s="1">
        <v>300.66829999999999</v>
      </c>
      <c r="O2349" s="2">
        <v>0.5</v>
      </c>
      <c r="P2349">
        <v>307</v>
      </c>
    </row>
    <row r="2350" spans="1:16" x14ac:dyDescent="0.35">
      <c r="A2350" s="4">
        <v>45505</v>
      </c>
      <c r="B2350" t="s">
        <v>22</v>
      </c>
      <c r="C2350" t="s">
        <v>12</v>
      </c>
      <c r="D2350">
        <v>0</v>
      </c>
      <c r="E2350" s="2" t="s">
        <v>27</v>
      </c>
      <c r="F2350" s="2">
        <f t="shared" si="379"/>
        <v>2516.75</v>
      </c>
      <c r="G2350" s="3">
        <v>1</v>
      </c>
      <c r="H2350">
        <v>2240</v>
      </c>
      <c r="I2350">
        <v>2850</v>
      </c>
      <c r="J2350">
        <v>17127</v>
      </c>
      <c r="K2350">
        <v>14880</v>
      </c>
      <c r="L2350" s="2">
        <v>27.217499999999998</v>
      </c>
      <c r="M2350" s="5">
        <v>137.24199999999996</v>
      </c>
      <c r="N2350" s="1">
        <v>300.66829999999999</v>
      </c>
      <c r="O2350" s="2">
        <v>0.5</v>
      </c>
      <c r="P2350">
        <v>307</v>
      </c>
    </row>
    <row r="2351" spans="1:16" x14ac:dyDescent="0.35">
      <c r="A2351" s="4">
        <v>45505</v>
      </c>
      <c r="B2351" t="s">
        <v>22</v>
      </c>
      <c r="C2351" t="s">
        <v>13</v>
      </c>
      <c r="D2351">
        <v>0</v>
      </c>
      <c r="E2351" s="2" t="s">
        <v>27</v>
      </c>
      <c r="F2351" s="2">
        <f t="shared" si="379"/>
        <v>2516.75</v>
      </c>
      <c r="G2351" s="3">
        <v>1</v>
      </c>
      <c r="H2351">
        <v>2240</v>
      </c>
      <c r="I2351">
        <v>2850</v>
      </c>
      <c r="J2351">
        <v>17127</v>
      </c>
      <c r="K2351">
        <v>14880</v>
      </c>
      <c r="L2351" s="2">
        <v>27.217499999999998</v>
      </c>
      <c r="M2351" s="5">
        <v>137.24199999999996</v>
      </c>
      <c r="N2351" s="1">
        <v>300.66829999999999</v>
      </c>
      <c r="O2351" s="2">
        <v>0.5</v>
      </c>
      <c r="P2351">
        <v>307</v>
      </c>
    </row>
    <row r="2352" spans="1:16" x14ac:dyDescent="0.35">
      <c r="A2352" s="4">
        <v>45505</v>
      </c>
      <c r="B2352" t="s">
        <v>22</v>
      </c>
      <c r="C2352" t="s">
        <v>14</v>
      </c>
      <c r="D2352">
        <v>1</v>
      </c>
      <c r="E2352" s="2">
        <f>(2667+2575+2400+2425)/4</f>
        <v>2516.75</v>
      </c>
      <c r="F2352" s="2">
        <f>(2667+2575+2400+2425)/4</f>
        <v>2516.75</v>
      </c>
      <c r="G2352" s="3">
        <v>1</v>
      </c>
      <c r="H2352">
        <v>2240</v>
      </c>
      <c r="I2352">
        <v>2850</v>
      </c>
      <c r="J2352">
        <v>17127</v>
      </c>
      <c r="K2352">
        <v>14880</v>
      </c>
      <c r="L2352" s="2">
        <v>27.217499999999998</v>
      </c>
      <c r="M2352" s="5">
        <v>137.24199999999996</v>
      </c>
      <c r="N2352" s="1">
        <v>300.66829999999999</v>
      </c>
      <c r="O2352" s="2">
        <v>0.5</v>
      </c>
      <c r="P2352">
        <v>307</v>
      </c>
    </row>
    <row r="2353" spans="1:16" x14ac:dyDescent="0.35">
      <c r="A2353" s="4">
        <v>45505</v>
      </c>
      <c r="B2353" t="s">
        <v>22</v>
      </c>
      <c r="C2353" t="s">
        <v>15</v>
      </c>
      <c r="D2353">
        <v>0</v>
      </c>
      <c r="E2353" s="2" t="s">
        <v>27</v>
      </c>
      <c r="F2353" s="2">
        <f>(2667+2575+2400+2425)/4</f>
        <v>2516.75</v>
      </c>
      <c r="G2353" s="3">
        <v>1</v>
      </c>
      <c r="H2353">
        <v>2240</v>
      </c>
      <c r="I2353">
        <v>2850</v>
      </c>
      <c r="J2353">
        <v>17127</v>
      </c>
      <c r="K2353">
        <v>14880</v>
      </c>
      <c r="L2353" s="2">
        <v>27.217499999999998</v>
      </c>
      <c r="M2353" s="5">
        <v>137.24199999999996</v>
      </c>
      <c r="N2353" s="1">
        <v>300.66829999999999</v>
      </c>
      <c r="O2353" s="2">
        <v>0.5</v>
      </c>
      <c r="P2353">
        <v>307</v>
      </c>
    </row>
    <row r="2354" spans="1:16" x14ac:dyDescent="0.35">
      <c r="A2354" s="4">
        <v>45536</v>
      </c>
      <c r="B2354" t="s">
        <v>16</v>
      </c>
      <c r="C2354" t="s">
        <v>10</v>
      </c>
      <c r="D2354">
        <v>1</v>
      </c>
      <c r="E2354" s="2">
        <v>4500</v>
      </c>
      <c r="F2354" s="2">
        <f>(4480+4473.75+4480+4467.5)/4</f>
        <v>4475.3125</v>
      </c>
      <c r="G2354" s="3">
        <v>1</v>
      </c>
      <c r="H2354">
        <v>1120</v>
      </c>
      <c r="I2354">
        <v>2850</v>
      </c>
      <c r="J2354">
        <v>21621</v>
      </c>
      <c r="K2354">
        <v>19840</v>
      </c>
      <c r="L2354" s="2">
        <v>27.541875000000001</v>
      </c>
      <c r="M2354" s="5">
        <v>69.441000000000003</v>
      </c>
      <c r="N2354" s="1">
        <v>301.15050000000002</v>
      </c>
      <c r="O2354" s="2">
        <v>-0.5</v>
      </c>
      <c r="P2354">
        <v>283</v>
      </c>
    </row>
    <row r="2355" spans="1:16" x14ac:dyDescent="0.35">
      <c r="A2355" s="4">
        <v>45536</v>
      </c>
      <c r="B2355" t="s">
        <v>16</v>
      </c>
      <c r="C2355" t="s">
        <v>11</v>
      </c>
      <c r="D2355">
        <v>0</v>
      </c>
      <c r="E2355" s="2" t="s">
        <v>27</v>
      </c>
      <c r="F2355" s="2">
        <f t="shared" ref="F2355:F2359" si="380">(4480+4473.75+4480+4467.5)/4</f>
        <v>4475.3125</v>
      </c>
      <c r="G2355" s="3">
        <v>1</v>
      </c>
      <c r="H2355">
        <v>1120</v>
      </c>
      <c r="I2355">
        <v>2850</v>
      </c>
      <c r="J2355">
        <v>21621</v>
      </c>
      <c r="K2355">
        <v>19840</v>
      </c>
      <c r="L2355" s="2">
        <v>27.541875000000001</v>
      </c>
      <c r="M2355" s="5">
        <v>69.441000000000003</v>
      </c>
      <c r="N2355" s="1">
        <v>301.15050000000002</v>
      </c>
      <c r="O2355" s="2">
        <v>-0.5</v>
      </c>
      <c r="P2355">
        <v>283</v>
      </c>
    </row>
    <row r="2356" spans="1:16" x14ac:dyDescent="0.35">
      <c r="A2356" s="4">
        <v>45536</v>
      </c>
      <c r="B2356" t="s">
        <v>16</v>
      </c>
      <c r="C2356" t="s">
        <v>12</v>
      </c>
      <c r="D2356">
        <v>1</v>
      </c>
      <c r="E2356" s="2">
        <v>4170</v>
      </c>
      <c r="F2356" s="2">
        <f t="shared" si="380"/>
        <v>4475.3125</v>
      </c>
      <c r="G2356" s="3">
        <v>1</v>
      </c>
      <c r="H2356">
        <v>1120</v>
      </c>
      <c r="I2356">
        <v>2850</v>
      </c>
      <c r="J2356">
        <v>21621</v>
      </c>
      <c r="K2356">
        <v>19840</v>
      </c>
      <c r="L2356" s="2">
        <v>27.541875000000001</v>
      </c>
      <c r="M2356" s="5">
        <v>69.441000000000003</v>
      </c>
      <c r="N2356" s="1">
        <v>301.15050000000002</v>
      </c>
      <c r="O2356" s="2">
        <v>-0.5</v>
      </c>
      <c r="P2356">
        <v>283</v>
      </c>
    </row>
    <row r="2357" spans="1:16" x14ac:dyDescent="0.35">
      <c r="A2357" s="4">
        <v>45536</v>
      </c>
      <c r="B2357" t="s">
        <v>16</v>
      </c>
      <c r="C2357" t="s">
        <v>13</v>
      </c>
      <c r="D2357">
        <v>1</v>
      </c>
      <c r="E2357" s="2">
        <v>4731.25</v>
      </c>
      <c r="F2357" s="2">
        <f t="shared" si="380"/>
        <v>4475.3125</v>
      </c>
      <c r="G2357" s="3">
        <v>1</v>
      </c>
      <c r="H2357">
        <v>1120</v>
      </c>
      <c r="I2357">
        <v>2850</v>
      </c>
      <c r="J2357">
        <v>21621</v>
      </c>
      <c r="K2357">
        <v>19840</v>
      </c>
      <c r="L2357" s="2">
        <v>27.541875000000001</v>
      </c>
      <c r="M2357" s="5">
        <v>69.441000000000003</v>
      </c>
      <c r="N2357" s="1">
        <v>301.15050000000002</v>
      </c>
      <c r="O2357" s="2">
        <v>-0.5</v>
      </c>
      <c r="P2357">
        <v>283</v>
      </c>
    </row>
    <row r="2358" spans="1:16" x14ac:dyDescent="0.35">
      <c r="A2358" s="4">
        <v>45536</v>
      </c>
      <c r="B2358" t="s">
        <v>16</v>
      </c>
      <c r="C2358" t="s">
        <v>14</v>
      </c>
      <c r="D2358">
        <v>1</v>
      </c>
      <c r="E2358" s="2">
        <v>4500</v>
      </c>
      <c r="F2358" s="2">
        <f t="shared" si="380"/>
        <v>4475.3125</v>
      </c>
      <c r="G2358" s="3">
        <v>1</v>
      </c>
      <c r="H2358">
        <v>1120</v>
      </c>
      <c r="I2358">
        <v>2850</v>
      </c>
      <c r="J2358">
        <v>21621</v>
      </c>
      <c r="K2358">
        <v>19840</v>
      </c>
      <c r="L2358" s="2">
        <v>27.541875000000001</v>
      </c>
      <c r="M2358" s="5">
        <v>69.441000000000003</v>
      </c>
      <c r="N2358" s="1">
        <v>301.15050000000002</v>
      </c>
      <c r="O2358" s="2">
        <v>-0.5</v>
      </c>
      <c r="P2358">
        <v>283</v>
      </c>
    </row>
    <row r="2359" spans="1:16" x14ac:dyDescent="0.35">
      <c r="A2359" s="4">
        <v>45536</v>
      </c>
      <c r="B2359" t="s">
        <v>16</v>
      </c>
      <c r="C2359" t="s">
        <v>15</v>
      </c>
      <c r="D2359">
        <v>0</v>
      </c>
      <c r="E2359" s="2" t="s">
        <v>27</v>
      </c>
      <c r="F2359" s="2">
        <f t="shared" si="380"/>
        <v>4475.3125</v>
      </c>
      <c r="G2359" s="3">
        <v>1</v>
      </c>
      <c r="H2359">
        <v>1120</v>
      </c>
      <c r="I2359">
        <v>2850</v>
      </c>
      <c r="J2359">
        <v>21621</v>
      </c>
      <c r="K2359">
        <v>19840</v>
      </c>
      <c r="L2359" s="2">
        <v>27.541875000000001</v>
      </c>
      <c r="M2359" s="5">
        <v>69.441000000000003</v>
      </c>
      <c r="N2359" s="1">
        <v>301.15050000000002</v>
      </c>
      <c r="O2359" s="2">
        <v>-0.5</v>
      </c>
      <c r="P2359">
        <v>283</v>
      </c>
    </row>
    <row r="2360" spans="1:16" x14ac:dyDescent="0.35">
      <c r="A2360" s="4">
        <v>45536</v>
      </c>
      <c r="B2360" t="s">
        <v>17</v>
      </c>
      <c r="C2360" t="s">
        <v>10</v>
      </c>
      <c r="D2360">
        <v>1</v>
      </c>
      <c r="E2360" s="2">
        <v>3875</v>
      </c>
      <c r="F2360" s="2">
        <f>(3753+3816.4+3806.4+3696.4)/4</f>
        <v>3768.0499999999997</v>
      </c>
      <c r="G2360" s="3">
        <v>1</v>
      </c>
      <c r="H2360">
        <v>1120</v>
      </c>
      <c r="I2360">
        <v>2850</v>
      </c>
      <c r="J2360">
        <v>21621</v>
      </c>
      <c r="K2360">
        <v>19840</v>
      </c>
      <c r="L2360" s="2">
        <v>27.541875000000001</v>
      </c>
      <c r="M2360" s="5">
        <v>69.441000000000003</v>
      </c>
      <c r="N2360" s="1">
        <v>301.15050000000002</v>
      </c>
      <c r="O2360" s="2">
        <v>-0.5</v>
      </c>
      <c r="P2360">
        <v>283</v>
      </c>
    </row>
    <row r="2361" spans="1:16" x14ac:dyDescent="0.35">
      <c r="A2361" s="4">
        <v>45536</v>
      </c>
      <c r="B2361" t="s">
        <v>17</v>
      </c>
      <c r="C2361" t="s">
        <v>11</v>
      </c>
      <c r="D2361">
        <v>1</v>
      </c>
      <c r="E2361" s="2">
        <v>3675</v>
      </c>
      <c r="F2361" s="2">
        <f t="shared" ref="F2361:F2365" si="381">(3753+3816.4+3806.4+3696.4)/4</f>
        <v>3768.0499999999997</v>
      </c>
      <c r="G2361" s="3">
        <v>1</v>
      </c>
      <c r="H2361">
        <v>1120</v>
      </c>
      <c r="I2361">
        <v>2850</v>
      </c>
      <c r="J2361">
        <v>21621</v>
      </c>
      <c r="K2361">
        <v>19840</v>
      </c>
      <c r="L2361" s="2">
        <v>27.541875000000001</v>
      </c>
      <c r="M2361" s="5">
        <v>69.441000000000003</v>
      </c>
      <c r="N2361" s="1">
        <v>301.15050000000002</v>
      </c>
      <c r="O2361" s="2">
        <v>-0.5</v>
      </c>
      <c r="P2361">
        <v>283</v>
      </c>
    </row>
    <row r="2362" spans="1:16" x14ac:dyDescent="0.35">
      <c r="A2362" s="4">
        <v>45536</v>
      </c>
      <c r="B2362" t="s">
        <v>17</v>
      </c>
      <c r="C2362" t="s">
        <v>12</v>
      </c>
      <c r="D2362">
        <v>1</v>
      </c>
      <c r="E2362" s="2">
        <v>3565</v>
      </c>
      <c r="F2362" s="2">
        <f t="shared" si="381"/>
        <v>3768.0499999999997</v>
      </c>
      <c r="G2362" s="3">
        <v>1</v>
      </c>
      <c r="H2362">
        <v>1120</v>
      </c>
      <c r="I2362">
        <v>2850</v>
      </c>
      <c r="J2362">
        <v>21621</v>
      </c>
      <c r="K2362">
        <v>19840</v>
      </c>
      <c r="L2362" s="2">
        <v>27.541875000000001</v>
      </c>
      <c r="M2362" s="5">
        <v>69.441000000000003</v>
      </c>
      <c r="N2362" s="1">
        <v>301.15050000000002</v>
      </c>
      <c r="O2362" s="2">
        <v>-0.5</v>
      </c>
      <c r="P2362">
        <v>283</v>
      </c>
    </row>
    <row r="2363" spans="1:16" x14ac:dyDescent="0.35">
      <c r="A2363" s="4">
        <v>45536</v>
      </c>
      <c r="B2363" t="s">
        <v>17</v>
      </c>
      <c r="C2363" t="s">
        <v>13</v>
      </c>
      <c r="D2363">
        <v>1</v>
      </c>
      <c r="E2363" s="2">
        <v>4000</v>
      </c>
      <c r="F2363" s="2">
        <f t="shared" si="381"/>
        <v>3768.0499999999997</v>
      </c>
      <c r="G2363" s="3">
        <v>1</v>
      </c>
      <c r="H2363">
        <v>1120</v>
      </c>
      <c r="I2363">
        <v>2850</v>
      </c>
      <c r="J2363">
        <v>21621</v>
      </c>
      <c r="K2363">
        <v>19840</v>
      </c>
      <c r="L2363" s="2">
        <v>27.541875000000001</v>
      </c>
      <c r="M2363" s="5">
        <v>69.441000000000003</v>
      </c>
      <c r="N2363" s="1">
        <v>301.15050000000002</v>
      </c>
      <c r="O2363" s="2">
        <v>-0.5</v>
      </c>
      <c r="P2363">
        <v>283</v>
      </c>
    </row>
    <row r="2364" spans="1:16" x14ac:dyDescent="0.35">
      <c r="A2364" s="4">
        <v>45536</v>
      </c>
      <c r="B2364" t="s">
        <v>17</v>
      </c>
      <c r="C2364" t="s">
        <v>14</v>
      </c>
      <c r="D2364">
        <v>1</v>
      </c>
      <c r="E2364" s="2">
        <f>(3667+3767+3717+3800)/4</f>
        <v>3737.75</v>
      </c>
      <c r="F2364" s="2">
        <f t="shared" si="381"/>
        <v>3768.0499999999997</v>
      </c>
      <c r="G2364" s="3">
        <v>1</v>
      </c>
      <c r="H2364">
        <v>1120</v>
      </c>
      <c r="I2364">
        <v>2850</v>
      </c>
      <c r="J2364">
        <v>21621</v>
      </c>
      <c r="K2364">
        <v>19840</v>
      </c>
      <c r="L2364" s="2">
        <v>27.541875000000001</v>
      </c>
      <c r="M2364" s="5">
        <v>69.441000000000003</v>
      </c>
      <c r="N2364" s="1">
        <v>301.15050000000002</v>
      </c>
      <c r="O2364" s="2">
        <v>-0.5</v>
      </c>
      <c r="P2364">
        <v>283</v>
      </c>
    </row>
    <row r="2365" spans="1:16" x14ac:dyDescent="0.35">
      <c r="A2365" s="4">
        <v>45536</v>
      </c>
      <c r="B2365" t="s">
        <v>17</v>
      </c>
      <c r="C2365" t="s">
        <v>15</v>
      </c>
      <c r="D2365">
        <v>0</v>
      </c>
      <c r="E2365" s="2" t="s">
        <v>27</v>
      </c>
      <c r="F2365" s="2">
        <f t="shared" si="381"/>
        <v>3768.0499999999997</v>
      </c>
      <c r="G2365" s="3">
        <v>1</v>
      </c>
      <c r="H2365">
        <v>1120</v>
      </c>
      <c r="I2365">
        <v>2850</v>
      </c>
      <c r="J2365">
        <v>21621</v>
      </c>
      <c r="K2365">
        <v>19840</v>
      </c>
      <c r="L2365" s="2">
        <v>27.541875000000001</v>
      </c>
      <c r="M2365" s="5">
        <v>69.441000000000003</v>
      </c>
      <c r="N2365" s="1">
        <v>301.15050000000002</v>
      </c>
      <c r="O2365" s="2">
        <v>-0.5</v>
      </c>
      <c r="P2365">
        <v>283</v>
      </c>
    </row>
    <row r="2366" spans="1:16" x14ac:dyDescent="0.35">
      <c r="A2366" s="4">
        <v>45536</v>
      </c>
      <c r="B2366" t="s">
        <v>18</v>
      </c>
      <c r="C2366" t="s">
        <v>10</v>
      </c>
      <c r="D2366">
        <v>1</v>
      </c>
      <c r="E2366" s="2">
        <v>3575</v>
      </c>
      <c r="F2366" s="2">
        <f>(3585+3617.88+3563.13+3530)/4</f>
        <v>3574.0025000000001</v>
      </c>
      <c r="G2366" s="3">
        <v>1</v>
      </c>
      <c r="H2366">
        <v>1120</v>
      </c>
      <c r="I2366">
        <v>2850</v>
      </c>
      <c r="J2366">
        <v>21621</v>
      </c>
      <c r="K2366">
        <v>19840</v>
      </c>
      <c r="L2366" s="2">
        <v>27.541875000000001</v>
      </c>
      <c r="M2366" s="5">
        <v>69.441000000000003</v>
      </c>
      <c r="N2366" s="1">
        <v>301.15050000000002</v>
      </c>
      <c r="O2366" s="2">
        <v>-0.5</v>
      </c>
      <c r="P2366">
        <v>283</v>
      </c>
    </row>
    <row r="2367" spans="1:16" x14ac:dyDescent="0.35">
      <c r="A2367" s="4">
        <v>45536</v>
      </c>
      <c r="B2367" t="s">
        <v>18</v>
      </c>
      <c r="C2367" t="s">
        <v>11</v>
      </c>
      <c r="D2367">
        <v>1</v>
      </c>
      <c r="E2367" s="2">
        <v>3475</v>
      </c>
      <c r="F2367" s="2">
        <f t="shared" ref="F2367:F2371" si="382">(3585+3617.88+3563.13+3530)/4</f>
        <v>3574.0025000000001</v>
      </c>
      <c r="G2367" s="3">
        <v>1</v>
      </c>
      <c r="H2367">
        <v>1120</v>
      </c>
      <c r="I2367">
        <v>2850</v>
      </c>
      <c r="J2367">
        <v>21621</v>
      </c>
      <c r="K2367">
        <v>19840</v>
      </c>
      <c r="L2367" s="2">
        <v>27.541875000000001</v>
      </c>
      <c r="M2367" s="5">
        <v>69.441000000000003</v>
      </c>
      <c r="N2367" s="1">
        <v>301.15050000000002</v>
      </c>
      <c r="O2367" s="2">
        <v>-0.5</v>
      </c>
      <c r="P2367">
        <v>283</v>
      </c>
    </row>
    <row r="2368" spans="1:16" x14ac:dyDescent="0.35">
      <c r="A2368" s="4">
        <v>45536</v>
      </c>
      <c r="B2368" t="s">
        <v>18</v>
      </c>
      <c r="C2368" t="s">
        <v>12</v>
      </c>
      <c r="D2368">
        <v>1</v>
      </c>
      <c r="E2368" s="2">
        <v>3385</v>
      </c>
      <c r="F2368" s="2">
        <f t="shared" si="382"/>
        <v>3574.0025000000001</v>
      </c>
      <c r="G2368" s="3">
        <v>1</v>
      </c>
      <c r="H2368">
        <v>1120</v>
      </c>
      <c r="I2368">
        <v>2850</v>
      </c>
      <c r="J2368">
        <v>21621</v>
      </c>
      <c r="K2368">
        <v>19840</v>
      </c>
      <c r="L2368" s="2">
        <v>27.541875000000001</v>
      </c>
      <c r="M2368" s="5">
        <v>69.441000000000003</v>
      </c>
      <c r="N2368" s="1">
        <v>301.15050000000002</v>
      </c>
      <c r="O2368" s="2">
        <v>-0.5</v>
      </c>
      <c r="P2368">
        <v>283</v>
      </c>
    </row>
    <row r="2369" spans="1:16" x14ac:dyDescent="0.35">
      <c r="A2369" s="4">
        <v>45536</v>
      </c>
      <c r="B2369" t="s">
        <v>18</v>
      </c>
      <c r="C2369" t="s">
        <v>13</v>
      </c>
      <c r="D2369">
        <v>1</v>
      </c>
      <c r="E2369" s="2">
        <v>3750</v>
      </c>
      <c r="F2369" s="2">
        <f t="shared" si="382"/>
        <v>3574.0025000000001</v>
      </c>
      <c r="G2369" s="3">
        <v>1</v>
      </c>
      <c r="H2369">
        <v>1120</v>
      </c>
      <c r="I2369">
        <v>2850</v>
      </c>
      <c r="J2369">
        <v>21621</v>
      </c>
      <c r="K2369">
        <v>19840</v>
      </c>
      <c r="L2369" s="2">
        <v>27.541875000000001</v>
      </c>
      <c r="M2369" s="5">
        <v>69.441000000000003</v>
      </c>
      <c r="N2369" s="1">
        <v>301.15050000000002</v>
      </c>
      <c r="O2369" s="2">
        <v>-0.5</v>
      </c>
      <c r="P2369">
        <v>283</v>
      </c>
    </row>
    <row r="2370" spans="1:16" x14ac:dyDescent="0.35">
      <c r="A2370" s="4">
        <v>45536</v>
      </c>
      <c r="B2370" t="s">
        <v>18</v>
      </c>
      <c r="C2370" t="s">
        <v>14</v>
      </c>
      <c r="D2370">
        <v>1</v>
      </c>
      <c r="E2370" s="2">
        <f>(3570+3533+3470+3490)/4</f>
        <v>3515.75</v>
      </c>
      <c r="F2370" s="2">
        <f t="shared" si="382"/>
        <v>3574.0025000000001</v>
      </c>
      <c r="G2370" s="3">
        <v>1</v>
      </c>
      <c r="H2370">
        <v>1120</v>
      </c>
      <c r="I2370">
        <v>2850</v>
      </c>
      <c r="J2370">
        <v>21621</v>
      </c>
      <c r="K2370">
        <v>19840</v>
      </c>
      <c r="L2370" s="2">
        <v>27.541875000000001</v>
      </c>
      <c r="M2370" s="5">
        <v>69.441000000000003</v>
      </c>
      <c r="N2370" s="1">
        <v>301.15050000000002</v>
      </c>
      <c r="O2370" s="2">
        <v>-0.5</v>
      </c>
      <c r="P2370">
        <v>283</v>
      </c>
    </row>
    <row r="2371" spans="1:16" x14ac:dyDescent="0.35">
      <c r="A2371" s="4">
        <v>45536</v>
      </c>
      <c r="B2371" t="s">
        <v>18</v>
      </c>
      <c r="C2371" t="s">
        <v>15</v>
      </c>
      <c r="D2371">
        <v>1</v>
      </c>
      <c r="E2371" s="2">
        <f>(3465+3550+3625+2625)/4</f>
        <v>3316.25</v>
      </c>
      <c r="F2371" s="2">
        <f t="shared" si="382"/>
        <v>3574.0025000000001</v>
      </c>
      <c r="G2371" s="3">
        <v>1</v>
      </c>
      <c r="H2371">
        <v>1120</v>
      </c>
      <c r="I2371">
        <v>2850</v>
      </c>
      <c r="J2371">
        <v>21621</v>
      </c>
      <c r="K2371">
        <v>19840</v>
      </c>
      <c r="L2371" s="2">
        <v>27.541875000000001</v>
      </c>
      <c r="M2371" s="5">
        <v>69.441000000000003</v>
      </c>
      <c r="N2371" s="1">
        <v>301.15050000000002</v>
      </c>
      <c r="O2371" s="2">
        <v>-0.5</v>
      </c>
      <c r="P2371">
        <v>283</v>
      </c>
    </row>
    <row r="2372" spans="1:16" x14ac:dyDescent="0.35">
      <c r="A2372" s="4">
        <v>45536</v>
      </c>
      <c r="B2372" t="s">
        <v>19</v>
      </c>
      <c r="C2372" t="s">
        <v>10</v>
      </c>
      <c r="D2372">
        <v>1</v>
      </c>
      <c r="E2372" s="2">
        <f>(3300*2+3350+3400)/4</f>
        <v>3337.5</v>
      </c>
      <c r="F2372" s="2">
        <f>(3355.75+3365.38+3396+3403)/4</f>
        <v>3380.0325000000003</v>
      </c>
      <c r="G2372" s="3">
        <v>1</v>
      </c>
      <c r="H2372">
        <v>1120</v>
      </c>
      <c r="I2372">
        <v>2850</v>
      </c>
      <c r="J2372">
        <v>21621</v>
      </c>
      <c r="K2372">
        <v>19840</v>
      </c>
      <c r="L2372" s="2">
        <v>27.541875000000001</v>
      </c>
      <c r="M2372" s="5">
        <v>69.441000000000003</v>
      </c>
      <c r="N2372" s="1">
        <v>301.15050000000002</v>
      </c>
      <c r="O2372" s="2">
        <v>-0.5</v>
      </c>
      <c r="P2372">
        <v>283</v>
      </c>
    </row>
    <row r="2373" spans="1:16" x14ac:dyDescent="0.35">
      <c r="A2373" s="4">
        <v>45536</v>
      </c>
      <c r="B2373" t="s">
        <v>19</v>
      </c>
      <c r="C2373" t="s">
        <v>11</v>
      </c>
      <c r="D2373">
        <v>1</v>
      </c>
      <c r="E2373" s="2">
        <v>3400</v>
      </c>
      <c r="F2373" s="2">
        <f t="shared" ref="F2373:F2377" si="383">(3355.75+3365.38+3396+3403)/4</f>
        <v>3380.0325000000003</v>
      </c>
      <c r="G2373" s="3">
        <v>1</v>
      </c>
      <c r="H2373">
        <v>1120</v>
      </c>
      <c r="I2373">
        <v>2850</v>
      </c>
      <c r="J2373">
        <v>21621</v>
      </c>
      <c r="K2373">
        <v>19840</v>
      </c>
      <c r="L2373" s="2">
        <v>27.541875000000001</v>
      </c>
      <c r="M2373" s="5">
        <v>69.441000000000003</v>
      </c>
      <c r="N2373" s="1">
        <v>301.15050000000002</v>
      </c>
      <c r="O2373" s="2">
        <v>-0.5</v>
      </c>
      <c r="P2373">
        <v>283</v>
      </c>
    </row>
    <row r="2374" spans="1:16" x14ac:dyDescent="0.35">
      <c r="A2374" s="4">
        <v>45536</v>
      </c>
      <c r="B2374" t="s">
        <v>19</v>
      </c>
      <c r="C2374" t="s">
        <v>12</v>
      </c>
      <c r="D2374">
        <v>1</v>
      </c>
      <c r="E2374" s="2">
        <v>3180</v>
      </c>
      <c r="F2374" s="2">
        <f t="shared" si="383"/>
        <v>3380.0325000000003</v>
      </c>
      <c r="G2374" s="3">
        <v>1</v>
      </c>
      <c r="H2374">
        <v>1120</v>
      </c>
      <c r="I2374">
        <v>2850</v>
      </c>
      <c r="J2374">
        <v>21621</v>
      </c>
      <c r="K2374">
        <v>19840</v>
      </c>
      <c r="L2374" s="2">
        <v>27.541875000000001</v>
      </c>
      <c r="M2374" s="5">
        <v>69.441000000000003</v>
      </c>
      <c r="N2374" s="1">
        <v>301.15050000000002</v>
      </c>
      <c r="O2374" s="2">
        <v>-0.5</v>
      </c>
      <c r="P2374">
        <v>283</v>
      </c>
    </row>
    <row r="2375" spans="1:16" x14ac:dyDescent="0.35">
      <c r="A2375" s="4">
        <v>45536</v>
      </c>
      <c r="B2375" t="s">
        <v>19</v>
      </c>
      <c r="C2375" t="s">
        <v>13</v>
      </c>
      <c r="D2375">
        <v>1</v>
      </c>
      <c r="E2375" s="2">
        <v>3400</v>
      </c>
      <c r="F2375" s="2">
        <f t="shared" si="383"/>
        <v>3380.0325000000003</v>
      </c>
      <c r="G2375" s="3">
        <v>1</v>
      </c>
      <c r="H2375">
        <v>1120</v>
      </c>
      <c r="I2375">
        <v>2850</v>
      </c>
      <c r="J2375">
        <v>21621</v>
      </c>
      <c r="K2375">
        <v>19840</v>
      </c>
      <c r="L2375" s="2">
        <v>27.541875000000001</v>
      </c>
      <c r="M2375" s="5">
        <v>69.441000000000003</v>
      </c>
      <c r="N2375" s="1">
        <v>301.15050000000002</v>
      </c>
      <c r="O2375" s="2">
        <v>-0.5</v>
      </c>
      <c r="P2375">
        <v>283</v>
      </c>
    </row>
    <row r="2376" spans="1:16" x14ac:dyDescent="0.35">
      <c r="A2376" s="4">
        <v>45536</v>
      </c>
      <c r="B2376" t="s">
        <v>19</v>
      </c>
      <c r="C2376" t="s">
        <v>14</v>
      </c>
      <c r="D2376">
        <v>1</v>
      </c>
      <c r="E2376" s="2">
        <f>(3391+3418+3463+3469)/4</f>
        <v>3435.25</v>
      </c>
      <c r="F2376" s="2">
        <f t="shared" si="383"/>
        <v>3380.0325000000003</v>
      </c>
      <c r="G2376" s="3">
        <v>1</v>
      </c>
      <c r="H2376">
        <v>1120</v>
      </c>
      <c r="I2376">
        <v>2850</v>
      </c>
      <c r="J2376">
        <v>21621</v>
      </c>
      <c r="K2376">
        <v>19840</v>
      </c>
      <c r="L2376" s="2">
        <v>27.541875000000001</v>
      </c>
      <c r="M2376" s="5">
        <v>69.441000000000003</v>
      </c>
      <c r="N2376" s="1">
        <v>301.15050000000002</v>
      </c>
      <c r="O2376" s="2">
        <v>-0.5</v>
      </c>
      <c r="P2376">
        <v>283</v>
      </c>
    </row>
    <row r="2377" spans="1:16" x14ac:dyDescent="0.35">
      <c r="A2377" s="4">
        <v>45536</v>
      </c>
      <c r="B2377" t="s">
        <v>19</v>
      </c>
      <c r="C2377" t="s">
        <v>15</v>
      </c>
      <c r="D2377">
        <v>1</v>
      </c>
      <c r="E2377" s="2">
        <f>(3475*2+3375+3425)/4</f>
        <v>3437.5</v>
      </c>
      <c r="F2377" s="2">
        <f t="shared" si="383"/>
        <v>3380.0325000000003</v>
      </c>
      <c r="G2377" s="3">
        <v>1</v>
      </c>
      <c r="H2377">
        <v>1120</v>
      </c>
      <c r="I2377">
        <v>2850</v>
      </c>
      <c r="J2377">
        <v>21621</v>
      </c>
      <c r="K2377">
        <v>19840</v>
      </c>
      <c r="L2377" s="2">
        <v>27.541875000000001</v>
      </c>
      <c r="M2377" s="5">
        <v>69.441000000000003</v>
      </c>
      <c r="N2377" s="1">
        <v>301.15050000000002</v>
      </c>
      <c r="O2377" s="2">
        <v>-0.5</v>
      </c>
      <c r="P2377">
        <v>283</v>
      </c>
    </row>
    <row r="2378" spans="1:16" x14ac:dyDescent="0.35">
      <c r="A2378" s="4">
        <v>45536</v>
      </c>
      <c r="B2378" t="s">
        <v>20</v>
      </c>
      <c r="C2378" t="s">
        <v>10</v>
      </c>
      <c r="D2378">
        <v>1</v>
      </c>
      <c r="E2378" s="2">
        <v>3125</v>
      </c>
      <c r="F2378" s="2">
        <f>(3072.5+2955.43+2940+2915.88)/4</f>
        <v>2970.9525000000003</v>
      </c>
      <c r="G2378" s="3">
        <v>1</v>
      </c>
      <c r="H2378">
        <v>1120</v>
      </c>
      <c r="I2378">
        <v>2850</v>
      </c>
      <c r="J2378">
        <v>21621</v>
      </c>
      <c r="K2378">
        <v>19840</v>
      </c>
      <c r="L2378" s="2">
        <v>27.541875000000001</v>
      </c>
      <c r="M2378" s="5">
        <v>69.441000000000003</v>
      </c>
      <c r="N2378" s="1">
        <v>301.15050000000002</v>
      </c>
      <c r="O2378" s="2">
        <v>-0.5</v>
      </c>
      <c r="P2378">
        <v>283</v>
      </c>
    </row>
    <row r="2379" spans="1:16" x14ac:dyDescent="0.35">
      <c r="A2379" s="4">
        <v>45536</v>
      </c>
      <c r="B2379" t="s">
        <v>20</v>
      </c>
      <c r="C2379" t="s">
        <v>11</v>
      </c>
      <c r="D2379">
        <v>1</v>
      </c>
      <c r="E2379" s="2">
        <v>2675</v>
      </c>
      <c r="F2379" s="2">
        <f t="shared" ref="F2379:F2383" si="384">(3072.5+2955.43+2940+2915.88)/4</f>
        <v>2970.9525000000003</v>
      </c>
      <c r="G2379" s="3">
        <v>1</v>
      </c>
      <c r="H2379">
        <v>1120</v>
      </c>
      <c r="I2379">
        <v>2850</v>
      </c>
      <c r="J2379">
        <v>21621</v>
      </c>
      <c r="K2379">
        <v>19840</v>
      </c>
      <c r="L2379" s="2">
        <v>27.541875000000001</v>
      </c>
      <c r="M2379" s="5">
        <v>69.441000000000003</v>
      </c>
      <c r="N2379" s="1">
        <v>301.15050000000002</v>
      </c>
      <c r="O2379" s="2">
        <v>-0.5</v>
      </c>
      <c r="P2379">
        <v>283</v>
      </c>
    </row>
    <row r="2380" spans="1:16" x14ac:dyDescent="0.35">
      <c r="A2380" s="4">
        <v>45536</v>
      </c>
      <c r="B2380" t="s">
        <v>20</v>
      </c>
      <c r="C2380" t="s">
        <v>12</v>
      </c>
      <c r="D2380">
        <v>1</v>
      </c>
      <c r="E2380" s="2">
        <v>2380</v>
      </c>
      <c r="F2380" s="2">
        <f t="shared" si="384"/>
        <v>2970.9525000000003</v>
      </c>
      <c r="G2380" s="3">
        <v>1</v>
      </c>
      <c r="H2380">
        <v>1120</v>
      </c>
      <c r="I2380">
        <v>2850</v>
      </c>
      <c r="J2380">
        <v>21621</v>
      </c>
      <c r="K2380">
        <v>19840</v>
      </c>
      <c r="L2380" s="2">
        <v>27.541875000000001</v>
      </c>
      <c r="M2380" s="5">
        <v>69.441000000000003</v>
      </c>
      <c r="N2380" s="1">
        <v>301.15050000000002</v>
      </c>
      <c r="O2380" s="2">
        <v>-0.5</v>
      </c>
      <c r="P2380">
        <v>283</v>
      </c>
    </row>
    <row r="2381" spans="1:16" x14ac:dyDescent="0.35">
      <c r="A2381" s="4">
        <v>45536</v>
      </c>
      <c r="B2381" t="s">
        <v>20</v>
      </c>
      <c r="C2381" t="s">
        <v>13</v>
      </c>
      <c r="D2381">
        <v>1</v>
      </c>
      <c r="E2381" s="2">
        <f>(3325+3300+3225*2)/4</f>
        <v>3268.75</v>
      </c>
      <c r="F2381" s="2">
        <f t="shared" si="384"/>
        <v>2970.9525000000003</v>
      </c>
      <c r="G2381" s="3">
        <v>1</v>
      </c>
      <c r="H2381">
        <v>1120</v>
      </c>
      <c r="I2381">
        <v>2850</v>
      </c>
      <c r="J2381">
        <v>21621</v>
      </c>
      <c r="K2381">
        <v>19840</v>
      </c>
      <c r="L2381" s="2">
        <v>27.541875000000001</v>
      </c>
      <c r="M2381" s="5">
        <v>69.441000000000003</v>
      </c>
      <c r="N2381" s="1">
        <v>301.15050000000002</v>
      </c>
      <c r="O2381" s="2">
        <v>-0.5</v>
      </c>
      <c r="P2381">
        <v>283</v>
      </c>
    </row>
    <row r="2382" spans="1:16" x14ac:dyDescent="0.35">
      <c r="A2382" s="4">
        <v>45536</v>
      </c>
      <c r="B2382" t="s">
        <v>20</v>
      </c>
      <c r="C2382" t="s">
        <v>14</v>
      </c>
      <c r="D2382">
        <v>1</v>
      </c>
      <c r="E2382" s="2">
        <f>(3375+3333+3290+3260)/4</f>
        <v>3314.5</v>
      </c>
      <c r="F2382" s="2">
        <f t="shared" si="384"/>
        <v>2970.9525000000003</v>
      </c>
      <c r="G2382" s="3">
        <v>1</v>
      </c>
      <c r="H2382">
        <v>1120</v>
      </c>
      <c r="I2382">
        <v>2850</v>
      </c>
      <c r="J2382">
        <v>21621</v>
      </c>
      <c r="K2382">
        <v>19840</v>
      </c>
      <c r="L2382" s="2">
        <v>27.541875000000001</v>
      </c>
      <c r="M2382" s="5">
        <v>69.441000000000003</v>
      </c>
      <c r="N2382" s="1">
        <v>301.15050000000002</v>
      </c>
      <c r="O2382" s="2">
        <v>-0.5</v>
      </c>
      <c r="P2382">
        <v>283</v>
      </c>
    </row>
    <row r="2383" spans="1:16" x14ac:dyDescent="0.35">
      <c r="A2383" s="4">
        <v>45536</v>
      </c>
      <c r="B2383" t="s">
        <v>20</v>
      </c>
      <c r="C2383" t="s">
        <v>15</v>
      </c>
      <c r="D2383">
        <v>1</v>
      </c>
      <c r="E2383" s="2">
        <f>(3262+3325+3375+3400)/4</f>
        <v>3340.5</v>
      </c>
      <c r="F2383" s="2">
        <f t="shared" si="384"/>
        <v>2970.9525000000003</v>
      </c>
      <c r="G2383" s="3">
        <v>1</v>
      </c>
      <c r="H2383">
        <v>1120</v>
      </c>
      <c r="I2383">
        <v>2850</v>
      </c>
      <c r="J2383">
        <v>21621</v>
      </c>
      <c r="K2383">
        <v>19840</v>
      </c>
      <c r="L2383" s="2">
        <v>27.541875000000001</v>
      </c>
      <c r="M2383" s="5">
        <v>69.441000000000003</v>
      </c>
      <c r="N2383" s="1">
        <v>301.15050000000002</v>
      </c>
      <c r="O2383" s="2">
        <v>-0.5</v>
      </c>
      <c r="P2383">
        <v>283</v>
      </c>
    </row>
    <row r="2384" spans="1:16" x14ac:dyDescent="0.35">
      <c r="A2384" s="4">
        <v>45536</v>
      </c>
      <c r="B2384" t="s">
        <v>21</v>
      </c>
      <c r="C2384" t="s">
        <v>10</v>
      </c>
      <c r="D2384">
        <v>1</v>
      </c>
      <c r="E2384" s="2">
        <f>(2750+2800*2+3000)/4</f>
        <v>2837.5</v>
      </c>
      <c r="F2384" s="2">
        <f>(2764.13+2790.13+2834+2888.25)/4</f>
        <v>2819.1275000000001</v>
      </c>
      <c r="G2384" s="3">
        <v>1</v>
      </c>
      <c r="H2384">
        <v>1120</v>
      </c>
      <c r="I2384">
        <v>2850</v>
      </c>
      <c r="J2384">
        <v>21621</v>
      </c>
      <c r="K2384">
        <v>19840</v>
      </c>
      <c r="L2384" s="2">
        <v>27.541875000000001</v>
      </c>
      <c r="M2384" s="5">
        <v>69.441000000000003</v>
      </c>
      <c r="N2384" s="1">
        <v>301.15050000000002</v>
      </c>
      <c r="O2384" s="2">
        <v>-0.5</v>
      </c>
      <c r="P2384">
        <v>283</v>
      </c>
    </row>
    <row r="2385" spans="1:16" x14ac:dyDescent="0.35">
      <c r="A2385" s="4">
        <v>45536</v>
      </c>
      <c r="B2385" t="s">
        <v>21</v>
      </c>
      <c r="C2385" t="s">
        <v>11</v>
      </c>
      <c r="D2385">
        <v>1</v>
      </c>
      <c r="E2385" s="2">
        <v>2575</v>
      </c>
      <c r="F2385" s="2">
        <f t="shared" ref="F2385:F2389" si="385">(2764.13+2790.13+2834+2888.25)/4</f>
        <v>2819.1275000000001</v>
      </c>
      <c r="G2385" s="3">
        <v>1</v>
      </c>
      <c r="H2385">
        <v>1120</v>
      </c>
      <c r="I2385">
        <v>2850</v>
      </c>
      <c r="J2385">
        <v>21621</v>
      </c>
      <c r="K2385">
        <v>19840</v>
      </c>
      <c r="L2385" s="2">
        <v>27.541875000000001</v>
      </c>
      <c r="M2385" s="5">
        <v>69.441000000000003</v>
      </c>
      <c r="N2385" s="1">
        <v>301.15050000000002</v>
      </c>
      <c r="O2385" s="2">
        <v>-0.5</v>
      </c>
      <c r="P2385">
        <v>283</v>
      </c>
    </row>
    <row r="2386" spans="1:16" x14ac:dyDescent="0.35">
      <c r="A2386" s="4">
        <v>45536</v>
      </c>
      <c r="B2386" t="s">
        <v>21</v>
      </c>
      <c r="C2386" t="s">
        <v>12</v>
      </c>
      <c r="D2386">
        <v>1</v>
      </c>
      <c r="E2386" s="2">
        <v>2200</v>
      </c>
      <c r="F2386" s="2">
        <f t="shared" si="385"/>
        <v>2819.1275000000001</v>
      </c>
      <c r="G2386" s="3">
        <v>1</v>
      </c>
      <c r="H2386">
        <v>1120</v>
      </c>
      <c r="I2386">
        <v>2850</v>
      </c>
      <c r="J2386">
        <v>21621</v>
      </c>
      <c r="K2386">
        <v>19840</v>
      </c>
      <c r="L2386" s="2">
        <v>27.541875000000001</v>
      </c>
      <c r="M2386" s="5">
        <v>69.441000000000003</v>
      </c>
      <c r="N2386" s="1">
        <v>301.15050000000002</v>
      </c>
      <c r="O2386" s="2">
        <v>-0.5</v>
      </c>
      <c r="P2386">
        <v>283</v>
      </c>
    </row>
    <row r="2387" spans="1:16" x14ac:dyDescent="0.35">
      <c r="A2387" s="4">
        <v>45536</v>
      </c>
      <c r="B2387" t="s">
        <v>21</v>
      </c>
      <c r="C2387" t="s">
        <v>13</v>
      </c>
      <c r="D2387">
        <v>1</v>
      </c>
      <c r="E2387" s="2">
        <f>(3275+3200+3075+3100)/4</f>
        <v>3162.5</v>
      </c>
      <c r="F2387" s="2">
        <f t="shared" si="385"/>
        <v>2819.1275000000001</v>
      </c>
      <c r="G2387" s="3">
        <v>1</v>
      </c>
      <c r="H2387">
        <v>1120</v>
      </c>
      <c r="I2387">
        <v>2850</v>
      </c>
      <c r="J2387">
        <v>21621</v>
      </c>
      <c r="K2387">
        <v>19840</v>
      </c>
      <c r="L2387" s="2">
        <v>27.541875000000001</v>
      </c>
      <c r="M2387" s="5">
        <v>69.441000000000003</v>
      </c>
      <c r="N2387" s="1">
        <v>301.15050000000002</v>
      </c>
      <c r="O2387" s="2">
        <v>-0.5</v>
      </c>
      <c r="P2387">
        <v>283</v>
      </c>
    </row>
    <row r="2388" spans="1:16" x14ac:dyDescent="0.35">
      <c r="A2388" s="4">
        <v>45536</v>
      </c>
      <c r="B2388" t="s">
        <v>21</v>
      </c>
      <c r="C2388" t="s">
        <v>14</v>
      </c>
      <c r="D2388">
        <v>1</v>
      </c>
      <c r="E2388" s="2">
        <f>(3188+3221+3263+3281)/4</f>
        <v>3238.25</v>
      </c>
      <c r="F2388" s="2">
        <f t="shared" si="385"/>
        <v>2819.1275000000001</v>
      </c>
      <c r="G2388" s="3">
        <v>1</v>
      </c>
      <c r="H2388">
        <v>1120</v>
      </c>
      <c r="I2388">
        <v>2850</v>
      </c>
      <c r="J2388">
        <v>21621</v>
      </c>
      <c r="K2388">
        <v>19840</v>
      </c>
      <c r="L2388" s="2">
        <v>27.541875000000001</v>
      </c>
      <c r="M2388" s="5">
        <v>69.441000000000003</v>
      </c>
      <c r="N2388" s="1">
        <v>301.15050000000002</v>
      </c>
      <c r="O2388" s="2">
        <v>-0.5</v>
      </c>
      <c r="P2388">
        <v>283</v>
      </c>
    </row>
    <row r="2389" spans="1:16" x14ac:dyDescent="0.35">
      <c r="A2389" s="4">
        <v>45536</v>
      </c>
      <c r="B2389" t="s">
        <v>21</v>
      </c>
      <c r="C2389" t="s">
        <v>15</v>
      </c>
      <c r="D2389">
        <v>1</v>
      </c>
      <c r="E2389" s="2">
        <f>(3350+332+3275+3225)/4</f>
        <v>2545.5</v>
      </c>
      <c r="F2389" s="2">
        <f t="shared" si="385"/>
        <v>2819.1275000000001</v>
      </c>
      <c r="G2389" s="3">
        <v>1</v>
      </c>
      <c r="H2389">
        <v>1120</v>
      </c>
      <c r="I2389">
        <v>2850</v>
      </c>
      <c r="J2389">
        <v>21621</v>
      </c>
      <c r="K2389">
        <v>19840</v>
      </c>
      <c r="L2389" s="2">
        <v>27.541875000000001</v>
      </c>
      <c r="M2389" s="5">
        <v>69.441000000000003</v>
      </c>
      <c r="N2389" s="1">
        <v>301.15050000000002</v>
      </c>
      <c r="O2389" s="2">
        <v>-0.5</v>
      </c>
      <c r="P2389">
        <v>283</v>
      </c>
    </row>
    <row r="2390" spans="1:16" x14ac:dyDescent="0.35">
      <c r="A2390" s="4">
        <v>45536</v>
      </c>
      <c r="B2390" t="s">
        <v>22</v>
      </c>
      <c r="C2390" t="s">
        <v>10</v>
      </c>
      <c r="D2390">
        <v>0</v>
      </c>
      <c r="E2390" s="2" t="s">
        <v>27</v>
      </c>
      <c r="F2390" s="2">
        <f t="shared" ref="F2390:F2393" si="386">(2620+2788+2750+2920)/4</f>
        <v>2769.5</v>
      </c>
      <c r="G2390" s="3">
        <v>1</v>
      </c>
      <c r="H2390">
        <v>1120</v>
      </c>
      <c r="I2390">
        <v>2850</v>
      </c>
      <c r="J2390">
        <v>21621</v>
      </c>
      <c r="K2390">
        <v>19840</v>
      </c>
      <c r="L2390" s="2">
        <v>27.541875000000001</v>
      </c>
      <c r="M2390" s="5">
        <v>69.441000000000003</v>
      </c>
      <c r="N2390" s="1">
        <v>301.15050000000002</v>
      </c>
      <c r="O2390" s="2">
        <v>-0.5</v>
      </c>
      <c r="P2390">
        <v>283</v>
      </c>
    </row>
    <row r="2391" spans="1:16" x14ac:dyDescent="0.35">
      <c r="A2391" s="4">
        <v>45536</v>
      </c>
      <c r="B2391" t="s">
        <v>22</v>
      </c>
      <c r="C2391" t="s">
        <v>11</v>
      </c>
      <c r="D2391">
        <v>0</v>
      </c>
      <c r="E2391" s="2" t="s">
        <v>27</v>
      </c>
      <c r="F2391" s="2">
        <f t="shared" si="386"/>
        <v>2769.5</v>
      </c>
      <c r="G2391" s="3">
        <v>1</v>
      </c>
      <c r="H2391">
        <v>1120</v>
      </c>
      <c r="I2391">
        <v>2850</v>
      </c>
      <c r="J2391">
        <v>21621</v>
      </c>
      <c r="K2391">
        <v>19840</v>
      </c>
      <c r="L2391" s="2">
        <v>27.541875000000001</v>
      </c>
      <c r="M2391" s="5">
        <v>69.441000000000003</v>
      </c>
      <c r="N2391" s="1">
        <v>301.15050000000002</v>
      </c>
      <c r="O2391" s="2">
        <v>-0.5</v>
      </c>
      <c r="P2391">
        <v>283</v>
      </c>
    </row>
    <row r="2392" spans="1:16" x14ac:dyDescent="0.35">
      <c r="A2392" s="4">
        <v>45536</v>
      </c>
      <c r="B2392" t="s">
        <v>22</v>
      </c>
      <c r="C2392" t="s">
        <v>12</v>
      </c>
      <c r="D2392">
        <v>0</v>
      </c>
      <c r="E2392" s="2" t="s">
        <v>27</v>
      </c>
      <c r="F2392" s="2">
        <f t="shared" si="386"/>
        <v>2769.5</v>
      </c>
      <c r="G2392" s="3">
        <v>1</v>
      </c>
      <c r="H2392">
        <v>1120</v>
      </c>
      <c r="I2392">
        <v>2850</v>
      </c>
      <c r="J2392">
        <v>21621</v>
      </c>
      <c r="K2392">
        <v>19840</v>
      </c>
      <c r="L2392" s="2">
        <v>27.541875000000001</v>
      </c>
      <c r="M2392" s="5">
        <v>69.441000000000003</v>
      </c>
      <c r="N2392" s="1">
        <v>301.15050000000002</v>
      </c>
      <c r="O2392" s="2">
        <v>-0.5</v>
      </c>
      <c r="P2392">
        <v>283</v>
      </c>
    </row>
    <row r="2393" spans="1:16" x14ac:dyDescent="0.35">
      <c r="A2393" s="4">
        <v>45536</v>
      </c>
      <c r="B2393" t="s">
        <v>22</v>
      </c>
      <c r="C2393" t="s">
        <v>13</v>
      </c>
      <c r="D2393">
        <v>0</v>
      </c>
      <c r="E2393" s="2" t="s">
        <v>27</v>
      </c>
      <c r="F2393" s="2">
        <f t="shared" si="386"/>
        <v>2769.5</v>
      </c>
      <c r="G2393" s="3">
        <v>1</v>
      </c>
      <c r="H2393">
        <v>1120</v>
      </c>
      <c r="I2393">
        <v>2850</v>
      </c>
      <c r="J2393">
        <v>21621</v>
      </c>
      <c r="K2393">
        <v>19840</v>
      </c>
      <c r="L2393" s="2">
        <v>27.541875000000001</v>
      </c>
      <c r="M2393" s="5">
        <v>69.441000000000003</v>
      </c>
      <c r="N2393" s="1">
        <v>301.15050000000002</v>
      </c>
      <c r="O2393" s="2">
        <v>-0.5</v>
      </c>
      <c r="P2393">
        <v>283</v>
      </c>
    </row>
    <row r="2394" spans="1:16" x14ac:dyDescent="0.35">
      <c r="A2394" s="4">
        <v>45536</v>
      </c>
      <c r="B2394" t="s">
        <v>22</v>
      </c>
      <c r="C2394" t="s">
        <v>14</v>
      </c>
      <c r="D2394">
        <v>1</v>
      </c>
      <c r="E2394" s="2">
        <f>(2620+2788+2750+2920)/4</f>
        <v>2769.5</v>
      </c>
      <c r="F2394" s="2">
        <f>(2620+2788+2750+2920)/4</f>
        <v>2769.5</v>
      </c>
      <c r="G2394" s="3">
        <v>1</v>
      </c>
      <c r="H2394">
        <v>1120</v>
      </c>
      <c r="I2394">
        <v>2850</v>
      </c>
      <c r="J2394">
        <v>21621</v>
      </c>
      <c r="K2394">
        <v>19840</v>
      </c>
      <c r="L2394" s="2">
        <v>27.541875000000001</v>
      </c>
      <c r="M2394" s="5">
        <v>69.441000000000003</v>
      </c>
      <c r="N2394" s="1">
        <v>301.15050000000002</v>
      </c>
      <c r="O2394" s="2">
        <v>-0.5</v>
      </c>
      <c r="P2394">
        <v>283</v>
      </c>
    </row>
    <row r="2395" spans="1:16" x14ac:dyDescent="0.35">
      <c r="A2395" s="4">
        <v>45536</v>
      </c>
      <c r="B2395" t="s">
        <v>22</v>
      </c>
      <c r="C2395" t="s">
        <v>15</v>
      </c>
      <c r="D2395">
        <v>0</v>
      </c>
      <c r="E2395" s="2" t="s">
        <v>27</v>
      </c>
      <c r="F2395" s="2">
        <f>(2620+2788+2750+2920)/4</f>
        <v>2769.5</v>
      </c>
      <c r="G2395" s="3">
        <v>1</v>
      </c>
      <c r="H2395">
        <v>1120</v>
      </c>
      <c r="I2395">
        <v>2850</v>
      </c>
      <c r="J2395">
        <v>21621</v>
      </c>
      <c r="K2395">
        <v>19840</v>
      </c>
      <c r="L2395" s="2">
        <v>27.541875000000001</v>
      </c>
      <c r="M2395" s="5">
        <v>69.441000000000003</v>
      </c>
      <c r="N2395" s="1">
        <v>301.15050000000002</v>
      </c>
      <c r="O2395" s="2">
        <v>-0.5</v>
      </c>
      <c r="P2395">
        <v>283</v>
      </c>
    </row>
    <row r="2396" spans="1:16" x14ac:dyDescent="0.35">
      <c r="A2396" s="4">
        <v>45566</v>
      </c>
      <c r="B2396" t="s">
        <v>16</v>
      </c>
      <c r="C2396" t="s">
        <v>10</v>
      </c>
      <c r="D2396">
        <v>1</v>
      </c>
      <c r="E2396" s="2">
        <v>4500</v>
      </c>
      <c r="F2396" s="2">
        <f>(4266+4505+4473.75+4423.75)/4</f>
        <v>4417.125</v>
      </c>
      <c r="G2396" s="3">
        <v>1</v>
      </c>
      <c r="H2396">
        <v>2240</v>
      </c>
      <c r="I2396">
        <v>2850</v>
      </c>
      <c r="J2396">
        <v>27047</v>
      </c>
      <c r="K2396">
        <v>24800</v>
      </c>
      <c r="L2396" s="2">
        <v>26.887500000000003</v>
      </c>
      <c r="M2396" s="5">
        <v>196.62100000000004</v>
      </c>
      <c r="N2396" s="1">
        <v>293.7851</v>
      </c>
      <c r="O2396" s="2">
        <v>-0.8</v>
      </c>
      <c r="P2396">
        <v>283</v>
      </c>
    </row>
    <row r="2397" spans="1:16" x14ac:dyDescent="0.35">
      <c r="A2397" s="4">
        <v>45566</v>
      </c>
      <c r="B2397" t="s">
        <v>16</v>
      </c>
      <c r="C2397" t="s">
        <v>11</v>
      </c>
      <c r="D2397">
        <v>0</v>
      </c>
      <c r="E2397" s="2" t="s">
        <v>27</v>
      </c>
      <c r="F2397" s="2">
        <f t="shared" ref="F2397:F2401" si="387">(4266+4505+4473.75+4423.75)/4</f>
        <v>4417.125</v>
      </c>
      <c r="G2397" s="3">
        <v>1</v>
      </c>
      <c r="H2397">
        <v>2240</v>
      </c>
      <c r="I2397">
        <v>2850</v>
      </c>
      <c r="J2397">
        <v>27047</v>
      </c>
      <c r="K2397">
        <v>24800</v>
      </c>
      <c r="L2397" s="2">
        <v>26.887500000000003</v>
      </c>
      <c r="M2397" s="5">
        <v>196.62100000000004</v>
      </c>
      <c r="N2397" s="1">
        <v>293.7851</v>
      </c>
      <c r="O2397" s="2">
        <v>-0.8</v>
      </c>
      <c r="P2397">
        <v>283</v>
      </c>
    </row>
    <row r="2398" spans="1:16" x14ac:dyDescent="0.35">
      <c r="A2398" s="4">
        <v>45566</v>
      </c>
      <c r="B2398" t="s">
        <v>16</v>
      </c>
      <c r="C2398" t="s">
        <v>12</v>
      </c>
      <c r="D2398">
        <v>1</v>
      </c>
      <c r="E2398" s="2">
        <v>4170</v>
      </c>
      <c r="F2398" s="2">
        <f t="shared" si="387"/>
        <v>4417.125</v>
      </c>
      <c r="G2398" s="3">
        <v>1</v>
      </c>
      <c r="H2398">
        <v>2240</v>
      </c>
      <c r="I2398">
        <v>2850</v>
      </c>
      <c r="J2398">
        <v>27047</v>
      </c>
      <c r="K2398">
        <v>24800</v>
      </c>
      <c r="L2398" s="2">
        <v>26.887500000000003</v>
      </c>
      <c r="M2398" s="5">
        <v>196.62100000000004</v>
      </c>
      <c r="N2398" s="1">
        <v>293.7851</v>
      </c>
      <c r="O2398" s="2">
        <v>-0.8</v>
      </c>
      <c r="P2398">
        <v>283</v>
      </c>
    </row>
    <row r="2399" spans="1:16" x14ac:dyDescent="0.35">
      <c r="A2399" s="4">
        <v>45566</v>
      </c>
      <c r="B2399" t="s">
        <v>16</v>
      </c>
      <c r="C2399" t="s">
        <v>13</v>
      </c>
      <c r="D2399">
        <v>1</v>
      </c>
      <c r="E2399" s="2">
        <f>(4650+4800+4700+4500)/4</f>
        <v>4662.5</v>
      </c>
      <c r="F2399" s="2">
        <f t="shared" si="387"/>
        <v>4417.125</v>
      </c>
      <c r="G2399" s="3">
        <v>1</v>
      </c>
      <c r="H2399">
        <v>2240</v>
      </c>
      <c r="I2399">
        <v>2850</v>
      </c>
      <c r="J2399">
        <v>27047</v>
      </c>
      <c r="K2399">
        <v>24800</v>
      </c>
      <c r="L2399" s="2">
        <v>26.887500000000003</v>
      </c>
      <c r="M2399" s="5">
        <v>196.62100000000004</v>
      </c>
      <c r="N2399" s="1">
        <v>293.7851</v>
      </c>
      <c r="O2399" s="2">
        <v>-0.8</v>
      </c>
      <c r="P2399">
        <v>283</v>
      </c>
    </row>
    <row r="2400" spans="1:16" x14ac:dyDescent="0.35">
      <c r="A2400" s="4">
        <v>45566</v>
      </c>
      <c r="B2400" t="s">
        <v>16</v>
      </c>
      <c r="C2400" t="s">
        <v>14</v>
      </c>
      <c r="D2400">
        <v>1</v>
      </c>
      <c r="E2400" s="2">
        <v>4525</v>
      </c>
      <c r="F2400" s="2">
        <f t="shared" si="387"/>
        <v>4417.125</v>
      </c>
      <c r="G2400" s="3">
        <v>1</v>
      </c>
      <c r="H2400">
        <v>2240</v>
      </c>
      <c r="I2400">
        <v>2850</v>
      </c>
      <c r="J2400">
        <v>27047</v>
      </c>
      <c r="K2400">
        <v>24800</v>
      </c>
      <c r="L2400" s="2">
        <v>26.887500000000003</v>
      </c>
      <c r="M2400" s="5">
        <v>196.62100000000004</v>
      </c>
      <c r="N2400" s="1">
        <v>293.7851</v>
      </c>
      <c r="O2400" s="2">
        <v>-0.8</v>
      </c>
      <c r="P2400">
        <v>283</v>
      </c>
    </row>
    <row r="2401" spans="1:16" x14ac:dyDescent="0.35">
      <c r="A2401" s="4">
        <v>45566</v>
      </c>
      <c r="B2401" t="s">
        <v>16</v>
      </c>
      <c r="C2401" t="s">
        <v>15</v>
      </c>
      <c r="D2401">
        <v>0</v>
      </c>
      <c r="E2401" s="2" t="s">
        <v>27</v>
      </c>
      <c r="F2401" s="2">
        <f t="shared" si="387"/>
        <v>4417.125</v>
      </c>
      <c r="G2401" s="3">
        <v>1</v>
      </c>
      <c r="H2401">
        <v>2240</v>
      </c>
      <c r="I2401">
        <v>2850</v>
      </c>
      <c r="J2401">
        <v>27047</v>
      </c>
      <c r="K2401">
        <v>24800</v>
      </c>
      <c r="L2401" s="2">
        <v>26.887500000000003</v>
      </c>
      <c r="M2401" s="5">
        <v>196.62100000000004</v>
      </c>
      <c r="N2401" s="1">
        <v>293.7851</v>
      </c>
      <c r="O2401" s="2">
        <v>-0.8</v>
      </c>
      <c r="P2401">
        <v>283</v>
      </c>
    </row>
    <row r="2402" spans="1:16" x14ac:dyDescent="0.35">
      <c r="A2402" s="4">
        <v>45566</v>
      </c>
      <c r="B2402" t="s">
        <v>17</v>
      </c>
      <c r="C2402" t="s">
        <v>10</v>
      </c>
      <c r="D2402">
        <v>1</v>
      </c>
      <c r="E2402" s="2">
        <v>3750</v>
      </c>
      <c r="F2402" s="2">
        <f>(3817.4+3833+3758+3743)/4</f>
        <v>3787.85</v>
      </c>
      <c r="G2402" s="3">
        <v>1</v>
      </c>
      <c r="H2402">
        <v>2240</v>
      </c>
      <c r="I2402">
        <v>2850</v>
      </c>
      <c r="J2402">
        <v>27047</v>
      </c>
      <c r="K2402">
        <v>24800</v>
      </c>
      <c r="L2402" s="2">
        <v>26.887500000000003</v>
      </c>
      <c r="M2402" s="5">
        <v>196.62100000000004</v>
      </c>
      <c r="N2402" s="1">
        <v>293.7851</v>
      </c>
      <c r="O2402" s="2">
        <v>-0.8</v>
      </c>
      <c r="P2402">
        <v>283</v>
      </c>
    </row>
    <row r="2403" spans="1:16" x14ac:dyDescent="0.35">
      <c r="A2403" s="4">
        <v>45566</v>
      </c>
      <c r="B2403" t="s">
        <v>17</v>
      </c>
      <c r="C2403" t="s">
        <v>11</v>
      </c>
      <c r="D2403">
        <v>1</v>
      </c>
      <c r="E2403" s="2">
        <v>3800</v>
      </c>
      <c r="F2403" s="2">
        <f t="shared" ref="F2403:F2407" si="388">(3817.4+3833+3758+3743)/4</f>
        <v>3787.85</v>
      </c>
      <c r="G2403" s="3">
        <v>1</v>
      </c>
      <c r="H2403">
        <v>2240</v>
      </c>
      <c r="I2403">
        <v>2850</v>
      </c>
      <c r="J2403">
        <v>27047</v>
      </c>
      <c r="K2403">
        <v>24800</v>
      </c>
      <c r="L2403" s="2">
        <v>26.887500000000003</v>
      </c>
      <c r="M2403" s="5">
        <v>196.62100000000004</v>
      </c>
      <c r="N2403" s="1">
        <v>293.7851</v>
      </c>
      <c r="O2403" s="2">
        <v>-0.8</v>
      </c>
      <c r="P2403">
        <v>283</v>
      </c>
    </row>
    <row r="2404" spans="1:16" x14ac:dyDescent="0.35">
      <c r="A2404" s="4">
        <v>45566</v>
      </c>
      <c r="B2404" t="s">
        <v>17</v>
      </c>
      <c r="C2404" t="s">
        <v>12</v>
      </c>
      <c r="D2404">
        <v>1</v>
      </c>
      <c r="E2404" s="2">
        <v>3565</v>
      </c>
      <c r="F2404" s="2">
        <f t="shared" si="388"/>
        <v>3787.85</v>
      </c>
      <c r="G2404" s="3">
        <v>1</v>
      </c>
      <c r="H2404">
        <v>2240</v>
      </c>
      <c r="I2404">
        <v>2850</v>
      </c>
      <c r="J2404">
        <v>27047</v>
      </c>
      <c r="K2404">
        <v>24800</v>
      </c>
      <c r="L2404" s="2">
        <v>26.887500000000003</v>
      </c>
      <c r="M2404" s="5">
        <v>196.62100000000004</v>
      </c>
      <c r="N2404" s="1">
        <v>293.7851</v>
      </c>
      <c r="O2404" s="2">
        <v>-0.8</v>
      </c>
      <c r="P2404">
        <v>283</v>
      </c>
    </row>
    <row r="2405" spans="1:16" x14ac:dyDescent="0.35">
      <c r="A2405" s="4">
        <v>45566</v>
      </c>
      <c r="B2405" t="s">
        <v>17</v>
      </c>
      <c r="C2405" t="s">
        <v>13</v>
      </c>
      <c r="D2405">
        <v>1</v>
      </c>
      <c r="E2405" s="2">
        <f>(4050+4200+3925+4000)/4</f>
        <v>4043.75</v>
      </c>
      <c r="F2405" s="2">
        <f t="shared" si="388"/>
        <v>3787.85</v>
      </c>
      <c r="G2405" s="3">
        <v>1</v>
      </c>
      <c r="H2405">
        <v>2240</v>
      </c>
      <c r="I2405">
        <v>2850</v>
      </c>
      <c r="J2405">
        <v>27047</v>
      </c>
      <c r="K2405">
        <v>24800</v>
      </c>
      <c r="L2405" s="2">
        <v>26.887500000000003</v>
      </c>
      <c r="M2405" s="5">
        <v>196.62100000000004</v>
      </c>
      <c r="N2405" s="1">
        <v>293.7851</v>
      </c>
      <c r="O2405" s="2">
        <v>-0.8</v>
      </c>
      <c r="P2405">
        <v>283</v>
      </c>
    </row>
    <row r="2406" spans="1:16" x14ac:dyDescent="0.35">
      <c r="A2406" s="4">
        <v>45566</v>
      </c>
      <c r="B2406" t="s">
        <v>17</v>
      </c>
      <c r="C2406" t="s">
        <v>14</v>
      </c>
      <c r="D2406">
        <v>1</v>
      </c>
      <c r="E2406" s="2">
        <f>(3750+3800*2+3767)/4</f>
        <v>3779.25</v>
      </c>
      <c r="F2406" s="2">
        <f t="shared" si="388"/>
        <v>3787.85</v>
      </c>
      <c r="G2406" s="3">
        <v>1</v>
      </c>
      <c r="H2406">
        <v>2240</v>
      </c>
      <c r="I2406">
        <v>2850</v>
      </c>
      <c r="J2406">
        <v>27047</v>
      </c>
      <c r="K2406">
        <v>24800</v>
      </c>
      <c r="L2406" s="2">
        <v>26.887500000000003</v>
      </c>
      <c r="M2406" s="5">
        <v>196.62100000000004</v>
      </c>
      <c r="N2406" s="1">
        <v>293.7851</v>
      </c>
      <c r="O2406" s="2">
        <v>-0.8</v>
      </c>
      <c r="P2406">
        <v>283</v>
      </c>
    </row>
    <row r="2407" spans="1:16" x14ac:dyDescent="0.35">
      <c r="A2407" s="4">
        <v>45566</v>
      </c>
      <c r="B2407" t="s">
        <v>17</v>
      </c>
      <c r="C2407" t="s">
        <v>15</v>
      </c>
      <c r="D2407">
        <v>0</v>
      </c>
      <c r="E2407" s="2" t="s">
        <v>27</v>
      </c>
      <c r="F2407" s="2">
        <f t="shared" si="388"/>
        <v>3787.85</v>
      </c>
      <c r="G2407" s="3">
        <v>1</v>
      </c>
      <c r="H2407">
        <v>2240</v>
      </c>
      <c r="I2407">
        <v>2850</v>
      </c>
      <c r="J2407">
        <v>27047</v>
      </c>
      <c r="K2407">
        <v>24800</v>
      </c>
      <c r="L2407" s="2">
        <v>26.887500000000003</v>
      </c>
      <c r="M2407" s="5">
        <v>196.62100000000004</v>
      </c>
      <c r="N2407" s="1">
        <v>293.7851</v>
      </c>
      <c r="O2407" s="2">
        <v>-0.8</v>
      </c>
      <c r="P2407">
        <v>283</v>
      </c>
    </row>
    <row r="2408" spans="1:16" x14ac:dyDescent="0.35">
      <c r="A2408" s="4">
        <v>45566</v>
      </c>
      <c r="B2408" t="s">
        <v>18</v>
      </c>
      <c r="C2408" t="s">
        <v>10</v>
      </c>
      <c r="D2408">
        <v>1</v>
      </c>
      <c r="E2408" s="2">
        <v>3550</v>
      </c>
      <c r="F2408" s="2">
        <f>(3617.88+3607.5+3624.38+3642.14)/4</f>
        <v>3622.9749999999999</v>
      </c>
      <c r="G2408" s="3">
        <v>1</v>
      </c>
      <c r="H2408">
        <v>2240</v>
      </c>
      <c r="I2408">
        <v>2850</v>
      </c>
      <c r="J2408">
        <v>27047</v>
      </c>
      <c r="K2408">
        <v>24800</v>
      </c>
      <c r="L2408" s="2">
        <v>26.887500000000003</v>
      </c>
      <c r="M2408" s="5">
        <v>196.62100000000004</v>
      </c>
      <c r="N2408" s="1">
        <v>293.7851</v>
      </c>
      <c r="O2408" s="2">
        <v>-0.8</v>
      </c>
      <c r="P2408">
        <v>283</v>
      </c>
    </row>
    <row r="2409" spans="1:16" x14ac:dyDescent="0.35">
      <c r="A2409" s="4">
        <v>45566</v>
      </c>
      <c r="B2409" t="s">
        <v>18</v>
      </c>
      <c r="C2409" t="s">
        <v>11</v>
      </c>
      <c r="D2409">
        <v>1</v>
      </c>
      <c r="E2409" s="2">
        <f>(3600*2+3650+3500)/4</f>
        <v>3587.5</v>
      </c>
      <c r="F2409" s="2">
        <f t="shared" ref="F2409:F2413" si="389">(3617.88+3607.5+3624.38+3642.14)/4</f>
        <v>3622.9749999999999</v>
      </c>
      <c r="G2409" s="3">
        <v>1</v>
      </c>
      <c r="H2409">
        <v>2240</v>
      </c>
      <c r="I2409">
        <v>2850</v>
      </c>
      <c r="J2409">
        <v>27047</v>
      </c>
      <c r="K2409">
        <v>24800</v>
      </c>
      <c r="L2409" s="2">
        <v>26.887500000000003</v>
      </c>
      <c r="M2409" s="5">
        <v>196.62100000000004</v>
      </c>
      <c r="N2409" s="1">
        <v>293.7851</v>
      </c>
      <c r="O2409" s="2">
        <v>-0.8</v>
      </c>
      <c r="P2409">
        <v>283</v>
      </c>
    </row>
    <row r="2410" spans="1:16" x14ac:dyDescent="0.35">
      <c r="A2410" s="4">
        <v>45566</v>
      </c>
      <c r="B2410" t="s">
        <v>18</v>
      </c>
      <c r="C2410" t="s">
        <v>12</v>
      </c>
      <c r="D2410">
        <v>1</v>
      </c>
      <c r="E2410" s="2">
        <v>3385</v>
      </c>
      <c r="F2410" s="2">
        <f t="shared" si="389"/>
        <v>3622.9749999999999</v>
      </c>
      <c r="G2410" s="3">
        <v>1</v>
      </c>
      <c r="H2410">
        <v>2240</v>
      </c>
      <c r="I2410">
        <v>2850</v>
      </c>
      <c r="J2410">
        <v>27047</v>
      </c>
      <c r="K2410">
        <v>24800</v>
      </c>
      <c r="L2410" s="2">
        <v>26.887500000000003</v>
      </c>
      <c r="M2410" s="5">
        <v>196.62100000000004</v>
      </c>
      <c r="N2410" s="1">
        <v>293.7851</v>
      </c>
      <c r="O2410" s="2">
        <v>-0.8</v>
      </c>
      <c r="P2410">
        <v>283</v>
      </c>
    </row>
    <row r="2411" spans="1:16" x14ac:dyDescent="0.35">
      <c r="A2411" s="4">
        <v>45566</v>
      </c>
      <c r="B2411" t="s">
        <v>18</v>
      </c>
      <c r="C2411" t="s">
        <v>13</v>
      </c>
      <c r="D2411">
        <v>1</v>
      </c>
      <c r="E2411" s="2">
        <v>3737.5</v>
      </c>
      <c r="F2411" s="2">
        <f t="shared" si="389"/>
        <v>3622.9749999999999</v>
      </c>
      <c r="G2411" s="3">
        <v>1</v>
      </c>
      <c r="H2411">
        <v>2240</v>
      </c>
      <c r="I2411">
        <v>2850</v>
      </c>
      <c r="J2411">
        <v>27047</v>
      </c>
      <c r="K2411">
        <v>24800</v>
      </c>
      <c r="L2411" s="2">
        <v>26.887500000000003</v>
      </c>
      <c r="M2411" s="5">
        <v>196.62100000000004</v>
      </c>
      <c r="N2411" s="1">
        <v>293.7851</v>
      </c>
      <c r="O2411" s="2">
        <v>-0.8</v>
      </c>
      <c r="P2411">
        <v>283</v>
      </c>
    </row>
    <row r="2412" spans="1:16" x14ac:dyDescent="0.35">
      <c r="A2412" s="4">
        <v>45566</v>
      </c>
      <c r="B2412" t="s">
        <v>18</v>
      </c>
      <c r="C2412" t="s">
        <v>14</v>
      </c>
      <c r="D2412">
        <v>1</v>
      </c>
      <c r="E2412" s="2">
        <f>(3633+3625+3675+3660)/4</f>
        <v>3648.25</v>
      </c>
      <c r="F2412" s="2">
        <f t="shared" si="389"/>
        <v>3622.9749999999999</v>
      </c>
      <c r="G2412" s="3">
        <v>1</v>
      </c>
      <c r="H2412">
        <v>2240</v>
      </c>
      <c r="I2412">
        <v>2850</v>
      </c>
      <c r="J2412">
        <v>27047</v>
      </c>
      <c r="K2412">
        <v>24800</v>
      </c>
      <c r="L2412" s="2">
        <v>26.887500000000003</v>
      </c>
      <c r="M2412" s="5">
        <v>196.62100000000004</v>
      </c>
      <c r="N2412" s="1">
        <v>293.7851</v>
      </c>
      <c r="O2412" s="2">
        <v>-0.8</v>
      </c>
      <c r="P2412">
        <v>283</v>
      </c>
    </row>
    <row r="2413" spans="1:16" x14ac:dyDescent="0.35">
      <c r="A2413" s="4">
        <v>45566</v>
      </c>
      <c r="B2413" t="s">
        <v>18</v>
      </c>
      <c r="C2413" t="s">
        <v>15</v>
      </c>
      <c r="D2413">
        <v>1</v>
      </c>
      <c r="E2413" s="2">
        <v>3700</v>
      </c>
      <c r="F2413" s="2">
        <f t="shared" si="389"/>
        <v>3622.9749999999999</v>
      </c>
      <c r="G2413" s="3">
        <v>1</v>
      </c>
      <c r="H2413">
        <v>2240</v>
      </c>
      <c r="I2413">
        <v>2850</v>
      </c>
      <c r="J2413">
        <v>27047</v>
      </c>
      <c r="K2413">
        <v>24800</v>
      </c>
      <c r="L2413" s="2">
        <v>26.887500000000003</v>
      </c>
      <c r="M2413" s="5">
        <v>196.62100000000004</v>
      </c>
      <c r="N2413" s="1">
        <v>293.7851</v>
      </c>
      <c r="O2413" s="2">
        <v>-0.8</v>
      </c>
      <c r="P2413">
        <v>283</v>
      </c>
    </row>
    <row r="2414" spans="1:16" x14ac:dyDescent="0.35">
      <c r="A2414" s="4">
        <v>45566</v>
      </c>
      <c r="B2414" t="s">
        <v>19</v>
      </c>
      <c r="C2414" t="s">
        <v>10</v>
      </c>
      <c r="D2414">
        <v>1</v>
      </c>
      <c r="E2414" s="2">
        <v>3400</v>
      </c>
      <c r="F2414" s="2">
        <f>(3465.5+3438.13+3480.75+3466.25)/4</f>
        <v>3462.6575000000003</v>
      </c>
      <c r="G2414" s="3">
        <v>1</v>
      </c>
      <c r="H2414">
        <v>2240</v>
      </c>
      <c r="I2414">
        <v>2850</v>
      </c>
      <c r="J2414">
        <v>27047</v>
      </c>
      <c r="K2414">
        <v>24800</v>
      </c>
      <c r="L2414" s="2">
        <v>26.887500000000003</v>
      </c>
      <c r="M2414" s="5">
        <v>196.62100000000004</v>
      </c>
      <c r="N2414" s="1">
        <v>293.7851</v>
      </c>
      <c r="O2414" s="2">
        <v>-0.8</v>
      </c>
      <c r="P2414">
        <v>283</v>
      </c>
    </row>
    <row r="2415" spans="1:16" x14ac:dyDescent="0.35">
      <c r="A2415" s="4">
        <v>45566</v>
      </c>
      <c r="B2415" t="s">
        <v>19</v>
      </c>
      <c r="C2415" t="s">
        <v>11</v>
      </c>
      <c r="D2415">
        <v>1</v>
      </c>
      <c r="E2415" s="2">
        <v>3475</v>
      </c>
      <c r="F2415" s="2">
        <f t="shared" ref="F2415:F2419" si="390">(3465.5+3438.13+3480.75+3466.25)/4</f>
        <v>3462.6575000000003</v>
      </c>
      <c r="G2415" s="3">
        <v>1</v>
      </c>
      <c r="H2415">
        <v>2240</v>
      </c>
      <c r="I2415">
        <v>2850</v>
      </c>
      <c r="J2415">
        <v>27047</v>
      </c>
      <c r="K2415">
        <v>24800</v>
      </c>
      <c r="L2415" s="2">
        <v>26.887500000000003</v>
      </c>
      <c r="M2415" s="5">
        <v>196.62100000000004</v>
      </c>
      <c r="N2415" s="1">
        <v>293.7851</v>
      </c>
      <c r="O2415" s="2">
        <v>-0.8</v>
      </c>
      <c r="P2415">
        <v>283</v>
      </c>
    </row>
    <row r="2416" spans="1:16" x14ac:dyDescent="0.35">
      <c r="A2416" s="4">
        <v>45566</v>
      </c>
      <c r="B2416" t="s">
        <v>19</v>
      </c>
      <c r="C2416" t="s">
        <v>12</v>
      </c>
      <c r="D2416">
        <v>1</v>
      </c>
      <c r="E2416" s="2">
        <v>3180</v>
      </c>
      <c r="F2416" s="2">
        <f t="shared" si="390"/>
        <v>3462.6575000000003</v>
      </c>
      <c r="G2416" s="3">
        <v>1</v>
      </c>
      <c r="H2416">
        <v>2240</v>
      </c>
      <c r="I2416">
        <v>2850</v>
      </c>
      <c r="J2416">
        <v>27047</v>
      </c>
      <c r="K2416">
        <v>24800</v>
      </c>
      <c r="L2416" s="2">
        <v>26.887500000000003</v>
      </c>
      <c r="M2416" s="5">
        <v>196.62100000000004</v>
      </c>
      <c r="N2416" s="1">
        <v>293.7851</v>
      </c>
      <c r="O2416" s="2">
        <v>-0.8</v>
      </c>
      <c r="P2416">
        <v>283</v>
      </c>
    </row>
    <row r="2417" spans="1:16" x14ac:dyDescent="0.35">
      <c r="A2417" s="4">
        <v>45566</v>
      </c>
      <c r="B2417" t="s">
        <v>19</v>
      </c>
      <c r="C2417" t="s">
        <v>13</v>
      </c>
      <c r="D2417">
        <v>1</v>
      </c>
      <c r="E2417" s="2">
        <v>3575</v>
      </c>
      <c r="F2417" s="2">
        <f t="shared" si="390"/>
        <v>3462.6575000000003</v>
      </c>
      <c r="G2417" s="3">
        <v>1</v>
      </c>
      <c r="H2417">
        <v>2240</v>
      </c>
      <c r="I2417">
        <v>2850</v>
      </c>
      <c r="J2417">
        <v>27047</v>
      </c>
      <c r="K2417">
        <v>24800</v>
      </c>
      <c r="L2417" s="2">
        <v>26.887500000000003</v>
      </c>
      <c r="M2417" s="5">
        <v>196.62100000000004</v>
      </c>
      <c r="N2417" s="1">
        <v>293.7851</v>
      </c>
      <c r="O2417" s="2">
        <v>-0.8</v>
      </c>
      <c r="P2417">
        <v>283</v>
      </c>
    </row>
    <row r="2418" spans="1:16" x14ac:dyDescent="0.35">
      <c r="A2418" s="4">
        <v>45566</v>
      </c>
      <c r="B2418" t="s">
        <v>19</v>
      </c>
      <c r="C2418" t="s">
        <v>14</v>
      </c>
      <c r="D2418">
        <v>1</v>
      </c>
      <c r="E2418" s="2">
        <f>(3544+3550*2+3756)/4</f>
        <v>3600</v>
      </c>
      <c r="F2418" s="2">
        <f t="shared" si="390"/>
        <v>3462.6575000000003</v>
      </c>
      <c r="G2418" s="3">
        <v>1</v>
      </c>
      <c r="H2418">
        <v>2240</v>
      </c>
      <c r="I2418">
        <v>2850</v>
      </c>
      <c r="J2418">
        <v>27047</v>
      </c>
      <c r="K2418">
        <v>24800</v>
      </c>
      <c r="L2418" s="2">
        <v>26.887500000000003</v>
      </c>
      <c r="M2418" s="5">
        <v>196.62100000000004</v>
      </c>
      <c r="N2418" s="1">
        <v>293.7851</v>
      </c>
      <c r="O2418" s="2">
        <v>-0.8</v>
      </c>
      <c r="P2418">
        <v>283</v>
      </c>
    </row>
    <row r="2419" spans="1:16" x14ac:dyDescent="0.35">
      <c r="A2419" s="4">
        <v>45566</v>
      </c>
      <c r="B2419" t="s">
        <v>19</v>
      </c>
      <c r="C2419" t="s">
        <v>15</v>
      </c>
      <c r="D2419">
        <v>1</v>
      </c>
      <c r="E2419" s="2">
        <v>3575</v>
      </c>
      <c r="F2419" s="2">
        <f t="shared" si="390"/>
        <v>3462.6575000000003</v>
      </c>
      <c r="G2419" s="3">
        <v>1</v>
      </c>
      <c r="H2419">
        <v>2240</v>
      </c>
      <c r="I2419">
        <v>2850</v>
      </c>
      <c r="J2419">
        <v>27047</v>
      </c>
      <c r="K2419">
        <v>24800</v>
      </c>
      <c r="L2419" s="2">
        <v>26.887500000000003</v>
      </c>
      <c r="M2419" s="5">
        <v>196.62100000000004</v>
      </c>
      <c r="N2419" s="1">
        <v>293.7851</v>
      </c>
      <c r="O2419" s="2">
        <v>-0.8</v>
      </c>
      <c r="P2419">
        <v>283</v>
      </c>
    </row>
    <row r="2420" spans="1:16" x14ac:dyDescent="0.35">
      <c r="A2420" s="4">
        <v>45566</v>
      </c>
      <c r="B2420" t="s">
        <v>20</v>
      </c>
      <c r="C2420" t="s">
        <v>10</v>
      </c>
      <c r="D2420">
        <v>1</v>
      </c>
      <c r="E2420" s="2">
        <v>3300</v>
      </c>
      <c r="F2420" s="2">
        <f>(3143.5+3100.63+3064.38+3130.38)/4</f>
        <v>3109.7224999999999</v>
      </c>
      <c r="G2420" s="3">
        <v>1</v>
      </c>
      <c r="H2420">
        <v>2240</v>
      </c>
      <c r="I2420">
        <v>2850</v>
      </c>
      <c r="J2420">
        <v>27047</v>
      </c>
      <c r="K2420">
        <v>24800</v>
      </c>
      <c r="L2420" s="2">
        <v>26.887500000000003</v>
      </c>
      <c r="M2420" s="5">
        <v>196.62100000000004</v>
      </c>
      <c r="N2420" s="1">
        <v>293.7851</v>
      </c>
      <c r="O2420" s="2">
        <v>-0.8</v>
      </c>
      <c r="P2420">
        <v>283</v>
      </c>
    </row>
    <row r="2421" spans="1:16" x14ac:dyDescent="0.35">
      <c r="A2421" s="4">
        <v>45566</v>
      </c>
      <c r="B2421" t="s">
        <v>20</v>
      </c>
      <c r="C2421" t="s">
        <v>11</v>
      </c>
      <c r="D2421">
        <v>1</v>
      </c>
      <c r="E2421" s="2">
        <v>2925</v>
      </c>
      <c r="F2421" s="2">
        <f t="shared" ref="F2421:F2425" si="391">(3143.5+3100.63+3064.38+3130.38)/4</f>
        <v>3109.7224999999999</v>
      </c>
      <c r="G2421" s="3">
        <v>1</v>
      </c>
      <c r="H2421">
        <v>2240</v>
      </c>
      <c r="I2421">
        <v>2850</v>
      </c>
      <c r="J2421">
        <v>27047</v>
      </c>
      <c r="K2421">
        <v>24800</v>
      </c>
      <c r="L2421" s="2">
        <v>26.887500000000003</v>
      </c>
      <c r="M2421" s="5">
        <v>196.62100000000004</v>
      </c>
      <c r="N2421" s="1">
        <v>293.7851</v>
      </c>
      <c r="O2421" s="2">
        <v>-0.8</v>
      </c>
      <c r="P2421">
        <v>283</v>
      </c>
    </row>
    <row r="2422" spans="1:16" x14ac:dyDescent="0.35">
      <c r="A2422" s="4">
        <v>45566</v>
      </c>
      <c r="B2422" t="s">
        <v>20</v>
      </c>
      <c r="C2422" t="s">
        <v>12</v>
      </c>
      <c r="D2422">
        <v>1</v>
      </c>
      <c r="E2422" s="2">
        <v>2380</v>
      </c>
      <c r="F2422" s="2">
        <f t="shared" si="391"/>
        <v>3109.7224999999999</v>
      </c>
      <c r="G2422" s="3">
        <v>1</v>
      </c>
      <c r="H2422">
        <v>2240</v>
      </c>
      <c r="I2422">
        <v>2850</v>
      </c>
      <c r="J2422">
        <v>27047</v>
      </c>
      <c r="K2422">
        <v>24800</v>
      </c>
      <c r="L2422" s="2">
        <v>26.887500000000003</v>
      </c>
      <c r="M2422" s="5">
        <v>196.62100000000004</v>
      </c>
      <c r="N2422" s="1">
        <v>293.7851</v>
      </c>
      <c r="O2422" s="2">
        <v>-0.8</v>
      </c>
      <c r="P2422">
        <v>283</v>
      </c>
    </row>
    <row r="2423" spans="1:16" x14ac:dyDescent="0.35">
      <c r="A2423" s="4">
        <v>45566</v>
      </c>
      <c r="B2423" t="s">
        <v>20</v>
      </c>
      <c r="C2423" t="s">
        <v>13</v>
      </c>
      <c r="D2423">
        <v>1</v>
      </c>
      <c r="E2423" s="2">
        <f>(3475+3375+3450+3463)/4</f>
        <v>3440.75</v>
      </c>
      <c r="F2423" s="2">
        <f t="shared" si="391"/>
        <v>3109.7224999999999</v>
      </c>
      <c r="G2423" s="3">
        <v>1</v>
      </c>
      <c r="H2423">
        <v>2240</v>
      </c>
      <c r="I2423">
        <v>2850</v>
      </c>
      <c r="J2423">
        <v>27047</v>
      </c>
      <c r="K2423">
        <v>24800</v>
      </c>
      <c r="L2423" s="2">
        <v>26.887500000000003</v>
      </c>
      <c r="M2423" s="5">
        <v>196.62100000000004</v>
      </c>
      <c r="N2423" s="1">
        <v>293.7851</v>
      </c>
      <c r="O2423" s="2">
        <v>-0.8</v>
      </c>
      <c r="P2423">
        <v>283</v>
      </c>
    </row>
    <row r="2424" spans="1:16" x14ac:dyDescent="0.35">
      <c r="A2424" s="4">
        <v>45566</v>
      </c>
      <c r="B2424" t="s">
        <v>20</v>
      </c>
      <c r="C2424" t="s">
        <v>14</v>
      </c>
      <c r="D2424">
        <v>1</v>
      </c>
      <c r="E2424" s="2">
        <f>(3430+3450+3460+3463)/4</f>
        <v>3450.75</v>
      </c>
      <c r="F2424" s="2">
        <f t="shared" si="391"/>
        <v>3109.7224999999999</v>
      </c>
      <c r="G2424" s="3">
        <v>1</v>
      </c>
      <c r="H2424">
        <v>2240</v>
      </c>
      <c r="I2424">
        <v>2850</v>
      </c>
      <c r="J2424">
        <v>27047</v>
      </c>
      <c r="K2424">
        <v>24800</v>
      </c>
      <c r="L2424" s="2">
        <v>26.887500000000003</v>
      </c>
      <c r="M2424" s="5">
        <v>196.62100000000004</v>
      </c>
      <c r="N2424" s="1">
        <v>293.7851</v>
      </c>
      <c r="O2424" s="2">
        <v>-0.8</v>
      </c>
      <c r="P2424">
        <v>283</v>
      </c>
    </row>
    <row r="2425" spans="1:16" x14ac:dyDescent="0.35">
      <c r="A2425" s="4">
        <v>45566</v>
      </c>
      <c r="B2425" t="s">
        <v>20</v>
      </c>
      <c r="C2425" t="s">
        <v>15</v>
      </c>
      <c r="D2425">
        <v>1</v>
      </c>
      <c r="E2425" s="2">
        <f>(3525+3425+3500+3475)/4</f>
        <v>3481.25</v>
      </c>
      <c r="F2425" s="2">
        <f t="shared" si="391"/>
        <v>3109.7224999999999</v>
      </c>
      <c r="G2425" s="3">
        <v>1</v>
      </c>
      <c r="H2425">
        <v>2240</v>
      </c>
      <c r="I2425">
        <v>2850</v>
      </c>
      <c r="J2425">
        <v>27047</v>
      </c>
      <c r="K2425">
        <v>24800</v>
      </c>
      <c r="L2425" s="2">
        <v>26.887500000000003</v>
      </c>
      <c r="M2425" s="5">
        <v>196.62100000000004</v>
      </c>
      <c r="N2425" s="1">
        <v>293.7851</v>
      </c>
      <c r="O2425" s="2">
        <v>-0.8</v>
      </c>
      <c r="P2425">
        <v>283</v>
      </c>
    </row>
    <row r="2426" spans="1:16" x14ac:dyDescent="0.35">
      <c r="A2426" s="4">
        <v>45566</v>
      </c>
      <c r="B2426" t="s">
        <v>21</v>
      </c>
      <c r="C2426" t="s">
        <v>10</v>
      </c>
      <c r="D2426">
        <v>1</v>
      </c>
      <c r="E2426" s="2">
        <v>3100</v>
      </c>
      <c r="F2426" s="2">
        <f>(2977.63+2907.88+2934.75+2946.13)/4</f>
        <v>2941.5974999999999</v>
      </c>
      <c r="G2426" s="3">
        <v>1</v>
      </c>
      <c r="H2426">
        <v>2240</v>
      </c>
      <c r="I2426">
        <v>2850</v>
      </c>
      <c r="J2426">
        <v>27047</v>
      </c>
      <c r="K2426">
        <v>24800</v>
      </c>
      <c r="L2426" s="2">
        <v>26.887500000000003</v>
      </c>
      <c r="M2426" s="5">
        <v>196.62100000000004</v>
      </c>
      <c r="N2426" s="1">
        <v>293.7851</v>
      </c>
      <c r="O2426" s="2">
        <v>-0.8</v>
      </c>
      <c r="P2426">
        <v>283</v>
      </c>
    </row>
    <row r="2427" spans="1:16" x14ac:dyDescent="0.35">
      <c r="A2427" s="4">
        <v>45566</v>
      </c>
      <c r="B2427" t="s">
        <v>21</v>
      </c>
      <c r="C2427" t="s">
        <v>11</v>
      </c>
      <c r="D2427">
        <v>1</v>
      </c>
      <c r="E2427" s="2">
        <v>2875</v>
      </c>
      <c r="F2427" s="2">
        <f t="shared" ref="F2427:F2431" si="392">(2977.63+2907.88+2934.75+2946.13)/4</f>
        <v>2941.5974999999999</v>
      </c>
      <c r="G2427" s="3">
        <v>1</v>
      </c>
      <c r="H2427">
        <v>2240</v>
      </c>
      <c r="I2427">
        <v>2850</v>
      </c>
      <c r="J2427">
        <v>27047</v>
      </c>
      <c r="K2427">
        <v>24800</v>
      </c>
      <c r="L2427" s="2">
        <v>26.887500000000003</v>
      </c>
      <c r="M2427" s="5">
        <v>196.62100000000004</v>
      </c>
      <c r="N2427" s="1">
        <v>293.7851</v>
      </c>
      <c r="O2427" s="2">
        <v>-0.8</v>
      </c>
      <c r="P2427">
        <v>283</v>
      </c>
    </row>
    <row r="2428" spans="1:16" x14ac:dyDescent="0.35">
      <c r="A2428" s="4">
        <v>45566</v>
      </c>
      <c r="B2428" t="s">
        <v>21</v>
      </c>
      <c r="C2428" t="s">
        <v>12</v>
      </c>
      <c r="D2428">
        <v>1</v>
      </c>
      <c r="E2428" s="2">
        <v>2200</v>
      </c>
      <c r="F2428" s="2">
        <f t="shared" si="392"/>
        <v>2941.5974999999999</v>
      </c>
      <c r="G2428" s="3">
        <v>1</v>
      </c>
      <c r="H2428">
        <v>2240</v>
      </c>
      <c r="I2428">
        <v>2850</v>
      </c>
      <c r="J2428">
        <v>27047</v>
      </c>
      <c r="K2428">
        <v>24800</v>
      </c>
      <c r="L2428" s="2">
        <v>26.887500000000003</v>
      </c>
      <c r="M2428" s="5">
        <v>196.62100000000004</v>
      </c>
      <c r="N2428" s="1">
        <v>293.7851</v>
      </c>
      <c r="O2428" s="2">
        <v>-0.8</v>
      </c>
      <c r="P2428">
        <v>283</v>
      </c>
    </row>
    <row r="2429" spans="1:16" x14ac:dyDescent="0.35">
      <c r="A2429" s="4">
        <v>45566</v>
      </c>
      <c r="B2429" t="s">
        <v>21</v>
      </c>
      <c r="C2429" t="s">
        <v>13</v>
      </c>
      <c r="D2429">
        <v>1</v>
      </c>
      <c r="E2429" s="2">
        <f>(3325+3275+3250+3300)/4</f>
        <v>3287.5</v>
      </c>
      <c r="F2429" s="2">
        <f t="shared" si="392"/>
        <v>2941.5974999999999</v>
      </c>
      <c r="G2429" s="3">
        <v>1</v>
      </c>
      <c r="H2429">
        <v>2240</v>
      </c>
      <c r="I2429">
        <v>2850</v>
      </c>
      <c r="J2429">
        <v>27047</v>
      </c>
      <c r="K2429">
        <v>24800</v>
      </c>
      <c r="L2429" s="2">
        <v>26.887500000000003</v>
      </c>
      <c r="M2429" s="5">
        <v>196.62100000000004</v>
      </c>
      <c r="N2429" s="1">
        <v>293.7851</v>
      </c>
      <c r="O2429" s="2">
        <v>-0.8</v>
      </c>
      <c r="P2429">
        <v>283</v>
      </c>
    </row>
    <row r="2430" spans="1:16" x14ac:dyDescent="0.35">
      <c r="A2430" s="4">
        <v>45566</v>
      </c>
      <c r="B2430" t="s">
        <v>21</v>
      </c>
      <c r="C2430" t="s">
        <v>14</v>
      </c>
      <c r="D2430">
        <v>1</v>
      </c>
      <c r="E2430" s="2">
        <f>(3396+3388+3353+3319)/4</f>
        <v>3364</v>
      </c>
      <c r="F2430" s="2">
        <f t="shared" si="392"/>
        <v>2941.5974999999999</v>
      </c>
      <c r="G2430" s="3">
        <v>1</v>
      </c>
      <c r="H2430">
        <v>2240</v>
      </c>
      <c r="I2430">
        <v>2850</v>
      </c>
      <c r="J2430">
        <v>27047</v>
      </c>
      <c r="K2430">
        <v>24800</v>
      </c>
      <c r="L2430" s="2">
        <v>26.887500000000003</v>
      </c>
      <c r="M2430" s="5">
        <v>196.62100000000004</v>
      </c>
      <c r="N2430" s="1">
        <v>293.7851</v>
      </c>
      <c r="O2430" s="2">
        <v>-0.8</v>
      </c>
      <c r="P2430">
        <v>283</v>
      </c>
    </row>
    <row r="2431" spans="1:16" x14ac:dyDescent="0.35">
      <c r="A2431" s="4">
        <v>45566</v>
      </c>
      <c r="B2431" t="s">
        <v>21</v>
      </c>
      <c r="C2431" t="s">
        <v>15</v>
      </c>
      <c r="D2431">
        <v>1</v>
      </c>
      <c r="E2431" s="2">
        <f>(3425+3350+3425+3425)/4</f>
        <v>3406.25</v>
      </c>
      <c r="F2431" s="2">
        <f t="shared" si="392"/>
        <v>2941.5974999999999</v>
      </c>
      <c r="G2431" s="3">
        <v>1</v>
      </c>
      <c r="H2431">
        <v>2240</v>
      </c>
      <c r="I2431">
        <v>2850</v>
      </c>
      <c r="J2431">
        <v>27047</v>
      </c>
      <c r="K2431">
        <v>24800</v>
      </c>
      <c r="L2431" s="2">
        <v>26.887500000000003</v>
      </c>
      <c r="M2431" s="5">
        <v>196.62100000000004</v>
      </c>
      <c r="N2431" s="1">
        <v>293.7851</v>
      </c>
      <c r="O2431" s="2">
        <v>-0.8</v>
      </c>
      <c r="P2431">
        <v>283</v>
      </c>
    </row>
    <row r="2432" spans="1:16" x14ac:dyDescent="0.35">
      <c r="A2432" s="4">
        <v>45566</v>
      </c>
      <c r="B2432" t="s">
        <v>22</v>
      </c>
      <c r="C2432" t="s">
        <v>10</v>
      </c>
      <c r="D2432">
        <v>0</v>
      </c>
      <c r="E2432" s="2" t="s">
        <v>27</v>
      </c>
      <c r="F2432" s="2">
        <f t="shared" ref="F2432:F2435" si="393">(2950+3075+3188+3100)/4</f>
        <v>3078.25</v>
      </c>
      <c r="G2432" s="3">
        <v>1</v>
      </c>
      <c r="H2432">
        <v>2240</v>
      </c>
      <c r="I2432">
        <v>2850</v>
      </c>
      <c r="J2432">
        <v>27047</v>
      </c>
      <c r="K2432">
        <v>24800</v>
      </c>
      <c r="L2432" s="2">
        <v>26.887500000000003</v>
      </c>
      <c r="M2432" s="5">
        <v>196.62100000000004</v>
      </c>
      <c r="N2432" s="1">
        <v>293.7851</v>
      </c>
      <c r="O2432" s="2">
        <v>-0.8</v>
      </c>
      <c r="P2432">
        <v>283</v>
      </c>
    </row>
    <row r="2433" spans="1:16" x14ac:dyDescent="0.35">
      <c r="A2433" s="4">
        <v>45566</v>
      </c>
      <c r="B2433" t="s">
        <v>22</v>
      </c>
      <c r="C2433" t="s">
        <v>11</v>
      </c>
      <c r="D2433">
        <v>0</v>
      </c>
      <c r="E2433" s="2" t="s">
        <v>27</v>
      </c>
      <c r="F2433" s="2">
        <f t="shared" si="393"/>
        <v>3078.25</v>
      </c>
      <c r="G2433" s="3">
        <v>1</v>
      </c>
      <c r="H2433">
        <v>2240</v>
      </c>
      <c r="I2433">
        <v>2850</v>
      </c>
      <c r="J2433">
        <v>27047</v>
      </c>
      <c r="K2433">
        <v>24800</v>
      </c>
      <c r="L2433" s="2">
        <v>26.887500000000003</v>
      </c>
      <c r="M2433" s="5">
        <v>196.62100000000004</v>
      </c>
      <c r="N2433" s="1">
        <v>293.7851</v>
      </c>
      <c r="O2433" s="2">
        <v>-0.8</v>
      </c>
      <c r="P2433">
        <v>283</v>
      </c>
    </row>
    <row r="2434" spans="1:16" x14ac:dyDescent="0.35">
      <c r="A2434" s="4">
        <v>45566</v>
      </c>
      <c r="B2434" t="s">
        <v>22</v>
      </c>
      <c r="C2434" t="s">
        <v>12</v>
      </c>
      <c r="D2434">
        <v>0</v>
      </c>
      <c r="E2434" s="2" t="s">
        <v>27</v>
      </c>
      <c r="F2434" s="2">
        <f t="shared" si="393"/>
        <v>3078.25</v>
      </c>
      <c r="G2434" s="3">
        <v>1</v>
      </c>
      <c r="H2434">
        <v>2240</v>
      </c>
      <c r="I2434">
        <v>2850</v>
      </c>
      <c r="J2434">
        <v>27047</v>
      </c>
      <c r="K2434">
        <v>24800</v>
      </c>
      <c r="L2434" s="2">
        <v>26.887500000000003</v>
      </c>
      <c r="M2434" s="5">
        <v>196.62100000000004</v>
      </c>
      <c r="N2434" s="1">
        <v>293.7851</v>
      </c>
      <c r="O2434" s="2">
        <v>-0.8</v>
      </c>
      <c r="P2434">
        <v>283</v>
      </c>
    </row>
    <row r="2435" spans="1:16" x14ac:dyDescent="0.35">
      <c r="A2435" s="4">
        <v>45566</v>
      </c>
      <c r="B2435" t="s">
        <v>22</v>
      </c>
      <c r="C2435" t="s">
        <v>13</v>
      </c>
      <c r="D2435">
        <v>0</v>
      </c>
      <c r="E2435" s="2" t="s">
        <v>27</v>
      </c>
      <c r="F2435" s="2">
        <f t="shared" si="393"/>
        <v>3078.25</v>
      </c>
      <c r="G2435" s="3">
        <v>1</v>
      </c>
      <c r="H2435">
        <v>2240</v>
      </c>
      <c r="I2435">
        <v>2850</v>
      </c>
      <c r="J2435">
        <v>27047</v>
      </c>
      <c r="K2435">
        <v>24800</v>
      </c>
      <c r="L2435" s="2">
        <v>26.887500000000003</v>
      </c>
      <c r="M2435" s="5">
        <v>196.62100000000004</v>
      </c>
      <c r="N2435" s="1">
        <v>293.7851</v>
      </c>
      <c r="O2435" s="2">
        <v>-0.8</v>
      </c>
      <c r="P2435">
        <v>283</v>
      </c>
    </row>
    <row r="2436" spans="1:16" x14ac:dyDescent="0.35">
      <c r="A2436" s="4">
        <v>45566</v>
      </c>
      <c r="B2436" t="s">
        <v>22</v>
      </c>
      <c r="C2436" t="s">
        <v>14</v>
      </c>
      <c r="D2436">
        <v>1</v>
      </c>
      <c r="E2436" s="2">
        <f>(2950+3075+3188+3100)/4</f>
        <v>3078.25</v>
      </c>
      <c r="F2436" s="2">
        <f>(2950+3075+3188+3100)/4</f>
        <v>3078.25</v>
      </c>
      <c r="G2436" s="3">
        <v>1</v>
      </c>
      <c r="H2436">
        <v>2240</v>
      </c>
      <c r="I2436">
        <v>2850</v>
      </c>
      <c r="J2436">
        <v>27047</v>
      </c>
      <c r="K2436">
        <v>24800</v>
      </c>
      <c r="L2436" s="2">
        <v>26.887500000000003</v>
      </c>
      <c r="M2436" s="5">
        <v>196.62100000000004</v>
      </c>
      <c r="N2436" s="1">
        <v>293.7851</v>
      </c>
      <c r="O2436" s="2">
        <v>-0.8</v>
      </c>
      <c r="P2436">
        <v>283</v>
      </c>
    </row>
    <row r="2437" spans="1:16" x14ac:dyDescent="0.35">
      <c r="A2437" s="4">
        <v>45566</v>
      </c>
      <c r="B2437" t="s">
        <v>22</v>
      </c>
      <c r="C2437" t="s">
        <v>15</v>
      </c>
      <c r="D2437">
        <v>0</v>
      </c>
      <c r="E2437" s="2" t="s">
        <v>27</v>
      </c>
      <c r="F2437" s="2">
        <f>(2950+3075+3188+3100)/4</f>
        <v>3078.25</v>
      </c>
      <c r="G2437" s="3">
        <v>1</v>
      </c>
      <c r="H2437">
        <v>2240</v>
      </c>
      <c r="I2437">
        <v>2850</v>
      </c>
      <c r="J2437">
        <v>27047</v>
      </c>
      <c r="K2437">
        <v>24800</v>
      </c>
      <c r="L2437" s="2">
        <v>26.887500000000003</v>
      </c>
      <c r="M2437" s="5">
        <v>196.62100000000004</v>
      </c>
      <c r="N2437" s="1">
        <v>293.7851</v>
      </c>
      <c r="O2437" s="2">
        <v>-0.8</v>
      </c>
      <c r="P2437">
        <v>283</v>
      </c>
    </row>
    <row r="2438" spans="1:16" x14ac:dyDescent="0.35">
      <c r="A2438" s="4">
        <v>45597</v>
      </c>
      <c r="B2438" t="s">
        <v>16</v>
      </c>
      <c r="C2438" t="s">
        <v>10</v>
      </c>
      <c r="D2438">
        <v>1</v>
      </c>
      <c r="E2438" s="2">
        <v>4500</v>
      </c>
      <c r="F2438" s="2">
        <f>(4548.75+4555+4561.25+4482.5)/4</f>
        <v>4536.875</v>
      </c>
      <c r="G2438" s="3">
        <v>1</v>
      </c>
      <c r="H2438">
        <v>3360</v>
      </c>
      <c r="I2438">
        <v>1710</v>
      </c>
      <c r="J2438">
        <v>24800</v>
      </c>
      <c r="K2438">
        <v>29760</v>
      </c>
      <c r="L2438" s="2">
        <v>26.468125000000001</v>
      </c>
      <c r="M2438" s="5">
        <v>381.71350000000001</v>
      </c>
      <c r="N2438" s="1">
        <v>292.00920000000002</v>
      </c>
      <c r="O2438" s="2">
        <v>-2.1</v>
      </c>
      <c r="P2438">
        <v>286</v>
      </c>
    </row>
    <row r="2439" spans="1:16" x14ac:dyDescent="0.35">
      <c r="A2439" s="4">
        <v>45597</v>
      </c>
      <c r="B2439" t="s">
        <v>16</v>
      </c>
      <c r="C2439" t="s">
        <v>11</v>
      </c>
      <c r="D2439">
        <v>0</v>
      </c>
      <c r="E2439" s="2" t="s">
        <v>27</v>
      </c>
      <c r="F2439" s="2">
        <f t="shared" ref="F2439:F2443" si="394">(4548.75+4555+4561.25+4482.5)/4</f>
        <v>4536.875</v>
      </c>
      <c r="G2439" s="3">
        <v>1</v>
      </c>
      <c r="H2439">
        <v>3360</v>
      </c>
      <c r="I2439">
        <v>1710</v>
      </c>
      <c r="J2439">
        <v>24800</v>
      </c>
      <c r="K2439">
        <v>29760</v>
      </c>
      <c r="L2439" s="2">
        <v>26.468125000000001</v>
      </c>
      <c r="M2439" s="5">
        <v>381.71350000000001</v>
      </c>
      <c r="N2439" s="1">
        <v>292.00920000000002</v>
      </c>
      <c r="O2439" s="2">
        <v>-2.1</v>
      </c>
      <c r="P2439">
        <v>286</v>
      </c>
    </row>
    <row r="2440" spans="1:16" x14ac:dyDescent="0.35">
      <c r="A2440" s="4">
        <v>45597</v>
      </c>
      <c r="B2440" t="s">
        <v>16</v>
      </c>
      <c r="C2440" t="s">
        <v>12</v>
      </c>
      <c r="D2440">
        <v>1</v>
      </c>
      <c r="E2440" s="2">
        <f>(4180+4470*3)/4</f>
        <v>4397.5</v>
      </c>
      <c r="F2440" s="2">
        <f t="shared" si="394"/>
        <v>4536.875</v>
      </c>
      <c r="G2440" s="3">
        <v>1</v>
      </c>
      <c r="H2440">
        <v>3360</v>
      </c>
      <c r="I2440">
        <v>1710</v>
      </c>
      <c r="J2440">
        <v>24800</v>
      </c>
      <c r="K2440">
        <v>29760</v>
      </c>
      <c r="L2440" s="2">
        <v>26.468125000000001</v>
      </c>
      <c r="M2440" s="5">
        <v>381.71350000000001</v>
      </c>
      <c r="N2440" s="1">
        <v>292.00920000000002</v>
      </c>
      <c r="O2440" s="2">
        <v>-2.1</v>
      </c>
      <c r="P2440">
        <v>286</v>
      </c>
    </row>
    <row r="2441" spans="1:16" x14ac:dyDescent="0.35">
      <c r="A2441" s="4">
        <v>45597</v>
      </c>
      <c r="B2441" t="s">
        <v>16</v>
      </c>
      <c r="C2441" t="s">
        <v>13</v>
      </c>
      <c r="D2441">
        <v>1</v>
      </c>
      <c r="E2441" s="2">
        <v>4750</v>
      </c>
      <c r="F2441" s="2">
        <f t="shared" si="394"/>
        <v>4536.875</v>
      </c>
      <c r="G2441" s="3">
        <v>1</v>
      </c>
      <c r="H2441">
        <v>3360</v>
      </c>
      <c r="I2441">
        <v>1710</v>
      </c>
      <c r="J2441">
        <v>24800</v>
      </c>
      <c r="K2441">
        <v>29760</v>
      </c>
      <c r="L2441" s="2">
        <v>26.468125000000001</v>
      </c>
      <c r="M2441" s="5">
        <v>381.71350000000001</v>
      </c>
      <c r="N2441" s="1">
        <v>292.00920000000002</v>
      </c>
      <c r="O2441" s="2">
        <v>-2.1</v>
      </c>
      <c r="P2441">
        <v>286</v>
      </c>
    </row>
    <row r="2442" spans="1:16" x14ac:dyDescent="0.35">
      <c r="A2442" s="4">
        <v>45597</v>
      </c>
      <c r="B2442" t="s">
        <v>16</v>
      </c>
      <c r="C2442" t="s">
        <v>14</v>
      </c>
      <c r="D2442">
        <v>1</v>
      </c>
      <c r="E2442" s="2">
        <v>4512.5</v>
      </c>
      <c r="F2442" s="2">
        <f t="shared" si="394"/>
        <v>4536.875</v>
      </c>
      <c r="G2442" s="3">
        <v>1</v>
      </c>
      <c r="H2442">
        <v>3360</v>
      </c>
      <c r="I2442">
        <v>1710</v>
      </c>
      <c r="J2442">
        <v>24800</v>
      </c>
      <c r="K2442">
        <v>29760</v>
      </c>
      <c r="L2442" s="2">
        <v>26.468125000000001</v>
      </c>
      <c r="M2442" s="5">
        <v>381.71350000000001</v>
      </c>
      <c r="N2442" s="1">
        <v>292.00920000000002</v>
      </c>
      <c r="O2442" s="2">
        <v>-2.1</v>
      </c>
      <c r="P2442">
        <v>286</v>
      </c>
    </row>
    <row r="2443" spans="1:16" x14ac:dyDescent="0.35">
      <c r="A2443" s="4">
        <v>45597</v>
      </c>
      <c r="B2443" t="s">
        <v>16</v>
      </c>
      <c r="C2443" t="s">
        <v>15</v>
      </c>
      <c r="D2443">
        <v>0</v>
      </c>
      <c r="E2443" s="2" t="s">
        <v>27</v>
      </c>
      <c r="F2443" s="2">
        <f t="shared" si="394"/>
        <v>4536.875</v>
      </c>
      <c r="G2443" s="3">
        <v>1</v>
      </c>
      <c r="H2443">
        <v>3360</v>
      </c>
      <c r="I2443">
        <v>1710</v>
      </c>
      <c r="J2443">
        <v>24800</v>
      </c>
      <c r="K2443">
        <v>29760</v>
      </c>
      <c r="L2443" s="2">
        <v>26.468125000000001</v>
      </c>
      <c r="M2443" s="5">
        <v>381.71350000000001</v>
      </c>
      <c r="N2443" s="1">
        <v>292.00920000000002</v>
      </c>
      <c r="O2443" s="2">
        <v>-2.1</v>
      </c>
      <c r="P2443">
        <v>286</v>
      </c>
    </row>
    <row r="2444" spans="1:16" x14ac:dyDescent="0.35">
      <c r="A2444" s="4">
        <v>45597</v>
      </c>
      <c r="B2444" t="s">
        <v>17</v>
      </c>
      <c r="C2444" t="s">
        <v>10</v>
      </c>
      <c r="D2444">
        <v>1</v>
      </c>
      <c r="E2444" s="2">
        <f>(3900+3800+3750+3850)/4</f>
        <v>3825</v>
      </c>
      <c r="F2444" s="2">
        <f>(3880.6+3976.4+3959.6+3979.6)/4</f>
        <v>3949.05</v>
      </c>
      <c r="G2444" s="3">
        <v>1</v>
      </c>
      <c r="H2444">
        <v>3360</v>
      </c>
      <c r="I2444">
        <v>1710</v>
      </c>
      <c r="J2444">
        <v>24800</v>
      </c>
      <c r="K2444">
        <v>29760</v>
      </c>
      <c r="L2444" s="2">
        <v>26.468125000000001</v>
      </c>
      <c r="M2444" s="5">
        <v>381.71350000000001</v>
      </c>
      <c r="N2444" s="1">
        <v>292.00920000000002</v>
      </c>
      <c r="O2444" s="2">
        <v>-2.1</v>
      </c>
      <c r="P2444">
        <v>286</v>
      </c>
    </row>
    <row r="2445" spans="1:16" x14ac:dyDescent="0.35">
      <c r="A2445" s="4">
        <v>45597</v>
      </c>
      <c r="B2445" t="s">
        <v>17</v>
      </c>
      <c r="C2445" t="s">
        <v>11</v>
      </c>
      <c r="D2445">
        <v>1</v>
      </c>
      <c r="E2445" s="2">
        <v>3975</v>
      </c>
      <c r="F2445" s="2">
        <f t="shared" ref="F2445:F2449" si="395">(3880.6+3976.4+3959.6+3979.6)/4</f>
        <v>3949.05</v>
      </c>
      <c r="G2445" s="3">
        <v>1</v>
      </c>
      <c r="H2445">
        <v>3360</v>
      </c>
      <c r="I2445">
        <v>1710</v>
      </c>
      <c r="J2445">
        <v>24800</v>
      </c>
      <c r="K2445">
        <v>29760</v>
      </c>
      <c r="L2445" s="2">
        <v>26.468125000000001</v>
      </c>
      <c r="M2445" s="5">
        <v>381.71350000000001</v>
      </c>
      <c r="N2445" s="1">
        <v>292.00920000000002</v>
      </c>
      <c r="O2445" s="2">
        <v>-2.1</v>
      </c>
      <c r="P2445">
        <v>286</v>
      </c>
    </row>
    <row r="2446" spans="1:16" x14ac:dyDescent="0.35">
      <c r="A2446" s="4">
        <v>45597</v>
      </c>
      <c r="B2446" t="s">
        <v>17</v>
      </c>
      <c r="C2446" t="s">
        <v>12</v>
      </c>
      <c r="D2446">
        <v>1</v>
      </c>
      <c r="E2446" s="2">
        <f>(3570+4065*3)/4</f>
        <v>3941.25</v>
      </c>
      <c r="F2446" s="2">
        <f t="shared" si="395"/>
        <v>3949.05</v>
      </c>
      <c r="G2446" s="3">
        <v>1</v>
      </c>
      <c r="H2446">
        <v>3360</v>
      </c>
      <c r="I2446">
        <v>1710</v>
      </c>
      <c r="J2446">
        <v>24800</v>
      </c>
      <c r="K2446">
        <v>29760</v>
      </c>
      <c r="L2446" s="2">
        <v>26.468125000000001</v>
      </c>
      <c r="M2446" s="5">
        <v>381.71350000000001</v>
      </c>
      <c r="N2446" s="1">
        <v>292.00920000000002</v>
      </c>
      <c r="O2446" s="2">
        <v>-2.1</v>
      </c>
      <c r="P2446">
        <v>286</v>
      </c>
    </row>
    <row r="2447" spans="1:16" x14ac:dyDescent="0.35">
      <c r="A2447" s="4">
        <v>45597</v>
      </c>
      <c r="B2447" t="s">
        <v>17</v>
      </c>
      <c r="C2447" t="s">
        <v>13</v>
      </c>
      <c r="D2447">
        <v>1</v>
      </c>
      <c r="E2447" s="2">
        <f>(4050+4100+4200*2)/4</f>
        <v>4137.5</v>
      </c>
      <c r="F2447" s="2">
        <f t="shared" si="395"/>
        <v>3949.05</v>
      </c>
      <c r="G2447" s="3">
        <v>1</v>
      </c>
      <c r="H2447">
        <v>3360</v>
      </c>
      <c r="I2447">
        <v>1710</v>
      </c>
      <c r="J2447">
        <v>24800</v>
      </c>
      <c r="K2447">
        <v>29760</v>
      </c>
      <c r="L2447" s="2">
        <v>26.468125000000001</v>
      </c>
      <c r="M2447" s="5">
        <v>381.71350000000001</v>
      </c>
      <c r="N2447" s="1">
        <v>292.00920000000002</v>
      </c>
      <c r="O2447" s="2">
        <v>-2.1</v>
      </c>
      <c r="P2447">
        <v>286</v>
      </c>
    </row>
    <row r="2448" spans="1:16" x14ac:dyDescent="0.35">
      <c r="A2448" s="4">
        <v>45597</v>
      </c>
      <c r="B2448" t="s">
        <v>17</v>
      </c>
      <c r="C2448" t="s">
        <v>14</v>
      </c>
      <c r="D2448">
        <v>1</v>
      </c>
      <c r="E2448" s="2">
        <f>(3933+3883+3817+3833)/4</f>
        <v>3866.5</v>
      </c>
      <c r="F2448" s="2">
        <f t="shared" si="395"/>
        <v>3949.05</v>
      </c>
      <c r="G2448" s="3">
        <v>1</v>
      </c>
      <c r="H2448">
        <v>3360</v>
      </c>
      <c r="I2448">
        <v>1710</v>
      </c>
      <c r="J2448">
        <v>24800</v>
      </c>
      <c r="K2448">
        <v>29760</v>
      </c>
      <c r="L2448" s="2">
        <v>26.468125000000001</v>
      </c>
      <c r="M2448" s="5">
        <v>381.71350000000001</v>
      </c>
      <c r="N2448" s="1">
        <v>292.00920000000002</v>
      </c>
      <c r="O2448" s="2">
        <v>-2.1</v>
      </c>
      <c r="P2448">
        <v>286</v>
      </c>
    </row>
    <row r="2449" spans="1:16" x14ac:dyDescent="0.35">
      <c r="A2449" s="4">
        <v>45597</v>
      </c>
      <c r="B2449" t="s">
        <v>17</v>
      </c>
      <c r="C2449" t="s">
        <v>15</v>
      </c>
      <c r="D2449">
        <v>0</v>
      </c>
      <c r="E2449" s="2" t="s">
        <v>27</v>
      </c>
      <c r="F2449" s="2">
        <f t="shared" si="395"/>
        <v>3949.05</v>
      </c>
      <c r="G2449" s="3">
        <v>1</v>
      </c>
      <c r="H2449">
        <v>3360</v>
      </c>
      <c r="I2449">
        <v>1710</v>
      </c>
      <c r="J2449">
        <v>24800</v>
      </c>
      <c r="K2449">
        <v>29760</v>
      </c>
      <c r="L2449" s="2">
        <v>26.468125000000001</v>
      </c>
      <c r="M2449" s="5">
        <v>381.71350000000001</v>
      </c>
      <c r="N2449" s="1">
        <v>292.00920000000002</v>
      </c>
      <c r="O2449" s="2">
        <v>-2.1</v>
      </c>
      <c r="P2449">
        <v>286</v>
      </c>
    </row>
    <row r="2450" spans="1:16" x14ac:dyDescent="0.35">
      <c r="A2450" s="4">
        <v>45597</v>
      </c>
      <c r="B2450" t="s">
        <v>18</v>
      </c>
      <c r="C2450" t="s">
        <v>10</v>
      </c>
      <c r="D2450">
        <v>1</v>
      </c>
      <c r="E2450" s="2">
        <v>3700</v>
      </c>
      <c r="F2450" s="2">
        <f>(3652.88+3741+3728.5+3735)/4</f>
        <v>3714.3450000000003</v>
      </c>
      <c r="G2450" s="3">
        <v>1</v>
      </c>
      <c r="H2450">
        <v>3360</v>
      </c>
      <c r="I2450">
        <v>1710</v>
      </c>
      <c r="J2450">
        <v>24800</v>
      </c>
      <c r="K2450">
        <v>29760</v>
      </c>
      <c r="L2450" s="2">
        <v>26.468125000000001</v>
      </c>
      <c r="M2450" s="5">
        <v>381.71350000000001</v>
      </c>
      <c r="N2450" s="1">
        <v>292.00920000000002</v>
      </c>
      <c r="O2450" s="2">
        <v>-2.1</v>
      </c>
      <c r="P2450">
        <v>286</v>
      </c>
    </row>
    <row r="2451" spans="1:16" x14ac:dyDescent="0.35">
      <c r="A2451" s="4">
        <v>45597</v>
      </c>
      <c r="B2451" t="s">
        <v>18</v>
      </c>
      <c r="C2451" t="s">
        <v>11</v>
      </c>
      <c r="D2451">
        <v>1</v>
      </c>
      <c r="E2451" s="2">
        <v>3725</v>
      </c>
      <c r="F2451" s="2">
        <f t="shared" ref="F2451:F2455" si="396">(3652.88+3741+3728.5+3735)/4</f>
        <v>3714.3450000000003</v>
      </c>
      <c r="G2451" s="3">
        <v>1</v>
      </c>
      <c r="H2451">
        <v>3360</v>
      </c>
      <c r="I2451">
        <v>1710</v>
      </c>
      <c r="J2451">
        <v>24800</v>
      </c>
      <c r="K2451">
        <v>29760</v>
      </c>
      <c r="L2451" s="2">
        <v>26.468125000000001</v>
      </c>
      <c r="M2451" s="5">
        <v>381.71350000000001</v>
      </c>
      <c r="N2451" s="1">
        <v>292.00920000000002</v>
      </c>
      <c r="O2451" s="2">
        <v>-2.1</v>
      </c>
      <c r="P2451">
        <v>286</v>
      </c>
    </row>
    <row r="2452" spans="1:16" x14ac:dyDescent="0.35">
      <c r="A2452" s="4">
        <v>45597</v>
      </c>
      <c r="B2452" t="s">
        <v>18</v>
      </c>
      <c r="C2452" t="s">
        <v>12</v>
      </c>
      <c r="D2452">
        <v>1</v>
      </c>
      <c r="E2452" s="2">
        <f>(3695*3+3385)/4</f>
        <v>3617.5</v>
      </c>
      <c r="F2452" s="2">
        <f t="shared" si="396"/>
        <v>3714.3450000000003</v>
      </c>
      <c r="G2452" s="3">
        <v>1</v>
      </c>
      <c r="H2452">
        <v>3360</v>
      </c>
      <c r="I2452">
        <v>1710</v>
      </c>
      <c r="J2452">
        <v>24800</v>
      </c>
      <c r="K2452">
        <v>29760</v>
      </c>
      <c r="L2452" s="2">
        <v>26.468125000000001</v>
      </c>
      <c r="M2452" s="5">
        <v>381.71350000000001</v>
      </c>
      <c r="N2452" s="1">
        <v>292.00920000000002</v>
      </c>
      <c r="O2452" s="2">
        <v>-2.1</v>
      </c>
      <c r="P2452">
        <v>286</v>
      </c>
    </row>
    <row r="2453" spans="1:16" x14ac:dyDescent="0.35">
      <c r="A2453" s="4">
        <v>45597</v>
      </c>
      <c r="B2453" t="s">
        <v>18</v>
      </c>
      <c r="C2453" t="s">
        <v>13</v>
      </c>
      <c r="D2453">
        <v>1</v>
      </c>
      <c r="E2453" s="2">
        <f>(3800*2+3750+3775)/4</f>
        <v>3781.25</v>
      </c>
      <c r="F2453" s="2">
        <f t="shared" si="396"/>
        <v>3714.3450000000003</v>
      </c>
      <c r="G2453" s="3">
        <v>1</v>
      </c>
      <c r="H2453">
        <v>3360</v>
      </c>
      <c r="I2453">
        <v>1710</v>
      </c>
      <c r="J2453">
        <v>24800</v>
      </c>
      <c r="K2453">
        <v>29760</v>
      </c>
      <c r="L2453" s="2">
        <v>26.468125000000001</v>
      </c>
      <c r="M2453" s="5">
        <v>381.71350000000001</v>
      </c>
      <c r="N2453" s="1">
        <v>292.00920000000002</v>
      </c>
      <c r="O2453" s="2">
        <v>-2.1</v>
      </c>
      <c r="P2453">
        <v>286</v>
      </c>
    </row>
    <row r="2454" spans="1:16" x14ac:dyDescent="0.35">
      <c r="A2454" s="4">
        <v>45597</v>
      </c>
      <c r="B2454" t="s">
        <v>18</v>
      </c>
      <c r="C2454" t="s">
        <v>14</v>
      </c>
      <c r="D2454">
        <v>1</v>
      </c>
      <c r="E2454" s="2">
        <f>(3688+3733*2+3710)/4</f>
        <v>3716</v>
      </c>
      <c r="F2454" s="2">
        <f t="shared" si="396"/>
        <v>3714.3450000000003</v>
      </c>
      <c r="G2454" s="3">
        <v>1</v>
      </c>
      <c r="H2454">
        <v>3360</v>
      </c>
      <c r="I2454">
        <v>1710</v>
      </c>
      <c r="J2454">
        <v>24800</v>
      </c>
      <c r="K2454">
        <v>29760</v>
      </c>
      <c r="L2454" s="2">
        <v>26.468125000000001</v>
      </c>
      <c r="M2454" s="5">
        <v>381.71350000000001</v>
      </c>
      <c r="N2454" s="1">
        <v>292.00920000000002</v>
      </c>
      <c r="O2454" s="2">
        <v>-2.1</v>
      </c>
      <c r="P2454">
        <v>286</v>
      </c>
    </row>
    <row r="2455" spans="1:16" x14ac:dyDescent="0.35">
      <c r="A2455" s="4">
        <v>45597</v>
      </c>
      <c r="B2455" t="s">
        <v>18</v>
      </c>
      <c r="C2455" t="s">
        <v>15</v>
      </c>
      <c r="D2455">
        <v>1</v>
      </c>
      <c r="E2455" s="2">
        <v>3737.5</v>
      </c>
      <c r="F2455" s="2">
        <f t="shared" si="396"/>
        <v>3714.3450000000003</v>
      </c>
      <c r="G2455" s="3">
        <v>1</v>
      </c>
      <c r="H2455">
        <v>3360</v>
      </c>
      <c r="I2455">
        <v>1710</v>
      </c>
      <c r="J2455">
        <v>24800</v>
      </c>
      <c r="K2455">
        <v>29760</v>
      </c>
      <c r="L2455" s="2">
        <v>26.468125000000001</v>
      </c>
      <c r="M2455" s="5">
        <v>381.71350000000001</v>
      </c>
      <c r="N2455" s="1">
        <v>292.00920000000002</v>
      </c>
      <c r="O2455" s="2">
        <v>-2.1</v>
      </c>
      <c r="P2455">
        <v>286</v>
      </c>
    </row>
    <row r="2456" spans="1:16" x14ac:dyDescent="0.35">
      <c r="A2456" s="4">
        <v>45597</v>
      </c>
      <c r="B2456" t="s">
        <v>19</v>
      </c>
      <c r="C2456" t="s">
        <v>10</v>
      </c>
      <c r="D2456">
        <v>1</v>
      </c>
      <c r="E2456" s="2">
        <f>(3450+3550+3500+3600)/4</f>
        <v>3525</v>
      </c>
      <c r="F2456" s="2">
        <f>(3591.38+3568+3576.38+3483.63)/4</f>
        <v>3554.8474999999999</v>
      </c>
      <c r="G2456" s="3">
        <v>1</v>
      </c>
      <c r="H2456">
        <v>3360</v>
      </c>
      <c r="I2456">
        <v>1710</v>
      </c>
      <c r="J2456">
        <v>24800</v>
      </c>
      <c r="K2456">
        <v>29760</v>
      </c>
      <c r="L2456" s="2">
        <v>26.468125000000001</v>
      </c>
      <c r="M2456" s="5">
        <v>381.71350000000001</v>
      </c>
      <c r="N2456" s="1">
        <v>292.00920000000002</v>
      </c>
      <c r="O2456" s="2">
        <v>-2.1</v>
      </c>
      <c r="P2456">
        <v>286</v>
      </c>
    </row>
    <row r="2457" spans="1:16" x14ac:dyDescent="0.35">
      <c r="A2457" s="4">
        <v>45597</v>
      </c>
      <c r="B2457" t="s">
        <v>19</v>
      </c>
      <c r="C2457" t="s">
        <v>11</v>
      </c>
      <c r="D2457">
        <v>1</v>
      </c>
      <c r="E2457" s="2">
        <v>3525</v>
      </c>
      <c r="F2457" s="2">
        <f t="shared" ref="F2457:F2461" si="397">(3591.38+3568+3576.38+3483.63)/4</f>
        <v>3554.8474999999999</v>
      </c>
      <c r="G2457" s="3">
        <v>1</v>
      </c>
      <c r="H2457">
        <v>3360</v>
      </c>
      <c r="I2457">
        <v>1710</v>
      </c>
      <c r="J2457">
        <v>24800</v>
      </c>
      <c r="K2457">
        <v>29760</v>
      </c>
      <c r="L2457" s="2">
        <v>26.468125000000001</v>
      </c>
      <c r="M2457" s="5">
        <v>381.71350000000001</v>
      </c>
      <c r="N2457" s="1">
        <v>292.00920000000002</v>
      </c>
      <c r="O2457" s="2">
        <v>-2.1</v>
      </c>
      <c r="P2457">
        <v>286</v>
      </c>
    </row>
    <row r="2458" spans="1:16" x14ac:dyDescent="0.35">
      <c r="A2458" s="4">
        <v>45597</v>
      </c>
      <c r="B2458" t="s">
        <v>19</v>
      </c>
      <c r="C2458" t="s">
        <v>12</v>
      </c>
      <c r="D2458">
        <v>1</v>
      </c>
      <c r="E2458" s="2">
        <f>(3490*3+3180)/4</f>
        <v>3412.5</v>
      </c>
      <c r="F2458" s="2">
        <f t="shared" si="397"/>
        <v>3554.8474999999999</v>
      </c>
      <c r="G2458" s="3">
        <v>1</v>
      </c>
      <c r="H2458">
        <v>3360</v>
      </c>
      <c r="I2458">
        <v>1710</v>
      </c>
      <c r="J2458">
        <v>24800</v>
      </c>
      <c r="K2458">
        <v>29760</v>
      </c>
      <c r="L2458" s="2">
        <v>26.468125000000001</v>
      </c>
      <c r="M2458" s="5">
        <v>381.71350000000001</v>
      </c>
      <c r="N2458" s="1">
        <v>292.00920000000002</v>
      </c>
      <c r="O2458" s="2">
        <v>-2.1</v>
      </c>
      <c r="P2458">
        <v>286</v>
      </c>
    </row>
    <row r="2459" spans="1:16" x14ac:dyDescent="0.35">
      <c r="A2459" s="4">
        <v>45597</v>
      </c>
      <c r="B2459" t="s">
        <v>19</v>
      </c>
      <c r="C2459" t="s">
        <v>13</v>
      </c>
      <c r="D2459">
        <v>1</v>
      </c>
      <c r="E2459" s="2">
        <f>(3625+3650*2+3700)/4</f>
        <v>3656.25</v>
      </c>
      <c r="F2459" s="2">
        <f t="shared" si="397"/>
        <v>3554.8474999999999</v>
      </c>
      <c r="G2459" s="3">
        <v>1</v>
      </c>
      <c r="H2459">
        <v>3360</v>
      </c>
      <c r="I2459">
        <v>1710</v>
      </c>
      <c r="J2459">
        <v>24800</v>
      </c>
      <c r="K2459">
        <v>29760</v>
      </c>
      <c r="L2459" s="2">
        <v>26.468125000000001</v>
      </c>
      <c r="M2459" s="5">
        <v>381.71350000000001</v>
      </c>
      <c r="N2459" s="1">
        <v>292.00920000000002</v>
      </c>
      <c r="O2459" s="2">
        <v>-2.1</v>
      </c>
      <c r="P2459">
        <v>286</v>
      </c>
    </row>
    <row r="2460" spans="1:16" x14ac:dyDescent="0.35">
      <c r="A2460" s="4">
        <v>45597</v>
      </c>
      <c r="B2460" t="s">
        <v>19</v>
      </c>
      <c r="C2460" t="s">
        <v>14</v>
      </c>
      <c r="D2460">
        <v>1</v>
      </c>
      <c r="E2460" s="2">
        <f>(3666+3629+3621+3564)/4</f>
        <v>3620</v>
      </c>
      <c r="F2460" s="2">
        <f t="shared" si="397"/>
        <v>3554.8474999999999</v>
      </c>
      <c r="G2460" s="3">
        <v>1</v>
      </c>
      <c r="H2460">
        <v>3360</v>
      </c>
      <c r="I2460">
        <v>1710</v>
      </c>
      <c r="J2460">
        <v>24800</v>
      </c>
      <c r="K2460">
        <v>29760</v>
      </c>
      <c r="L2460" s="2">
        <v>26.468125000000001</v>
      </c>
      <c r="M2460" s="5">
        <v>381.71350000000001</v>
      </c>
      <c r="N2460" s="1">
        <v>292.00920000000002</v>
      </c>
      <c r="O2460" s="2">
        <v>-2.1</v>
      </c>
      <c r="P2460">
        <v>286</v>
      </c>
    </row>
    <row r="2461" spans="1:16" x14ac:dyDescent="0.35">
      <c r="A2461" s="4">
        <v>45597</v>
      </c>
      <c r="B2461" t="s">
        <v>19</v>
      </c>
      <c r="C2461" t="s">
        <v>15</v>
      </c>
      <c r="D2461">
        <v>1</v>
      </c>
      <c r="E2461" s="2">
        <v>3637.5</v>
      </c>
      <c r="F2461" s="2">
        <f t="shared" si="397"/>
        <v>3554.8474999999999</v>
      </c>
      <c r="G2461" s="3">
        <v>1</v>
      </c>
      <c r="H2461">
        <v>3360</v>
      </c>
      <c r="I2461">
        <v>1710</v>
      </c>
      <c r="J2461">
        <v>24800</v>
      </c>
      <c r="K2461">
        <v>29760</v>
      </c>
      <c r="L2461" s="2">
        <v>26.468125000000001</v>
      </c>
      <c r="M2461" s="5">
        <v>381.71350000000001</v>
      </c>
      <c r="N2461" s="1">
        <v>292.00920000000002</v>
      </c>
      <c r="O2461" s="2">
        <v>-2.1</v>
      </c>
      <c r="P2461">
        <v>286</v>
      </c>
    </row>
    <row r="2462" spans="1:16" x14ac:dyDescent="0.35">
      <c r="A2462" s="4">
        <v>45597</v>
      </c>
      <c r="B2462" t="s">
        <v>20</v>
      </c>
      <c r="C2462" t="s">
        <v>10</v>
      </c>
      <c r="D2462">
        <v>1</v>
      </c>
      <c r="E2462" s="2">
        <f>(3400*2+3300+3350)/4</f>
        <v>3362.5</v>
      </c>
      <c r="F2462" s="2">
        <f>(3199.38+3218.75+3198.75+3144.88)/4</f>
        <v>3190.4400000000005</v>
      </c>
      <c r="G2462" s="3">
        <v>1</v>
      </c>
      <c r="H2462">
        <v>3360</v>
      </c>
      <c r="I2462">
        <v>1710</v>
      </c>
      <c r="J2462">
        <v>24800</v>
      </c>
      <c r="K2462">
        <v>29760</v>
      </c>
      <c r="L2462" s="2">
        <v>26.468125000000001</v>
      </c>
      <c r="M2462" s="5">
        <v>381.71350000000001</v>
      </c>
      <c r="N2462" s="1">
        <v>292.00920000000002</v>
      </c>
      <c r="O2462" s="2">
        <v>-2.1</v>
      </c>
      <c r="P2462">
        <v>286</v>
      </c>
    </row>
    <row r="2463" spans="1:16" x14ac:dyDescent="0.35">
      <c r="A2463" s="4">
        <v>45597</v>
      </c>
      <c r="B2463" t="s">
        <v>20</v>
      </c>
      <c r="C2463" t="s">
        <v>11</v>
      </c>
      <c r="D2463">
        <v>1</v>
      </c>
      <c r="E2463" s="2">
        <v>3150</v>
      </c>
      <c r="F2463" s="2">
        <f t="shared" ref="F2463:F2467" si="398">(3199.38+3218.75+3198.75+3144.88)/4</f>
        <v>3190.4400000000005</v>
      </c>
      <c r="G2463" s="3">
        <v>1</v>
      </c>
      <c r="H2463">
        <v>3360</v>
      </c>
      <c r="I2463">
        <v>1710</v>
      </c>
      <c r="J2463">
        <v>24800</v>
      </c>
      <c r="K2463">
        <v>29760</v>
      </c>
      <c r="L2463" s="2">
        <v>26.468125000000001</v>
      </c>
      <c r="M2463" s="5">
        <v>381.71350000000001</v>
      </c>
      <c r="N2463" s="1">
        <v>292.00920000000002</v>
      </c>
      <c r="O2463" s="2">
        <v>-2.1</v>
      </c>
      <c r="P2463">
        <v>286</v>
      </c>
    </row>
    <row r="2464" spans="1:16" x14ac:dyDescent="0.35">
      <c r="A2464" s="4">
        <v>45597</v>
      </c>
      <c r="B2464" t="s">
        <v>20</v>
      </c>
      <c r="C2464" t="s">
        <v>12</v>
      </c>
      <c r="D2464">
        <v>1</v>
      </c>
      <c r="E2464" s="2">
        <f>(2495*3+2380)/4</f>
        <v>2466.25</v>
      </c>
      <c r="F2464" s="2">
        <f t="shared" si="398"/>
        <v>3190.4400000000005</v>
      </c>
      <c r="G2464" s="3">
        <v>1</v>
      </c>
      <c r="H2464">
        <v>3360</v>
      </c>
      <c r="I2464">
        <v>1710</v>
      </c>
      <c r="J2464">
        <v>24800</v>
      </c>
      <c r="K2464">
        <v>29760</v>
      </c>
      <c r="L2464" s="2">
        <v>26.468125000000001</v>
      </c>
      <c r="M2464" s="5">
        <v>381.71350000000001</v>
      </c>
      <c r="N2464" s="1">
        <v>292.00920000000002</v>
      </c>
      <c r="O2464" s="2">
        <v>-2.1</v>
      </c>
      <c r="P2464">
        <v>286</v>
      </c>
    </row>
    <row r="2465" spans="1:16" x14ac:dyDescent="0.35">
      <c r="A2465" s="4">
        <v>45597</v>
      </c>
      <c r="B2465" t="s">
        <v>20</v>
      </c>
      <c r="C2465" t="s">
        <v>13</v>
      </c>
      <c r="D2465">
        <v>1</v>
      </c>
      <c r="E2465" s="2">
        <f>(3500*2+3550+3575)/4</f>
        <v>3531.25</v>
      </c>
      <c r="F2465" s="2">
        <f t="shared" si="398"/>
        <v>3190.4400000000005</v>
      </c>
      <c r="G2465" s="3">
        <v>1</v>
      </c>
      <c r="H2465">
        <v>3360</v>
      </c>
      <c r="I2465">
        <v>1710</v>
      </c>
      <c r="J2465">
        <v>24800</v>
      </c>
      <c r="K2465">
        <v>29760</v>
      </c>
      <c r="L2465" s="2">
        <v>26.468125000000001</v>
      </c>
      <c r="M2465" s="5">
        <v>381.71350000000001</v>
      </c>
      <c r="N2465" s="1">
        <v>292.00920000000002</v>
      </c>
      <c r="O2465" s="2">
        <v>-2.1</v>
      </c>
      <c r="P2465">
        <v>286</v>
      </c>
    </row>
    <row r="2466" spans="1:16" x14ac:dyDescent="0.35">
      <c r="A2466" s="4">
        <v>45597</v>
      </c>
      <c r="B2466" t="s">
        <v>20</v>
      </c>
      <c r="C2466" t="s">
        <v>14</v>
      </c>
      <c r="D2466">
        <v>1</v>
      </c>
      <c r="E2466" s="2">
        <f>(3475+3530+3504+3454)/4</f>
        <v>3490.75</v>
      </c>
      <c r="F2466" s="2">
        <f t="shared" si="398"/>
        <v>3190.4400000000005</v>
      </c>
      <c r="G2466" s="3">
        <v>1</v>
      </c>
      <c r="H2466">
        <v>3360</v>
      </c>
      <c r="I2466">
        <v>1710</v>
      </c>
      <c r="J2466">
        <v>24800</v>
      </c>
      <c r="K2466">
        <v>29760</v>
      </c>
      <c r="L2466" s="2">
        <v>26.468125000000001</v>
      </c>
      <c r="M2466" s="5">
        <v>381.71350000000001</v>
      </c>
      <c r="N2466" s="1">
        <v>292.00920000000002</v>
      </c>
      <c r="O2466" s="2">
        <v>-2.1</v>
      </c>
      <c r="P2466">
        <v>286</v>
      </c>
    </row>
    <row r="2467" spans="1:16" x14ac:dyDescent="0.35">
      <c r="A2467" s="4">
        <v>45597</v>
      </c>
      <c r="B2467" t="s">
        <v>20</v>
      </c>
      <c r="C2467" t="s">
        <v>15</v>
      </c>
      <c r="D2467">
        <v>1</v>
      </c>
      <c r="E2467" s="2">
        <v>3530</v>
      </c>
      <c r="F2467" s="2">
        <f t="shared" si="398"/>
        <v>3190.4400000000005</v>
      </c>
      <c r="G2467" s="3">
        <v>1</v>
      </c>
      <c r="H2467">
        <v>3360</v>
      </c>
      <c r="I2467">
        <v>1710</v>
      </c>
      <c r="J2467">
        <v>24800</v>
      </c>
      <c r="K2467">
        <v>29760</v>
      </c>
      <c r="L2467" s="2">
        <v>26.468125000000001</v>
      </c>
      <c r="M2467" s="5">
        <v>381.71350000000001</v>
      </c>
      <c r="N2467" s="1">
        <v>292.00920000000002</v>
      </c>
      <c r="O2467" s="2">
        <v>-2.1</v>
      </c>
      <c r="P2467">
        <v>286</v>
      </c>
    </row>
    <row r="2468" spans="1:16" x14ac:dyDescent="0.35">
      <c r="A2468" s="4">
        <v>45597</v>
      </c>
      <c r="B2468" t="s">
        <v>21</v>
      </c>
      <c r="C2468" t="s">
        <v>10</v>
      </c>
      <c r="D2468">
        <v>1</v>
      </c>
      <c r="E2468" s="2">
        <v>3200</v>
      </c>
      <c r="F2468" s="2">
        <f>(3011.75+3058.5+3077.25+3052.13)/4</f>
        <v>3049.9075000000003</v>
      </c>
      <c r="G2468" s="3">
        <v>1</v>
      </c>
      <c r="H2468">
        <v>3360</v>
      </c>
      <c r="I2468">
        <v>1710</v>
      </c>
      <c r="J2468">
        <v>24800</v>
      </c>
      <c r="K2468">
        <v>29760</v>
      </c>
      <c r="L2468" s="2">
        <v>26.468125000000001</v>
      </c>
      <c r="M2468" s="5">
        <v>381.71350000000001</v>
      </c>
      <c r="N2468" s="1">
        <v>292.00920000000002</v>
      </c>
      <c r="O2468" s="2">
        <v>-2.1</v>
      </c>
      <c r="P2468">
        <v>286</v>
      </c>
    </row>
    <row r="2469" spans="1:16" x14ac:dyDescent="0.35">
      <c r="A2469" s="4">
        <v>45597</v>
      </c>
      <c r="B2469" t="s">
        <v>21</v>
      </c>
      <c r="C2469" t="s">
        <v>11</v>
      </c>
      <c r="D2469">
        <v>1</v>
      </c>
      <c r="E2469" s="2">
        <v>3050</v>
      </c>
      <c r="F2469" s="2">
        <f t="shared" ref="F2469:F2473" si="399">(3011.75+3058.5+3077.25+3052.13)/4</f>
        <v>3049.9075000000003</v>
      </c>
      <c r="G2469" s="3">
        <v>1</v>
      </c>
      <c r="H2469">
        <v>3360</v>
      </c>
      <c r="I2469">
        <v>1710</v>
      </c>
      <c r="J2469">
        <v>24800</v>
      </c>
      <c r="K2469">
        <v>29760</v>
      </c>
      <c r="L2469" s="2">
        <v>26.468125000000001</v>
      </c>
      <c r="M2469" s="5">
        <v>381.71350000000001</v>
      </c>
      <c r="N2469" s="1">
        <v>292.00920000000002</v>
      </c>
      <c r="O2469" s="2">
        <v>-2.1</v>
      </c>
      <c r="P2469">
        <v>286</v>
      </c>
    </row>
    <row r="2470" spans="1:16" x14ac:dyDescent="0.35">
      <c r="A2470" s="4">
        <v>45597</v>
      </c>
      <c r="B2470" t="s">
        <v>21</v>
      </c>
      <c r="C2470" t="s">
        <v>12</v>
      </c>
      <c r="D2470">
        <v>1</v>
      </c>
      <c r="E2470" s="2">
        <v>2275</v>
      </c>
      <c r="F2470" s="2">
        <f t="shared" si="399"/>
        <v>3049.9075000000003</v>
      </c>
      <c r="G2470" s="3">
        <v>1</v>
      </c>
      <c r="H2470">
        <v>3360</v>
      </c>
      <c r="I2470">
        <v>1710</v>
      </c>
      <c r="J2470">
        <v>24800</v>
      </c>
      <c r="K2470">
        <v>29760</v>
      </c>
      <c r="L2470" s="2">
        <v>26.468125000000001</v>
      </c>
      <c r="M2470" s="5">
        <v>381.71350000000001</v>
      </c>
      <c r="N2470" s="1">
        <v>292.00920000000002</v>
      </c>
      <c r="O2470" s="2">
        <v>-2.1</v>
      </c>
      <c r="P2470">
        <v>286</v>
      </c>
    </row>
    <row r="2471" spans="1:16" x14ac:dyDescent="0.35">
      <c r="A2471" s="4">
        <v>45597</v>
      </c>
      <c r="B2471" t="s">
        <v>21</v>
      </c>
      <c r="C2471" t="s">
        <v>13</v>
      </c>
      <c r="D2471">
        <v>1</v>
      </c>
      <c r="E2471" s="2">
        <f>(3425+3375+3350+3325)/4</f>
        <v>3368.75</v>
      </c>
      <c r="F2471" s="2">
        <f t="shared" si="399"/>
        <v>3049.9075000000003</v>
      </c>
      <c r="G2471" s="3">
        <v>1</v>
      </c>
      <c r="H2471">
        <v>3360</v>
      </c>
      <c r="I2471">
        <v>1710</v>
      </c>
      <c r="J2471">
        <v>24800</v>
      </c>
      <c r="K2471">
        <v>29760</v>
      </c>
      <c r="L2471" s="2">
        <v>26.468125000000001</v>
      </c>
      <c r="M2471" s="5">
        <v>381.71350000000001</v>
      </c>
      <c r="N2471" s="1">
        <v>292.00920000000002</v>
      </c>
      <c r="O2471" s="2">
        <v>-2.1</v>
      </c>
      <c r="P2471">
        <v>286</v>
      </c>
    </row>
    <row r="2472" spans="1:16" x14ac:dyDescent="0.35">
      <c r="A2472" s="4">
        <v>45597</v>
      </c>
      <c r="B2472" t="s">
        <v>21</v>
      </c>
      <c r="C2472" t="s">
        <v>14</v>
      </c>
      <c r="D2472">
        <v>1</v>
      </c>
      <c r="E2472" s="2">
        <f>(3394+3444+3443*2)/4</f>
        <v>3431</v>
      </c>
      <c r="F2472" s="2">
        <f t="shared" si="399"/>
        <v>3049.9075000000003</v>
      </c>
      <c r="G2472" s="3">
        <v>1</v>
      </c>
      <c r="H2472">
        <v>3360</v>
      </c>
      <c r="I2472">
        <v>1710</v>
      </c>
      <c r="J2472">
        <v>24800</v>
      </c>
      <c r="K2472">
        <v>29760</v>
      </c>
      <c r="L2472" s="2">
        <v>26.468125000000001</v>
      </c>
      <c r="M2472" s="5">
        <v>381.71350000000001</v>
      </c>
      <c r="N2472" s="1">
        <v>292.00920000000002</v>
      </c>
      <c r="O2472" s="2">
        <v>-2.1</v>
      </c>
      <c r="P2472">
        <v>286</v>
      </c>
    </row>
    <row r="2473" spans="1:16" x14ac:dyDescent="0.35">
      <c r="A2473" s="4">
        <v>45597</v>
      </c>
      <c r="B2473" t="s">
        <v>21</v>
      </c>
      <c r="C2473" t="s">
        <v>15</v>
      </c>
      <c r="D2473">
        <v>1</v>
      </c>
      <c r="E2473" s="2">
        <v>3487.5</v>
      </c>
      <c r="F2473" s="2">
        <f t="shared" si="399"/>
        <v>3049.9075000000003</v>
      </c>
      <c r="G2473" s="3">
        <v>1</v>
      </c>
      <c r="H2473">
        <v>3360</v>
      </c>
      <c r="I2473">
        <v>1710</v>
      </c>
      <c r="J2473">
        <v>24800</v>
      </c>
      <c r="K2473">
        <v>29760</v>
      </c>
      <c r="L2473" s="2">
        <v>26.468125000000001</v>
      </c>
      <c r="M2473" s="5">
        <v>381.71350000000001</v>
      </c>
      <c r="N2473" s="1">
        <v>292.00920000000002</v>
      </c>
      <c r="O2473" s="2">
        <v>-2.1</v>
      </c>
      <c r="P2473">
        <v>286</v>
      </c>
    </row>
    <row r="2474" spans="1:16" x14ac:dyDescent="0.35">
      <c r="A2474" s="4">
        <v>45597</v>
      </c>
      <c r="B2474" t="s">
        <v>22</v>
      </c>
      <c r="C2474" t="s">
        <v>10</v>
      </c>
      <c r="D2474">
        <v>0</v>
      </c>
      <c r="E2474" s="2" t="s">
        <v>27</v>
      </c>
      <c r="F2474" s="2">
        <f t="shared" ref="F2474:F2477" si="400">(3160+3180+3110+3080)/4</f>
        <v>3132.5</v>
      </c>
      <c r="G2474" s="3">
        <v>1</v>
      </c>
      <c r="H2474">
        <v>3360</v>
      </c>
      <c r="I2474">
        <v>1710</v>
      </c>
      <c r="J2474">
        <v>24800</v>
      </c>
      <c r="K2474">
        <v>29760</v>
      </c>
      <c r="L2474" s="2">
        <v>26.468125000000001</v>
      </c>
      <c r="M2474" s="5">
        <v>381.71350000000001</v>
      </c>
      <c r="N2474" s="1">
        <v>292.00920000000002</v>
      </c>
      <c r="O2474" s="2">
        <v>-2.1</v>
      </c>
      <c r="P2474">
        <v>286</v>
      </c>
    </row>
    <row r="2475" spans="1:16" x14ac:dyDescent="0.35">
      <c r="A2475" s="4">
        <v>45597</v>
      </c>
      <c r="B2475" t="s">
        <v>22</v>
      </c>
      <c r="C2475" t="s">
        <v>11</v>
      </c>
      <c r="D2475">
        <v>0</v>
      </c>
      <c r="E2475" s="2" t="s">
        <v>27</v>
      </c>
      <c r="F2475" s="2">
        <f t="shared" si="400"/>
        <v>3132.5</v>
      </c>
      <c r="G2475" s="3">
        <v>1</v>
      </c>
      <c r="H2475">
        <v>3360</v>
      </c>
      <c r="I2475">
        <v>1710</v>
      </c>
      <c r="J2475">
        <v>24800</v>
      </c>
      <c r="K2475">
        <v>29760</v>
      </c>
      <c r="L2475" s="2">
        <v>26.468125000000001</v>
      </c>
      <c r="M2475" s="5">
        <v>381.71350000000001</v>
      </c>
      <c r="N2475" s="1">
        <v>292.00920000000002</v>
      </c>
      <c r="O2475" s="2">
        <v>-2.1</v>
      </c>
      <c r="P2475">
        <v>286</v>
      </c>
    </row>
    <row r="2476" spans="1:16" x14ac:dyDescent="0.35">
      <c r="A2476" s="4">
        <v>45597</v>
      </c>
      <c r="B2476" t="s">
        <v>22</v>
      </c>
      <c r="C2476" t="s">
        <v>12</v>
      </c>
      <c r="D2476">
        <v>0</v>
      </c>
      <c r="E2476" s="2" t="s">
        <v>27</v>
      </c>
      <c r="F2476" s="2">
        <f t="shared" si="400"/>
        <v>3132.5</v>
      </c>
      <c r="G2476" s="3">
        <v>1</v>
      </c>
      <c r="H2476">
        <v>3360</v>
      </c>
      <c r="I2476">
        <v>1710</v>
      </c>
      <c r="J2476">
        <v>24800</v>
      </c>
      <c r="K2476">
        <v>29760</v>
      </c>
      <c r="L2476" s="2">
        <v>26.468125000000001</v>
      </c>
      <c r="M2476" s="5">
        <v>381.71350000000001</v>
      </c>
      <c r="N2476" s="1">
        <v>292.00920000000002</v>
      </c>
      <c r="O2476" s="2">
        <v>-2.1</v>
      </c>
      <c r="P2476">
        <v>286</v>
      </c>
    </row>
    <row r="2477" spans="1:16" x14ac:dyDescent="0.35">
      <c r="A2477" s="4">
        <v>45597</v>
      </c>
      <c r="B2477" t="s">
        <v>22</v>
      </c>
      <c r="C2477" t="s">
        <v>13</v>
      </c>
      <c r="D2477">
        <v>0</v>
      </c>
      <c r="E2477" s="2" t="s">
        <v>27</v>
      </c>
      <c r="F2477" s="2">
        <f t="shared" si="400"/>
        <v>3132.5</v>
      </c>
      <c r="G2477" s="3">
        <v>1</v>
      </c>
      <c r="H2477">
        <v>3360</v>
      </c>
      <c r="I2477">
        <v>1710</v>
      </c>
      <c r="J2477">
        <v>24800</v>
      </c>
      <c r="K2477">
        <v>29760</v>
      </c>
      <c r="L2477" s="2">
        <v>26.468125000000001</v>
      </c>
      <c r="M2477" s="5">
        <v>381.71350000000001</v>
      </c>
      <c r="N2477" s="1">
        <v>292.00920000000002</v>
      </c>
      <c r="O2477" s="2">
        <v>-2.1</v>
      </c>
      <c r="P2477">
        <v>286</v>
      </c>
    </row>
    <row r="2478" spans="1:16" x14ac:dyDescent="0.35">
      <c r="A2478" s="4">
        <v>45597</v>
      </c>
      <c r="B2478" t="s">
        <v>22</v>
      </c>
      <c r="C2478" t="s">
        <v>14</v>
      </c>
      <c r="D2478">
        <v>1</v>
      </c>
      <c r="E2478" s="2">
        <f>(3160+3180+3110+3080)/4</f>
        <v>3132.5</v>
      </c>
      <c r="F2478" s="2">
        <f>(3160+3180+3110+3080)/4</f>
        <v>3132.5</v>
      </c>
      <c r="G2478" s="3">
        <v>1</v>
      </c>
      <c r="H2478">
        <v>3360</v>
      </c>
      <c r="I2478">
        <v>1710</v>
      </c>
      <c r="J2478">
        <v>24800</v>
      </c>
      <c r="K2478">
        <v>29760</v>
      </c>
      <c r="L2478" s="2">
        <v>26.468125000000001</v>
      </c>
      <c r="M2478" s="5">
        <v>381.71350000000001</v>
      </c>
      <c r="N2478" s="1">
        <v>292.00920000000002</v>
      </c>
      <c r="O2478" s="2">
        <v>-2.1</v>
      </c>
      <c r="P2478">
        <v>286</v>
      </c>
    </row>
    <row r="2479" spans="1:16" x14ac:dyDescent="0.35">
      <c r="A2479" s="4">
        <v>45597</v>
      </c>
      <c r="B2479" t="s">
        <v>22</v>
      </c>
      <c r="C2479" t="s">
        <v>15</v>
      </c>
      <c r="D2479">
        <v>0</v>
      </c>
      <c r="E2479" s="2" t="s">
        <v>27</v>
      </c>
      <c r="F2479" s="2">
        <f>(3160+3180+3110+3080)/4</f>
        <v>3132.5</v>
      </c>
      <c r="G2479" s="3">
        <v>1</v>
      </c>
      <c r="H2479">
        <v>3360</v>
      </c>
      <c r="I2479">
        <v>1710</v>
      </c>
      <c r="J2479">
        <v>24800</v>
      </c>
      <c r="K2479">
        <v>29760</v>
      </c>
      <c r="L2479" s="2">
        <v>26.468125000000001</v>
      </c>
      <c r="M2479" s="5">
        <v>381.71350000000001</v>
      </c>
      <c r="N2479" s="1">
        <v>292.00920000000002</v>
      </c>
      <c r="O2479" s="2">
        <v>-2.1</v>
      </c>
      <c r="P2479">
        <v>286</v>
      </c>
    </row>
    <row r="2480" spans="1:16" x14ac:dyDescent="0.35">
      <c r="A2480" s="4">
        <v>45627</v>
      </c>
      <c r="B2480" t="s">
        <v>16</v>
      </c>
      <c r="C2480" t="s">
        <v>10</v>
      </c>
      <c r="D2480">
        <v>1</v>
      </c>
      <c r="E2480" s="2">
        <v>4500</v>
      </c>
      <c r="F2480" s="2">
        <f>(4626.25+4638.75+4592.5+4611.25+4561.25)/5</f>
        <v>4606</v>
      </c>
      <c r="G2480" s="3">
        <v>1</v>
      </c>
      <c r="H2480">
        <v>3360</v>
      </c>
      <c r="I2480">
        <v>1520</v>
      </c>
      <c r="J2480">
        <v>21620</v>
      </c>
      <c r="K2480">
        <v>39680</v>
      </c>
      <c r="L2480" s="2">
        <v>26.134375000000006</v>
      </c>
      <c r="M2480" s="5">
        <v>170.53300000000002</v>
      </c>
      <c r="N2480" s="1">
        <v>291.68049999999999</v>
      </c>
      <c r="O2480" s="2">
        <v>-1.7</v>
      </c>
      <c r="P2480">
        <v>286</v>
      </c>
    </row>
    <row r="2481" spans="1:16" x14ac:dyDescent="0.35">
      <c r="A2481" s="4">
        <v>45627</v>
      </c>
      <c r="B2481" t="s">
        <v>16</v>
      </c>
      <c r="C2481" t="s">
        <v>11</v>
      </c>
      <c r="D2481">
        <v>0</v>
      </c>
      <c r="E2481" s="2" t="s">
        <v>27</v>
      </c>
      <c r="F2481" s="2">
        <f t="shared" ref="F2481:F2485" si="401">(4626.25+4638.75+4592.5+4611.25+4561.25)/5</f>
        <v>4606</v>
      </c>
      <c r="G2481" s="3">
        <v>1</v>
      </c>
      <c r="H2481">
        <v>3360</v>
      </c>
      <c r="I2481">
        <v>1520</v>
      </c>
      <c r="J2481">
        <v>21620</v>
      </c>
      <c r="K2481">
        <v>39680</v>
      </c>
      <c r="L2481" s="2">
        <v>26.134375000000006</v>
      </c>
      <c r="M2481" s="5">
        <v>170.53300000000002</v>
      </c>
      <c r="N2481" s="1">
        <v>291.68049999999999</v>
      </c>
      <c r="O2481" s="2">
        <v>-1.7</v>
      </c>
      <c r="P2481">
        <v>286</v>
      </c>
    </row>
    <row r="2482" spans="1:16" x14ac:dyDescent="0.35">
      <c r="A2482" s="4">
        <v>45627</v>
      </c>
      <c r="B2482" t="s">
        <v>16</v>
      </c>
      <c r="C2482" t="s">
        <v>12</v>
      </c>
      <c r="D2482">
        <v>1</v>
      </c>
      <c r="E2482" s="2">
        <v>4470</v>
      </c>
      <c r="F2482" s="2">
        <f t="shared" si="401"/>
        <v>4606</v>
      </c>
      <c r="G2482" s="3">
        <v>1</v>
      </c>
      <c r="H2482">
        <v>3360</v>
      </c>
      <c r="I2482">
        <v>1520</v>
      </c>
      <c r="J2482">
        <v>21620</v>
      </c>
      <c r="K2482">
        <v>39680</v>
      </c>
      <c r="L2482" s="2">
        <v>26.134375000000006</v>
      </c>
      <c r="M2482" s="5">
        <v>170.53300000000002</v>
      </c>
      <c r="N2482" s="1">
        <v>291.68049999999999</v>
      </c>
      <c r="O2482" s="2">
        <v>-1.7</v>
      </c>
      <c r="P2482">
        <v>286</v>
      </c>
    </row>
    <row r="2483" spans="1:16" x14ac:dyDescent="0.35">
      <c r="A2483" s="4">
        <v>45627</v>
      </c>
      <c r="B2483" t="s">
        <v>16</v>
      </c>
      <c r="C2483" t="s">
        <v>13</v>
      </c>
      <c r="D2483">
        <v>1</v>
      </c>
      <c r="E2483" s="2">
        <v>4950</v>
      </c>
      <c r="F2483" s="2">
        <f t="shared" si="401"/>
        <v>4606</v>
      </c>
      <c r="G2483" s="3">
        <v>1</v>
      </c>
      <c r="H2483">
        <v>3360</v>
      </c>
      <c r="I2483">
        <v>1520</v>
      </c>
      <c r="J2483">
        <v>21620</v>
      </c>
      <c r="K2483">
        <v>39680</v>
      </c>
      <c r="L2483" s="2">
        <v>26.134375000000006</v>
      </c>
      <c r="M2483" s="5">
        <v>170.53300000000002</v>
      </c>
      <c r="N2483" s="1">
        <v>291.68049999999999</v>
      </c>
      <c r="O2483" s="2">
        <v>-1.7</v>
      </c>
      <c r="P2483">
        <v>286</v>
      </c>
    </row>
    <row r="2484" spans="1:16" x14ac:dyDescent="0.35">
      <c r="A2484" s="4">
        <v>45627</v>
      </c>
      <c r="B2484" t="s">
        <v>16</v>
      </c>
      <c r="C2484" t="s">
        <v>14</v>
      </c>
      <c r="D2484">
        <v>1</v>
      </c>
      <c r="E2484" s="2">
        <v>4525</v>
      </c>
      <c r="F2484" s="2">
        <f t="shared" si="401"/>
        <v>4606</v>
      </c>
      <c r="G2484" s="3">
        <v>1</v>
      </c>
      <c r="H2484">
        <v>3360</v>
      </c>
      <c r="I2484">
        <v>1520</v>
      </c>
      <c r="J2484">
        <v>21620</v>
      </c>
      <c r="K2484">
        <v>39680</v>
      </c>
      <c r="L2484" s="2">
        <v>26.134375000000006</v>
      </c>
      <c r="M2484" s="5">
        <v>170.53300000000002</v>
      </c>
      <c r="N2484" s="1">
        <v>291.68049999999999</v>
      </c>
      <c r="O2484" s="2">
        <v>-1.7</v>
      </c>
      <c r="P2484">
        <v>286</v>
      </c>
    </row>
    <row r="2485" spans="1:16" x14ac:dyDescent="0.35">
      <c r="A2485" s="4">
        <v>45627</v>
      </c>
      <c r="B2485" t="s">
        <v>16</v>
      </c>
      <c r="C2485" t="s">
        <v>15</v>
      </c>
      <c r="D2485">
        <v>0</v>
      </c>
      <c r="E2485" s="2" t="s">
        <v>27</v>
      </c>
      <c r="F2485" s="2">
        <f t="shared" si="401"/>
        <v>4606</v>
      </c>
      <c r="G2485" s="3">
        <v>1</v>
      </c>
      <c r="H2485">
        <v>3360</v>
      </c>
      <c r="I2485">
        <v>1520</v>
      </c>
      <c r="J2485">
        <v>21620</v>
      </c>
      <c r="K2485">
        <v>39680</v>
      </c>
      <c r="L2485" s="2">
        <v>26.134375000000006</v>
      </c>
      <c r="M2485" s="5">
        <v>170.53300000000002</v>
      </c>
      <c r="N2485" s="1">
        <v>291.68049999999999</v>
      </c>
      <c r="O2485" s="2">
        <v>-1.7</v>
      </c>
      <c r="P2485">
        <v>286</v>
      </c>
    </row>
    <row r="2486" spans="1:16" x14ac:dyDescent="0.35">
      <c r="A2486" s="4">
        <v>45627</v>
      </c>
      <c r="B2486" t="s">
        <v>17</v>
      </c>
      <c r="C2486" t="s">
        <v>10</v>
      </c>
      <c r="D2486">
        <v>1</v>
      </c>
      <c r="E2486" s="2">
        <v>3850</v>
      </c>
      <c r="F2486" s="2">
        <f>(4063+3988+4028+3932.8+3983)/5</f>
        <v>3998.96</v>
      </c>
      <c r="G2486" s="3">
        <v>1</v>
      </c>
      <c r="H2486">
        <v>3360</v>
      </c>
      <c r="I2486">
        <v>1520</v>
      </c>
      <c r="J2486">
        <v>21620</v>
      </c>
      <c r="K2486">
        <v>39680</v>
      </c>
      <c r="L2486" s="2">
        <v>26.134375000000006</v>
      </c>
      <c r="M2486" s="5">
        <v>170.53300000000002</v>
      </c>
      <c r="N2486" s="1">
        <v>291.68049999999999</v>
      </c>
      <c r="O2486" s="2">
        <v>-1.7</v>
      </c>
      <c r="P2486">
        <v>286</v>
      </c>
    </row>
    <row r="2487" spans="1:16" x14ac:dyDescent="0.35">
      <c r="A2487" s="4">
        <v>45627</v>
      </c>
      <c r="B2487" t="s">
        <v>17</v>
      </c>
      <c r="C2487" t="s">
        <v>11</v>
      </c>
      <c r="D2487">
        <v>1</v>
      </c>
      <c r="E2487" s="2">
        <v>3960</v>
      </c>
      <c r="F2487" s="2">
        <f t="shared" ref="F2487:F2491" si="402">(4063+3988+4028+3932.8+3983)/5</f>
        <v>3998.96</v>
      </c>
      <c r="G2487" s="3">
        <v>1</v>
      </c>
      <c r="H2487">
        <v>3360</v>
      </c>
      <c r="I2487">
        <v>1520</v>
      </c>
      <c r="J2487">
        <v>21620</v>
      </c>
      <c r="K2487">
        <v>39680</v>
      </c>
      <c r="L2487" s="2">
        <v>26.134375000000006</v>
      </c>
      <c r="M2487" s="5">
        <v>170.53300000000002</v>
      </c>
      <c r="N2487" s="1">
        <v>291.68049999999999</v>
      </c>
      <c r="O2487" s="2">
        <v>-1.7</v>
      </c>
      <c r="P2487">
        <v>286</v>
      </c>
    </row>
    <row r="2488" spans="1:16" x14ac:dyDescent="0.35">
      <c r="A2488" s="4">
        <v>45627</v>
      </c>
      <c r="B2488" t="s">
        <v>17</v>
      </c>
      <c r="C2488" t="s">
        <v>12</v>
      </c>
      <c r="D2488">
        <v>1</v>
      </c>
      <c r="E2488" s="2">
        <v>4065</v>
      </c>
      <c r="F2488" s="2">
        <f t="shared" si="402"/>
        <v>3998.96</v>
      </c>
      <c r="G2488" s="3">
        <v>1</v>
      </c>
      <c r="H2488">
        <v>3360</v>
      </c>
      <c r="I2488">
        <v>1520</v>
      </c>
      <c r="J2488">
        <v>21620</v>
      </c>
      <c r="K2488">
        <v>39680</v>
      </c>
      <c r="L2488" s="2">
        <v>26.134375000000006</v>
      </c>
      <c r="M2488" s="5">
        <v>170.53300000000002</v>
      </c>
      <c r="N2488" s="1">
        <v>291.68049999999999</v>
      </c>
      <c r="O2488" s="2">
        <v>-1.7</v>
      </c>
      <c r="P2488">
        <v>286</v>
      </c>
    </row>
    <row r="2489" spans="1:16" x14ac:dyDescent="0.35">
      <c r="A2489" s="4">
        <v>45627</v>
      </c>
      <c r="B2489" t="s">
        <v>17</v>
      </c>
      <c r="C2489" t="s">
        <v>13</v>
      </c>
      <c r="D2489">
        <v>1</v>
      </c>
      <c r="E2489" s="2">
        <f>(4300+3975+4225+4000+4300)/5</f>
        <v>4160</v>
      </c>
      <c r="F2489" s="2">
        <f t="shared" si="402"/>
        <v>3998.96</v>
      </c>
      <c r="G2489" s="3">
        <v>1</v>
      </c>
      <c r="H2489">
        <v>3360</v>
      </c>
      <c r="I2489">
        <v>1520</v>
      </c>
      <c r="J2489">
        <v>21620</v>
      </c>
      <c r="K2489">
        <v>39680</v>
      </c>
      <c r="L2489" s="2">
        <v>26.134375000000006</v>
      </c>
      <c r="M2489" s="5">
        <v>170.53300000000002</v>
      </c>
      <c r="N2489" s="1">
        <v>291.68049999999999</v>
      </c>
      <c r="O2489" s="2">
        <v>-1.7</v>
      </c>
      <c r="P2489">
        <v>286</v>
      </c>
    </row>
    <row r="2490" spans="1:16" x14ac:dyDescent="0.35">
      <c r="A2490" s="4">
        <v>45627</v>
      </c>
      <c r="B2490" t="s">
        <v>17</v>
      </c>
      <c r="C2490" t="s">
        <v>14</v>
      </c>
      <c r="D2490">
        <v>1</v>
      </c>
      <c r="E2490" s="2">
        <f>(3850+3900*2+4000+4050)/5</f>
        <v>3940</v>
      </c>
      <c r="F2490" s="2">
        <f t="shared" si="402"/>
        <v>3998.96</v>
      </c>
      <c r="G2490" s="3">
        <v>1</v>
      </c>
      <c r="H2490">
        <v>3360</v>
      </c>
      <c r="I2490">
        <v>1520</v>
      </c>
      <c r="J2490">
        <v>21620</v>
      </c>
      <c r="K2490">
        <v>39680</v>
      </c>
      <c r="L2490" s="2">
        <v>26.134375000000006</v>
      </c>
      <c r="M2490" s="5">
        <v>170.53300000000002</v>
      </c>
      <c r="N2490" s="1">
        <v>291.68049999999999</v>
      </c>
      <c r="O2490" s="2">
        <v>-1.7</v>
      </c>
      <c r="P2490">
        <v>286</v>
      </c>
    </row>
    <row r="2491" spans="1:16" x14ac:dyDescent="0.35">
      <c r="A2491" s="4">
        <v>45627</v>
      </c>
      <c r="B2491" t="s">
        <v>17</v>
      </c>
      <c r="C2491" t="s">
        <v>15</v>
      </c>
      <c r="D2491">
        <v>0</v>
      </c>
      <c r="E2491" s="2" t="s">
        <v>27</v>
      </c>
      <c r="F2491" s="2">
        <f t="shared" si="402"/>
        <v>3998.96</v>
      </c>
      <c r="G2491" s="3">
        <v>1</v>
      </c>
      <c r="H2491">
        <v>3360</v>
      </c>
      <c r="I2491">
        <v>1520</v>
      </c>
      <c r="J2491">
        <v>21620</v>
      </c>
      <c r="K2491">
        <v>39680</v>
      </c>
      <c r="L2491" s="2">
        <v>26.134375000000006</v>
      </c>
      <c r="M2491" s="5">
        <v>170.53300000000002</v>
      </c>
      <c r="N2491" s="1">
        <v>291.68049999999999</v>
      </c>
      <c r="O2491" s="2">
        <v>-1.7</v>
      </c>
      <c r="P2491">
        <v>286</v>
      </c>
    </row>
    <row r="2492" spans="1:16" x14ac:dyDescent="0.35">
      <c r="A2492" s="4">
        <v>45627</v>
      </c>
      <c r="B2492" t="s">
        <v>18</v>
      </c>
      <c r="C2492" t="s">
        <v>10</v>
      </c>
      <c r="D2492">
        <v>1</v>
      </c>
      <c r="E2492" s="2">
        <v>3735</v>
      </c>
      <c r="F2492" s="2">
        <f>(3830.63+3825.43+3803.75+3788.75+3758.13)/5</f>
        <v>3801.3379999999997</v>
      </c>
      <c r="G2492" s="3">
        <v>1</v>
      </c>
      <c r="H2492">
        <v>3360</v>
      </c>
      <c r="I2492">
        <v>1520</v>
      </c>
      <c r="J2492">
        <v>21620</v>
      </c>
      <c r="K2492">
        <v>39680</v>
      </c>
      <c r="L2492" s="2">
        <v>26.134375000000006</v>
      </c>
      <c r="M2492" s="5">
        <v>170.53300000000002</v>
      </c>
      <c r="N2492" s="1">
        <v>291.68049999999999</v>
      </c>
      <c r="O2492" s="2">
        <v>-1.7</v>
      </c>
      <c r="P2492">
        <v>286</v>
      </c>
    </row>
    <row r="2493" spans="1:16" x14ac:dyDescent="0.35">
      <c r="A2493" s="4">
        <v>45627</v>
      </c>
      <c r="B2493" t="s">
        <v>18</v>
      </c>
      <c r="C2493" t="s">
        <v>11</v>
      </c>
      <c r="D2493">
        <v>1</v>
      </c>
      <c r="E2493" s="2">
        <f>(3700+3750+3800*2+3900)/5</f>
        <v>3790</v>
      </c>
      <c r="F2493" s="2">
        <f t="shared" ref="F2493:F2497" si="403">(3830.63+3825.43+3803.75+3788.75+3758.13)/5</f>
        <v>3801.3379999999997</v>
      </c>
      <c r="G2493" s="3">
        <v>1</v>
      </c>
      <c r="H2493">
        <v>3360</v>
      </c>
      <c r="I2493">
        <v>1520</v>
      </c>
      <c r="J2493">
        <v>21620</v>
      </c>
      <c r="K2493">
        <v>39680</v>
      </c>
      <c r="L2493" s="2">
        <v>26.134375000000006</v>
      </c>
      <c r="M2493" s="5">
        <v>170.53300000000002</v>
      </c>
      <c r="N2493" s="1">
        <v>291.68049999999999</v>
      </c>
      <c r="O2493" s="2">
        <v>-1.7</v>
      </c>
      <c r="P2493">
        <v>286</v>
      </c>
    </row>
    <row r="2494" spans="1:16" x14ac:dyDescent="0.35">
      <c r="A2494" s="4">
        <v>45627</v>
      </c>
      <c r="B2494" t="s">
        <v>18</v>
      </c>
      <c r="C2494" t="s">
        <v>12</v>
      </c>
      <c r="D2494">
        <v>1</v>
      </c>
      <c r="E2494" s="2">
        <v>3695</v>
      </c>
      <c r="F2494" s="2">
        <f t="shared" si="403"/>
        <v>3801.3379999999997</v>
      </c>
      <c r="G2494" s="3">
        <v>1</v>
      </c>
      <c r="H2494">
        <v>3360</v>
      </c>
      <c r="I2494">
        <v>1520</v>
      </c>
      <c r="J2494">
        <v>21620</v>
      </c>
      <c r="K2494">
        <v>39680</v>
      </c>
      <c r="L2494" s="2">
        <v>26.134375000000006</v>
      </c>
      <c r="M2494" s="5">
        <v>170.53300000000002</v>
      </c>
      <c r="N2494" s="1">
        <v>291.68049999999999</v>
      </c>
      <c r="O2494" s="2">
        <v>-1.7</v>
      </c>
      <c r="P2494">
        <v>286</v>
      </c>
    </row>
    <row r="2495" spans="1:16" x14ac:dyDescent="0.35">
      <c r="A2495" s="4">
        <v>45627</v>
      </c>
      <c r="B2495" t="s">
        <v>18</v>
      </c>
      <c r="C2495" t="s">
        <v>13</v>
      </c>
      <c r="D2495">
        <v>1</v>
      </c>
      <c r="E2495" s="2">
        <f>(3850+3875+3900+3875+3975)/5</f>
        <v>3895</v>
      </c>
      <c r="F2495" s="2">
        <f t="shared" si="403"/>
        <v>3801.3379999999997</v>
      </c>
      <c r="G2495" s="3">
        <v>1</v>
      </c>
      <c r="H2495">
        <v>3360</v>
      </c>
      <c r="I2495">
        <v>1520</v>
      </c>
      <c r="J2495">
        <v>21620</v>
      </c>
      <c r="K2495">
        <v>39680</v>
      </c>
      <c r="L2495" s="2">
        <v>26.134375000000006</v>
      </c>
      <c r="M2495" s="5">
        <v>170.53300000000002</v>
      </c>
      <c r="N2495" s="1">
        <v>291.68049999999999</v>
      </c>
      <c r="O2495" s="2">
        <v>-1.7</v>
      </c>
      <c r="P2495">
        <v>286</v>
      </c>
    </row>
    <row r="2496" spans="1:16" x14ac:dyDescent="0.35">
      <c r="A2496" s="4">
        <v>45627</v>
      </c>
      <c r="B2496" t="s">
        <v>18</v>
      </c>
      <c r="C2496" t="s">
        <v>14</v>
      </c>
      <c r="D2496">
        <v>1</v>
      </c>
      <c r="E2496" s="2">
        <f>(3830+3883+3810+3790+3770)/5</f>
        <v>3816.6</v>
      </c>
      <c r="F2496" s="2">
        <f t="shared" si="403"/>
        <v>3801.3379999999997</v>
      </c>
      <c r="G2496" s="3">
        <v>1</v>
      </c>
      <c r="H2496">
        <v>3360</v>
      </c>
      <c r="I2496">
        <v>1520</v>
      </c>
      <c r="J2496">
        <v>21620</v>
      </c>
      <c r="K2496">
        <v>39680</v>
      </c>
      <c r="L2496" s="2">
        <v>26.134375000000006</v>
      </c>
      <c r="M2496" s="5">
        <v>170.53300000000002</v>
      </c>
      <c r="N2496" s="1">
        <v>291.68049999999999</v>
      </c>
      <c r="O2496" s="2">
        <v>-1.7</v>
      </c>
      <c r="P2496">
        <v>286</v>
      </c>
    </row>
    <row r="2497" spans="1:16" x14ac:dyDescent="0.35">
      <c r="A2497" s="4">
        <v>45627</v>
      </c>
      <c r="B2497" t="s">
        <v>18</v>
      </c>
      <c r="C2497" t="s">
        <v>15</v>
      </c>
      <c r="D2497">
        <v>1</v>
      </c>
      <c r="E2497" s="2">
        <f>(3850+4000+3925+4050+3975)/5</f>
        <v>3960</v>
      </c>
      <c r="F2497" s="2">
        <f t="shared" si="403"/>
        <v>3801.3379999999997</v>
      </c>
      <c r="G2497" s="3">
        <v>1</v>
      </c>
      <c r="H2497">
        <v>3360</v>
      </c>
      <c r="I2497">
        <v>1520</v>
      </c>
      <c r="J2497">
        <v>21620</v>
      </c>
      <c r="K2497">
        <v>39680</v>
      </c>
      <c r="L2497" s="2">
        <v>26.134375000000006</v>
      </c>
      <c r="M2497" s="5">
        <v>170.53300000000002</v>
      </c>
      <c r="N2497" s="1">
        <v>291.68049999999999</v>
      </c>
      <c r="O2497" s="2">
        <v>-1.7</v>
      </c>
      <c r="P2497">
        <v>286</v>
      </c>
    </row>
    <row r="2498" spans="1:16" x14ac:dyDescent="0.35">
      <c r="A2498" s="4">
        <v>45627</v>
      </c>
      <c r="B2498" t="s">
        <v>19</v>
      </c>
      <c r="C2498" t="s">
        <v>10</v>
      </c>
      <c r="D2498">
        <v>1</v>
      </c>
      <c r="E2498" s="2">
        <v>3625</v>
      </c>
      <c r="F2498" s="2">
        <f>(3623.75+3557.75+3657.38+3670+3671.38)/5</f>
        <v>3636.0520000000006</v>
      </c>
      <c r="G2498" s="3">
        <v>1</v>
      </c>
      <c r="H2498">
        <v>3360</v>
      </c>
      <c r="I2498">
        <v>1520</v>
      </c>
      <c r="J2498">
        <v>21620</v>
      </c>
      <c r="K2498">
        <v>39680</v>
      </c>
      <c r="L2498" s="2">
        <v>26.134375000000006</v>
      </c>
      <c r="M2498" s="5">
        <v>170.53300000000002</v>
      </c>
      <c r="N2498" s="1">
        <v>291.68049999999999</v>
      </c>
      <c r="O2498" s="2">
        <v>-1.7</v>
      </c>
      <c r="P2498">
        <v>286</v>
      </c>
    </row>
    <row r="2499" spans="1:16" x14ac:dyDescent="0.35">
      <c r="A2499" s="4">
        <v>45627</v>
      </c>
      <c r="B2499" t="s">
        <v>19</v>
      </c>
      <c r="C2499" t="s">
        <v>11</v>
      </c>
      <c r="D2499">
        <v>1</v>
      </c>
      <c r="E2499" s="2">
        <v>3620</v>
      </c>
      <c r="F2499" s="2">
        <f t="shared" ref="F2499:F2503" si="404">(3623.75+3557.75+3657.38+3670+3671.38)/5</f>
        <v>3636.0520000000006</v>
      </c>
      <c r="G2499" s="3">
        <v>1</v>
      </c>
      <c r="H2499">
        <v>3360</v>
      </c>
      <c r="I2499">
        <v>1520</v>
      </c>
      <c r="J2499">
        <v>21620</v>
      </c>
      <c r="K2499">
        <v>39680</v>
      </c>
      <c r="L2499" s="2">
        <v>26.134375000000006</v>
      </c>
      <c r="M2499" s="5">
        <v>170.53300000000002</v>
      </c>
      <c r="N2499" s="1">
        <v>291.68049999999999</v>
      </c>
      <c r="O2499" s="2">
        <v>-1.7</v>
      </c>
      <c r="P2499">
        <v>286</v>
      </c>
    </row>
    <row r="2500" spans="1:16" x14ac:dyDescent="0.35">
      <c r="A2500" s="4">
        <v>45627</v>
      </c>
      <c r="B2500" t="s">
        <v>19</v>
      </c>
      <c r="C2500" t="s">
        <v>12</v>
      </c>
      <c r="D2500">
        <v>1</v>
      </c>
      <c r="E2500" s="2">
        <v>3490</v>
      </c>
      <c r="F2500" s="2">
        <f t="shared" si="404"/>
        <v>3636.0520000000006</v>
      </c>
      <c r="G2500" s="3">
        <v>1</v>
      </c>
      <c r="H2500">
        <v>3360</v>
      </c>
      <c r="I2500">
        <v>1520</v>
      </c>
      <c r="J2500">
        <v>21620</v>
      </c>
      <c r="K2500">
        <v>39680</v>
      </c>
      <c r="L2500" s="2">
        <v>26.134375000000006</v>
      </c>
      <c r="M2500" s="5">
        <v>170.53300000000002</v>
      </c>
      <c r="N2500" s="1">
        <v>291.68049999999999</v>
      </c>
      <c r="O2500" s="2">
        <v>-1.7</v>
      </c>
      <c r="P2500">
        <v>286</v>
      </c>
    </row>
    <row r="2501" spans="1:16" x14ac:dyDescent="0.35">
      <c r="A2501" s="4">
        <v>45627</v>
      </c>
      <c r="B2501" t="s">
        <v>19</v>
      </c>
      <c r="C2501" t="s">
        <v>13</v>
      </c>
      <c r="D2501">
        <v>1</v>
      </c>
      <c r="E2501" s="2">
        <f>(3725+3755+3825+3850+3825)/5</f>
        <v>3796</v>
      </c>
      <c r="F2501" s="2">
        <f t="shared" si="404"/>
        <v>3636.0520000000006</v>
      </c>
      <c r="G2501" s="3">
        <v>1</v>
      </c>
      <c r="H2501">
        <v>3360</v>
      </c>
      <c r="I2501">
        <v>1520</v>
      </c>
      <c r="J2501">
        <v>21620</v>
      </c>
      <c r="K2501">
        <v>39680</v>
      </c>
      <c r="L2501" s="2">
        <v>26.134375000000006</v>
      </c>
      <c r="M2501" s="5">
        <v>170.53300000000002</v>
      </c>
      <c r="N2501" s="1">
        <v>291.68049999999999</v>
      </c>
      <c r="O2501" s="2">
        <v>-1.7</v>
      </c>
      <c r="P2501">
        <v>286</v>
      </c>
    </row>
    <row r="2502" spans="1:16" x14ac:dyDescent="0.35">
      <c r="A2502" s="4">
        <v>45627</v>
      </c>
      <c r="B2502" t="s">
        <v>19</v>
      </c>
      <c r="C2502" t="s">
        <v>14</v>
      </c>
      <c r="D2502">
        <v>1</v>
      </c>
      <c r="E2502" s="2">
        <f>(3731+3750+3744+3707+3700)/5</f>
        <v>3726.4</v>
      </c>
      <c r="F2502" s="2">
        <f t="shared" si="404"/>
        <v>3636.0520000000006</v>
      </c>
      <c r="G2502" s="3">
        <v>1</v>
      </c>
      <c r="H2502">
        <v>3360</v>
      </c>
      <c r="I2502">
        <v>1520</v>
      </c>
      <c r="J2502">
        <v>21620</v>
      </c>
      <c r="K2502">
        <v>39680</v>
      </c>
      <c r="L2502" s="2">
        <v>26.134375000000006</v>
      </c>
      <c r="M2502" s="5">
        <v>170.53300000000002</v>
      </c>
      <c r="N2502" s="1">
        <v>291.68049999999999</v>
      </c>
      <c r="O2502" s="2">
        <v>-1.7</v>
      </c>
      <c r="P2502">
        <v>286</v>
      </c>
    </row>
    <row r="2503" spans="1:16" x14ac:dyDescent="0.35">
      <c r="A2503" s="4">
        <v>45627</v>
      </c>
      <c r="B2503" t="s">
        <v>19</v>
      </c>
      <c r="C2503" t="s">
        <v>15</v>
      </c>
      <c r="D2503">
        <v>1</v>
      </c>
      <c r="E2503" s="2">
        <f>(3725+3760+3800+3900+3825)/5</f>
        <v>3802</v>
      </c>
      <c r="F2503" s="2">
        <f t="shared" si="404"/>
        <v>3636.0520000000006</v>
      </c>
      <c r="G2503" s="3">
        <v>1</v>
      </c>
      <c r="H2503">
        <v>3360</v>
      </c>
      <c r="I2503">
        <v>1520</v>
      </c>
      <c r="J2503">
        <v>21620</v>
      </c>
      <c r="K2503">
        <v>39680</v>
      </c>
      <c r="L2503" s="2">
        <v>26.134375000000006</v>
      </c>
      <c r="M2503" s="5">
        <v>170.53300000000002</v>
      </c>
      <c r="N2503" s="1">
        <v>291.68049999999999</v>
      </c>
      <c r="O2503" s="2">
        <v>-1.7</v>
      </c>
      <c r="P2503">
        <v>286</v>
      </c>
    </row>
    <row r="2504" spans="1:16" x14ac:dyDescent="0.35">
      <c r="A2504" s="4">
        <v>45627</v>
      </c>
      <c r="B2504" t="s">
        <v>20</v>
      </c>
      <c r="C2504" t="s">
        <v>10</v>
      </c>
      <c r="D2504">
        <v>1</v>
      </c>
      <c r="E2504" s="2">
        <f>(3400+3450+3500*2)/4</f>
        <v>3462.5</v>
      </c>
      <c r="F2504" s="2">
        <f>(3339.38+3410+3306.88+3311.88+3287.75)/5</f>
        <v>3331.1779999999999</v>
      </c>
      <c r="G2504" s="3">
        <v>1</v>
      </c>
      <c r="H2504">
        <v>3360</v>
      </c>
      <c r="I2504">
        <v>1520</v>
      </c>
      <c r="J2504">
        <v>21620</v>
      </c>
      <c r="K2504">
        <v>39680</v>
      </c>
      <c r="L2504" s="2">
        <v>26.134375000000006</v>
      </c>
      <c r="M2504" s="5">
        <v>170.53300000000002</v>
      </c>
      <c r="N2504" s="1">
        <v>291.68049999999999</v>
      </c>
      <c r="O2504" s="2">
        <v>-1.7</v>
      </c>
      <c r="P2504">
        <v>286</v>
      </c>
    </row>
    <row r="2505" spans="1:16" x14ac:dyDescent="0.35">
      <c r="A2505" s="4">
        <v>45627</v>
      </c>
      <c r="B2505" t="s">
        <v>20</v>
      </c>
      <c r="C2505" t="s">
        <v>11</v>
      </c>
      <c r="D2505">
        <v>1</v>
      </c>
      <c r="E2505" s="2">
        <v>3320</v>
      </c>
      <c r="F2505" s="2">
        <f t="shared" ref="F2505:F2509" si="405">(3339.38+3410+3306.88+3311.88+3287.75)/5</f>
        <v>3331.1779999999999</v>
      </c>
      <c r="G2505" s="3">
        <v>1</v>
      </c>
      <c r="H2505">
        <v>3360</v>
      </c>
      <c r="I2505">
        <v>1520</v>
      </c>
      <c r="J2505">
        <v>21620</v>
      </c>
      <c r="K2505">
        <v>39680</v>
      </c>
      <c r="L2505" s="2">
        <v>26.134375000000006</v>
      </c>
      <c r="M2505" s="5">
        <v>170.53300000000002</v>
      </c>
      <c r="N2505" s="1">
        <v>291.68049999999999</v>
      </c>
      <c r="O2505" s="2">
        <v>-1.7</v>
      </c>
      <c r="P2505">
        <v>286</v>
      </c>
    </row>
    <row r="2506" spans="1:16" x14ac:dyDescent="0.35">
      <c r="A2506" s="4">
        <v>45627</v>
      </c>
      <c r="B2506" t="s">
        <v>20</v>
      </c>
      <c r="C2506" t="s">
        <v>12</v>
      </c>
      <c r="D2506">
        <v>1</v>
      </c>
      <c r="E2506" s="2">
        <v>2495</v>
      </c>
      <c r="F2506" s="2">
        <f t="shared" si="405"/>
        <v>3331.1779999999999</v>
      </c>
      <c r="G2506" s="3">
        <v>1</v>
      </c>
      <c r="H2506">
        <v>3360</v>
      </c>
      <c r="I2506">
        <v>1520</v>
      </c>
      <c r="J2506">
        <v>21620</v>
      </c>
      <c r="K2506">
        <v>39680</v>
      </c>
      <c r="L2506" s="2">
        <v>26.134375000000006</v>
      </c>
      <c r="M2506" s="5">
        <v>170.53300000000002</v>
      </c>
      <c r="N2506" s="1">
        <v>291.68049999999999</v>
      </c>
      <c r="O2506" s="2">
        <v>-1.7</v>
      </c>
      <c r="P2506">
        <v>286</v>
      </c>
    </row>
    <row r="2507" spans="1:16" x14ac:dyDescent="0.35">
      <c r="A2507" s="4">
        <v>45627</v>
      </c>
      <c r="B2507" t="s">
        <v>20</v>
      </c>
      <c r="C2507" t="s">
        <v>13</v>
      </c>
      <c r="D2507">
        <v>1</v>
      </c>
      <c r="E2507" s="2">
        <f>(3550+3625+3600*3)/5</f>
        <v>3595</v>
      </c>
      <c r="F2507" s="2">
        <f t="shared" si="405"/>
        <v>3331.1779999999999</v>
      </c>
      <c r="G2507" s="3">
        <v>1</v>
      </c>
      <c r="H2507">
        <v>3360</v>
      </c>
      <c r="I2507">
        <v>1520</v>
      </c>
      <c r="J2507">
        <v>21620</v>
      </c>
      <c r="K2507">
        <v>39680</v>
      </c>
      <c r="L2507" s="2">
        <v>26.134375000000006</v>
      </c>
      <c r="M2507" s="5">
        <v>170.53300000000002</v>
      </c>
      <c r="N2507" s="1">
        <v>291.68049999999999</v>
      </c>
      <c r="O2507" s="2">
        <v>-1.7</v>
      </c>
      <c r="P2507">
        <v>286</v>
      </c>
    </row>
    <row r="2508" spans="1:16" x14ac:dyDescent="0.35">
      <c r="A2508" s="4">
        <v>45627</v>
      </c>
      <c r="B2508" t="s">
        <v>20</v>
      </c>
      <c r="C2508" t="s">
        <v>14</v>
      </c>
      <c r="D2508">
        <v>1</v>
      </c>
      <c r="E2508" s="2">
        <f>(3620+3625+3610+3600+3557)/5</f>
        <v>3602.4</v>
      </c>
      <c r="F2508" s="2">
        <f t="shared" si="405"/>
        <v>3331.1779999999999</v>
      </c>
      <c r="G2508" s="3">
        <v>1</v>
      </c>
      <c r="H2508">
        <v>3360</v>
      </c>
      <c r="I2508">
        <v>1520</v>
      </c>
      <c r="J2508">
        <v>21620</v>
      </c>
      <c r="K2508">
        <v>39680</v>
      </c>
      <c r="L2508" s="2">
        <v>26.134375000000006</v>
      </c>
      <c r="M2508" s="5">
        <v>170.53300000000002</v>
      </c>
      <c r="N2508" s="1">
        <v>291.68049999999999</v>
      </c>
      <c r="O2508" s="2">
        <v>-1.7</v>
      </c>
      <c r="P2508">
        <v>286</v>
      </c>
    </row>
    <row r="2509" spans="1:16" x14ac:dyDescent="0.35">
      <c r="A2509" s="4">
        <v>45627</v>
      </c>
      <c r="B2509" t="s">
        <v>20</v>
      </c>
      <c r="C2509" t="s">
        <v>15</v>
      </c>
      <c r="D2509">
        <v>1</v>
      </c>
      <c r="E2509" s="2">
        <f>(3600+3625+3650*3)/5</f>
        <v>3635</v>
      </c>
      <c r="F2509" s="2">
        <f t="shared" si="405"/>
        <v>3331.1779999999999</v>
      </c>
      <c r="G2509" s="3">
        <v>1</v>
      </c>
      <c r="H2509">
        <v>3360</v>
      </c>
      <c r="I2509">
        <v>1520</v>
      </c>
      <c r="J2509">
        <v>21620</v>
      </c>
      <c r="K2509">
        <v>39680</v>
      </c>
      <c r="L2509" s="2">
        <v>26.134375000000006</v>
      </c>
      <c r="M2509" s="5">
        <v>170.53300000000002</v>
      </c>
      <c r="N2509" s="1">
        <v>291.68049999999999</v>
      </c>
      <c r="O2509" s="2">
        <v>-1.7</v>
      </c>
      <c r="P2509">
        <v>286</v>
      </c>
    </row>
    <row r="2510" spans="1:16" x14ac:dyDescent="0.35">
      <c r="A2510" s="4">
        <v>45627</v>
      </c>
      <c r="B2510" t="s">
        <v>21</v>
      </c>
      <c r="C2510" t="s">
        <v>10</v>
      </c>
      <c r="D2510">
        <v>1</v>
      </c>
      <c r="E2510" s="2">
        <v>3300</v>
      </c>
      <c r="F2510" s="2">
        <f>(3202.63+3241.71+3163.13+3161.63+3136.5)/5</f>
        <v>3181.1200000000003</v>
      </c>
      <c r="G2510" s="3">
        <v>1</v>
      </c>
      <c r="H2510">
        <v>3360</v>
      </c>
      <c r="I2510">
        <v>1520</v>
      </c>
      <c r="J2510">
        <v>21620</v>
      </c>
      <c r="K2510">
        <v>39680</v>
      </c>
      <c r="L2510" s="2">
        <v>26.134375000000006</v>
      </c>
      <c r="M2510" s="5">
        <v>170.53300000000002</v>
      </c>
      <c r="N2510" s="1">
        <v>291.68049999999999</v>
      </c>
      <c r="O2510" s="2">
        <v>-1.7</v>
      </c>
      <c r="P2510">
        <v>286</v>
      </c>
    </row>
    <row r="2511" spans="1:16" x14ac:dyDescent="0.35">
      <c r="A2511" s="4">
        <v>45627</v>
      </c>
      <c r="B2511" t="s">
        <v>21</v>
      </c>
      <c r="C2511" t="s">
        <v>11</v>
      </c>
      <c r="D2511">
        <v>1</v>
      </c>
      <c r="E2511" s="2">
        <v>3200</v>
      </c>
      <c r="F2511" s="2">
        <f t="shared" ref="F2511:F2515" si="406">(3202.63+3241.71+3163.13+3161.63+3136.5)/5</f>
        <v>3181.1200000000003</v>
      </c>
      <c r="G2511" s="3">
        <v>1</v>
      </c>
      <c r="H2511">
        <v>3360</v>
      </c>
      <c r="I2511">
        <v>1520</v>
      </c>
      <c r="J2511">
        <v>21620</v>
      </c>
      <c r="K2511">
        <v>39680</v>
      </c>
      <c r="L2511" s="2">
        <v>26.134375000000006</v>
      </c>
      <c r="M2511" s="5">
        <v>170.53300000000002</v>
      </c>
      <c r="N2511" s="1">
        <v>291.68049999999999</v>
      </c>
      <c r="O2511" s="2">
        <v>-1.7</v>
      </c>
      <c r="P2511">
        <v>286</v>
      </c>
    </row>
    <row r="2512" spans="1:16" x14ac:dyDescent="0.35">
      <c r="A2512" s="4">
        <v>45627</v>
      </c>
      <c r="B2512" t="s">
        <v>21</v>
      </c>
      <c r="C2512" t="s">
        <v>12</v>
      </c>
      <c r="D2512">
        <v>1</v>
      </c>
      <c r="E2512" s="2">
        <v>2300</v>
      </c>
      <c r="F2512" s="2">
        <f t="shared" si="406"/>
        <v>3181.1200000000003</v>
      </c>
      <c r="G2512" s="3">
        <v>1</v>
      </c>
      <c r="H2512">
        <v>3360</v>
      </c>
      <c r="I2512">
        <v>1520</v>
      </c>
      <c r="J2512">
        <v>21620</v>
      </c>
      <c r="K2512">
        <v>39680</v>
      </c>
      <c r="L2512" s="2">
        <v>26.134375000000006</v>
      </c>
      <c r="M2512" s="5">
        <v>170.53300000000002</v>
      </c>
      <c r="N2512" s="1">
        <v>291.68049999999999</v>
      </c>
      <c r="O2512" s="2">
        <v>-1.7</v>
      </c>
      <c r="P2512">
        <v>286</v>
      </c>
    </row>
    <row r="2513" spans="1:16" x14ac:dyDescent="0.35">
      <c r="A2513" s="4">
        <v>45627</v>
      </c>
      <c r="B2513" t="s">
        <v>21</v>
      </c>
      <c r="C2513" t="s">
        <v>13</v>
      </c>
      <c r="D2513">
        <v>1</v>
      </c>
      <c r="E2513" s="2">
        <f>(3425*3+3450+3500)/5</f>
        <v>3445</v>
      </c>
      <c r="F2513" s="2">
        <f t="shared" si="406"/>
        <v>3181.1200000000003</v>
      </c>
      <c r="G2513" s="3">
        <v>1</v>
      </c>
      <c r="H2513">
        <v>3360</v>
      </c>
      <c r="I2513">
        <v>1520</v>
      </c>
      <c r="J2513">
        <v>21620</v>
      </c>
      <c r="K2513">
        <v>39680</v>
      </c>
      <c r="L2513" s="2">
        <v>26.134375000000006</v>
      </c>
      <c r="M2513" s="5">
        <v>170.53300000000002</v>
      </c>
      <c r="N2513" s="1">
        <v>291.68049999999999</v>
      </c>
      <c r="O2513" s="2">
        <v>-1.7</v>
      </c>
      <c r="P2513">
        <v>286</v>
      </c>
    </row>
    <row r="2514" spans="1:16" x14ac:dyDescent="0.35">
      <c r="A2514" s="4">
        <v>45627</v>
      </c>
      <c r="B2514" t="s">
        <v>21</v>
      </c>
      <c r="C2514" t="s">
        <v>14</v>
      </c>
      <c r="D2514">
        <v>1</v>
      </c>
      <c r="E2514" s="2">
        <f>(3571+3542+3564+3544+3442)/5</f>
        <v>3532.6</v>
      </c>
      <c r="F2514" s="2">
        <f t="shared" si="406"/>
        <v>3181.1200000000003</v>
      </c>
      <c r="G2514" s="3">
        <v>1</v>
      </c>
      <c r="H2514">
        <v>3360</v>
      </c>
      <c r="I2514">
        <v>1520</v>
      </c>
      <c r="J2514">
        <v>21620</v>
      </c>
      <c r="K2514">
        <v>39680</v>
      </c>
      <c r="L2514" s="2">
        <v>26.134375000000006</v>
      </c>
      <c r="M2514" s="5">
        <v>170.53300000000002</v>
      </c>
      <c r="N2514" s="1">
        <v>291.68049999999999</v>
      </c>
      <c r="O2514" s="2">
        <v>-1.7</v>
      </c>
      <c r="P2514">
        <v>286</v>
      </c>
    </row>
    <row r="2515" spans="1:16" x14ac:dyDescent="0.35">
      <c r="A2515" s="4">
        <v>45627</v>
      </c>
      <c r="B2515" t="s">
        <v>21</v>
      </c>
      <c r="C2515" t="s">
        <v>15</v>
      </c>
      <c r="D2515">
        <v>1</v>
      </c>
      <c r="E2515" s="2">
        <f>(3525+3575+3600*3)/5</f>
        <v>3580</v>
      </c>
      <c r="F2515" s="2">
        <f t="shared" si="406"/>
        <v>3181.1200000000003</v>
      </c>
      <c r="G2515" s="3">
        <v>1</v>
      </c>
      <c r="H2515">
        <v>3360</v>
      </c>
      <c r="I2515">
        <v>1520</v>
      </c>
      <c r="J2515">
        <v>21620</v>
      </c>
      <c r="K2515">
        <v>39680</v>
      </c>
      <c r="L2515" s="2">
        <v>26.134375000000006</v>
      </c>
      <c r="M2515" s="5">
        <v>170.53300000000002</v>
      </c>
      <c r="N2515" s="1">
        <v>291.68049999999999</v>
      </c>
      <c r="O2515" s="2">
        <v>-1.7</v>
      </c>
      <c r="P2515">
        <v>286</v>
      </c>
    </row>
    <row r="2516" spans="1:16" x14ac:dyDescent="0.35">
      <c r="A2516" s="4">
        <v>45627</v>
      </c>
      <c r="B2516" t="s">
        <v>22</v>
      </c>
      <c r="C2516" t="s">
        <v>10</v>
      </c>
      <c r="D2516">
        <v>0</v>
      </c>
      <c r="E2516" s="2" t="s">
        <v>27</v>
      </c>
      <c r="F2516" s="2">
        <f t="shared" ref="F2516:F2519" si="407">(3300*2+3175+3350+3233)/5</f>
        <v>3271.6</v>
      </c>
      <c r="G2516" s="3">
        <v>1</v>
      </c>
      <c r="H2516">
        <v>3360</v>
      </c>
      <c r="I2516">
        <v>1520</v>
      </c>
      <c r="J2516">
        <v>21620</v>
      </c>
      <c r="K2516">
        <v>39680</v>
      </c>
      <c r="L2516" s="2">
        <v>26.134375000000006</v>
      </c>
      <c r="M2516" s="5">
        <v>170.53300000000002</v>
      </c>
      <c r="N2516" s="1">
        <v>291.68049999999999</v>
      </c>
      <c r="O2516" s="2">
        <v>-1.7</v>
      </c>
      <c r="P2516">
        <v>286</v>
      </c>
    </row>
    <row r="2517" spans="1:16" x14ac:dyDescent="0.35">
      <c r="A2517" s="4">
        <v>45627</v>
      </c>
      <c r="B2517" t="s">
        <v>22</v>
      </c>
      <c r="C2517" t="s">
        <v>11</v>
      </c>
      <c r="D2517">
        <v>0</v>
      </c>
      <c r="E2517" s="2" t="s">
        <v>27</v>
      </c>
      <c r="F2517" s="2">
        <f t="shared" si="407"/>
        <v>3271.6</v>
      </c>
      <c r="G2517" s="3">
        <v>1</v>
      </c>
      <c r="H2517">
        <v>3360</v>
      </c>
      <c r="I2517">
        <v>1520</v>
      </c>
      <c r="J2517">
        <v>21620</v>
      </c>
      <c r="K2517">
        <v>39680</v>
      </c>
      <c r="L2517" s="2">
        <v>26.134375000000006</v>
      </c>
      <c r="M2517" s="5">
        <v>170.53300000000002</v>
      </c>
      <c r="N2517" s="1">
        <v>291.68049999999999</v>
      </c>
      <c r="O2517" s="2">
        <v>-1.7</v>
      </c>
      <c r="P2517">
        <v>286</v>
      </c>
    </row>
    <row r="2518" spans="1:16" x14ac:dyDescent="0.35">
      <c r="A2518" s="4">
        <v>45627</v>
      </c>
      <c r="B2518" t="s">
        <v>22</v>
      </c>
      <c r="C2518" t="s">
        <v>12</v>
      </c>
      <c r="D2518">
        <v>0</v>
      </c>
      <c r="E2518" s="2" t="s">
        <v>27</v>
      </c>
      <c r="F2518" s="2">
        <f t="shared" si="407"/>
        <v>3271.6</v>
      </c>
      <c r="G2518" s="3">
        <v>1</v>
      </c>
      <c r="H2518">
        <v>3360</v>
      </c>
      <c r="I2518">
        <v>1520</v>
      </c>
      <c r="J2518">
        <v>21620</v>
      </c>
      <c r="K2518">
        <v>39680</v>
      </c>
      <c r="L2518" s="2">
        <v>26.134375000000006</v>
      </c>
      <c r="M2518" s="5">
        <v>170.53300000000002</v>
      </c>
      <c r="N2518" s="1">
        <v>291.68049999999999</v>
      </c>
      <c r="O2518" s="2">
        <v>-1.7</v>
      </c>
      <c r="P2518">
        <v>286</v>
      </c>
    </row>
    <row r="2519" spans="1:16" x14ac:dyDescent="0.35">
      <c r="A2519" s="4">
        <v>45627</v>
      </c>
      <c r="B2519" t="s">
        <v>22</v>
      </c>
      <c r="C2519" t="s">
        <v>13</v>
      </c>
      <c r="D2519">
        <v>0</v>
      </c>
      <c r="E2519" s="2" t="s">
        <v>27</v>
      </c>
      <c r="F2519" s="2">
        <f t="shared" si="407"/>
        <v>3271.6</v>
      </c>
      <c r="G2519" s="3">
        <v>1</v>
      </c>
      <c r="H2519">
        <v>3360</v>
      </c>
      <c r="I2519">
        <v>1520</v>
      </c>
      <c r="J2519">
        <v>21620</v>
      </c>
      <c r="K2519">
        <v>39680</v>
      </c>
      <c r="L2519" s="2">
        <v>26.134375000000006</v>
      </c>
      <c r="M2519" s="5">
        <v>170.53300000000002</v>
      </c>
      <c r="N2519" s="1">
        <v>291.68049999999999</v>
      </c>
      <c r="O2519" s="2">
        <v>-1.7</v>
      </c>
      <c r="P2519">
        <v>286</v>
      </c>
    </row>
    <row r="2520" spans="1:16" x14ac:dyDescent="0.35">
      <c r="A2520" s="4">
        <v>45627</v>
      </c>
      <c r="B2520" t="s">
        <v>22</v>
      </c>
      <c r="C2520" t="s">
        <v>14</v>
      </c>
      <c r="D2520">
        <v>1</v>
      </c>
      <c r="E2520" s="2">
        <f>(3300*2+3175+3350+3233)/5</f>
        <v>3271.6</v>
      </c>
      <c r="F2520" s="2">
        <f>(3300*2+3175+3350+3233)/5</f>
        <v>3271.6</v>
      </c>
      <c r="G2520" s="3">
        <v>1</v>
      </c>
      <c r="H2520">
        <v>3360</v>
      </c>
      <c r="I2520">
        <v>1520</v>
      </c>
      <c r="J2520">
        <v>21620</v>
      </c>
      <c r="K2520">
        <v>39680</v>
      </c>
      <c r="L2520" s="2">
        <v>26.134375000000006</v>
      </c>
      <c r="M2520" s="5">
        <v>170.53300000000002</v>
      </c>
      <c r="N2520" s="1">
        <v>291.68049999999999</v>
      </c>
      <c r="O2520" s="2">
        <v>-1.7</v>
      </c>
      <c r="P2520">
        <v>286</v>
      </c>
    </row>
    <row r="2521" spans="1:16" x14ac:dyDescent="0.35">
      <c r="A2521" s="4">
        <v>45627</v>
      </c>
      <c r="B2521" t="s">
        <v>22</v>
      </c>
      <c r="C2521" t="s">
        <v>15</v>
      </c>
      <c r="D2521">
        <v>0</v>
      </c>
      <c r="E2521" s="2" t="s">
        <v>27</v>
      </c>
      <c r="F2521" s="2">
        <f>(3300*2+3175+3350+3233)/5</f>
        <v>3271.6</v>
      </c>
      <c r="G2521" s="3">
        <v>0</v>
      </c>
      <c r="H2521">
        <v>3360</v>
      </c>
      <c r="I2521">
        <v>1520</v>
      </c>
      <c r="J2521">
        <v>21620</v>
      </c>
      <c r="K2521">
        <v>39680</v>
      </c>
      <c r="L2521" s="2">
        <v>26.134375000000006</v>
      </c>
      <c r="M2521" s="5">
        <v>170.53300000000002</v>
      </c>
      <c r="N2521" s="1">
        <v>291.68049999999999</v>
      </c>
      <c r="O2521" s="2">
        <v>-1.7</v>
      </c>
      <c r="P2521">
        <v>286</v>
      </c>
    </row>
    <row r="2522" spans="1:16" x14ac:dyDescent="0.35">
      <c r="A2522" s="4">
        <v>45658</v>
      </c>
      <c r="B2522" t="s">
        <v>16</v>
      </c>
      <c r="C2522" t="s">
        <v>10</v>
      </c>
      <c r="D2522">
        <v>1</v>
      </c>
      <c r="E2522" s="2">
        <v>4500</v>
      </c>
      <c r="F2522" s="2">
        <f>(4651.25+4576.25+4495+4570)/4</f>
        <v>4573.125</v>
      </c>
      <c r="G2522" s="3">
        <v>0</v>
      </c>
      <c r="H2522">
        <v>0</v>
      </c>
      <c r="I2522" t="s">
        <v>27</v>
      </c>
      <c r="J2522">
        <v>21820</v>
      </c>
      <c r="K2522">
        <v>27000</v>
      </c>
      <c r="L2522" s="2">
        <v>25.222499999999997</v>
      </c>
      <c r="M2522" s="5">
        <v>274.39300000000003</v>
      </c>
      <c r="N2522" s="1">
        <v>296.17959999999999</v>
      </c>
      <c r="O2522" s="2">
        <v>-4</v>
      </c>
      <c r="P2522">
        <v>286</v>
      </c>
    </row>
    <row r="2523" spans="1:16" x14ac:dyDescent="0.35">
      <c r="A2523" s="4">
        <v>45658</v>
      </c>
      <c r="B2523" t="s">
        <v>16</v>
      </c>
      <c r="C2523" t="s">
        <v>11</v>
      </c>
      <c r="D2523">
        <v>0</v>
      </c>
      <c r="E2523" s="2" t="s">
        <v>27</v>
      </c>
      <c r="F2523" s="2">
        <f t="shared" ref="F2523:F2527" si="408">(4651.25+4576.25+4495+4570)/4</f>
        <v>4573.125</v>
      </c>
      <c r="G2523" s="3">
        <v>0</v>
      </c>
      <c r="H2523">
        <v>0</v>
      </c>
      <c r="I2523" t="s">
        <v>27</v>
      </c>
      <c r="J2523">
        <v>21820</v>
      </c>
      <c r="K2523">
        <v>27000</v>
      </c>
      <c r="L2523" s="2">
        <v>25.222499999999997</v>
      </c>
      <c r="M2523" s="5">
        <v>274.39300000000003</v>
      </c>
      <c r="N2523" s="1">
        <v>296.17959999999999</v>
      </c>
      <c r="O2523" s="2">
        <v>-4</v>
      </c>
      <c r="P2523">
        <v>286</v>
      </c>
    </row>
    <row r="2524" spans="1:16" x14ac:dyDescent="0.35">
      <c r="A2524" s="4">
        <v>45658</v>
      </c>
      <c r="B2524" t="s">
        <v>16</v>
      </c>
      <c r="C2524" t="s">
        <v>12</v>
      </c>
      <c r="D2524">
        <v>1</v>
      </c>
      <c r="E2524" s="2">
        <v>4480</v>
      </c>
      <c r="F2524" s="2">
        <f t="shared" si="408"/>
        <v>4573.125</v>
      </c>
      <c r="G2524" s="3">
        <v>0</v>
      </c>
      <c r="H2524">
        <v>0</v>
      </c>
      <c r="I2524" t="s">
        <v>27</v>
      </c>
      <c r="J2524">
        <v>21820</v>
      </c>
      <c r="K2524">
        <v>27000</v>
      </c>
      <c r="L2524" s="2">
        <v>25.222499999999997</v>
      </c>
      <c r="M2524" s="5">
        <v>274.39300000000003</v>
      </c>
      <c r="N2524" s="1">
        <v>296.17959999999999</v>
      </c>
      <c r="O2524" s="2">
        <v>-4</v>
      </c>
      <c r="P2524">
        <v>286</v>
      </c>
    </row>
    <row r="2525" spans="1:16" x14ac:dyDescent="0.35">
      <c r="A2525" s="4">
        <v>45658</v>
      </c>
      <c r="B2525" t="s">
        <v>16</v>
      </c>
      <c r="C2525" t="s">
        <v>13</v>
      </c>
      <c r="D2525">
        <v>1</v>
      </c>
      <c r="E2525" s="2">
        <f>(5100+4800+4500+4750)/4</f>
        <v>4787.5</v>
      </c>
      <c r="F2525" s="2">
        <f t="shared" si="408"/>
        <v>4573.125</v>
      </c>
      <c r="G2525" s="3">
        <v>0</v>
      </c>
      <c r="H2525">
        <v>0</v>
      </c>
      <c r="I2525" t="s">
        <v>27</v>
      </c>
      <c r="J2525">
        <v>21820</v>
      </c>
      <c r="K2525">
        <v>27000</v>
      </c>
      <c r="L2525" s="2">
        <v>25.222499999999997</v>
      </c>
      <c r="M2525" s="5">
        <v>274.39300000000003</v>
      </c>
      <c r="N2525" s="1">
        <v>296.17959999999999</v>
      </c>
      <c r="O2525" s="2">
        <v>-4</v>
      </c>
      <c r="P2525">
        <v>286</v>
      </c>
    </row>
    <row r="2526" spans="1:16" x14ac:dyDescent="0.35">
      <c r="A2526" s="4">
        <v>45658</v>
      </c>
      <c r="B2526" t="s">
        <v>16</v>
      </c>
      <c r="C2526" t="s">
        <v>14</v>
      </c>
      <c r="D2526">
        <v>1</v>
      </c>
      <c r="E2526" s="2">
        <f>(4550+4500+4525*2)/4</f>
        <v>4525</v>
      </c>
      <c r="F2526" s="2">
        <f t="shared" si="408"/>
        <v>4573.125</v>
      </c>
      <c r="G2526" s="3">
        <v>0</v>
      </c>
      <c r="H2526">
        <v>0</v>
      </c>
      <c r="I2526" t="s">
        <v>27</v>
      </c>
      <c r="J2526">
        <v>21820</v>
      </c>
      <c r="K2526">
        <v>27000</v>
      </c>
      <c r="L2526" s="2">
        <v>25.222499999999997</v>
      </c>
      <c r="M2526" s="5">
        <v>274.39300000000003</v>
      </c>
      <c r="N2526" s="1">
        <v>296.17959999999999</v>
      </c>
      <c r="O2526" s="2">
        <v>-4</v>
      </c>
      <c r="P2526">
        <v>286</v>
      </c>
    </row>
    <row r="2527" spans="1:16" x14ac:dyDescent="0.35">
      <c r="A2527" s="4">
        <v>45658</v>
      </c>
      <c r="B2527" t="s">
        <v>16</v>
      </c>
      <c r="C2527" t="s">
        <v>15</v>
      </c>
      <c r="D2527">
        <v>0</v>
      </c>
      <c r="E2527" s="2" t="s">
        <v>27</v>
      </c>
      <c r="F2527" s="2">
        <f t="shared" si="408"/>
        <v>4573.125</v>
      </c>
      <c r="G2527" s="3">
        <v>0</v>
      </c>
      <c r="H2527">
        <v>0</v>
      </c>
      <c r="I2527" t="s">
        <v>27</v>
      </c>
      <c r="J2527">
        <v>21820</v>
      </c>
      <c r="K2527">
        <v>27000</v>
      </c>
      <c r="L2527" s="2">
        <v>25.222499999999997</v>
      </c>
      <c r="M2527" s="5">
        <v>274.39300000000003</v>
      </c>
      <c r="N2527" s="1">
        <v>296.17959999999999</v>
      </c>
      <c r="O2527" s="2">
        <v>-4</v>
      </c>
      <c r="P2527">
        <v>286</v>
      </c>
    </row>
    <row r="2528" spans="1:16" x14ac:dyDescent="0.35">
      <c r="A2528" s="4">
        <v>45658</v>
      </c>
      <c r="B2528" t="s">
        <v>17</v>
      </c>
      <c r="C2528" t="s">
        <v>10</v>
      </c>
      <c r="D2528">
        <v>1</v>
      </c>
      <c r="E2528" s="2">
        <v>3875</v>
      </c>
      <c r="F2528" s="2">
        <f>(4033+4013+4049.6+4014.6)/4</f>
        <v>4027.55</v>
      </c>
      <c r="G2528" s="3">
        <v>0</v>
      </c>
      <c r="H2528">
        <v>0</v>
      </c>
      <c r="I2528" t="s">
        <v>27</v>
      </c>
      <c r="J2528">
        <v>21820</v>
      </c>
      <c r="K2528">
        <v>27000</v>
      </c>
      <c r="L2528" s="2">
        <v>25.222499999999997</v>
      </c>
      <c r="M2528" s="5">
        <v>274.39300000000003</v>
      </c>
      <c r="N2528" s="1">
        <v>296.17959999999999</v>
      </c>
      <c r="O2528" s="2">
        <v>-4</v>
      </c>
      <c r="P2528">
        <v>286</v>
      </c>
    </row>
    <row r="2529" spans="1:16" x14ac:dyDescent="0.35">
      <c r="A2529" s="4">
        <v>45658</v>
      </c>
      <c r="B2529" t="s">
        <v>17</v>
      </c>
      <c r="C2529" t="s">
        <v>11</v>
      </c>
      <c r="D2529">
        <v>1</v>
      </c>
      <c r="E2529" s="2">
        <v>4000</v>
      </c>
      <c r="F2529" s="2">
        <f t="shared" ref="F2529:F2533" si="409">(4033+4013+4049.6+4014.6)/4</f>
        <v>4027.55</v>
      </c>
      <c r="G2529" s="3">
        <v>0</v>
      </c>
      <c r="H2529">
        <v>0</v>
      </c>
      <c r="I2529" t="s">
        <v>27</v>
      </c>
      <c r="J2529">
        <v>21820</v>
      </c>
      <c r="K2529">
        <v>27000</v>
      </c>
      <c r="L2529" s="2">
        <v>25.222499999999997</v>
      </c>
      <c r="M2529" s="5">
        <v>274.39300000000003</v>
      </c>
      <c r="N2529" s="1">
        <v>296.17959999999999</v>
      </c>
      <c r="O2529" s="2">
        <v>-4</v>
      </c>
      <c r="P2529">
        <v>286</v>
      </c>
    </row>
    <row r="2530" spans="1:16" x14ac:dyDescent="0.35">
      <c r="A2530" s="4">
        <v>45658</v>
      </c>
      <c r="B2530" t="s">
        <v>17</v>
      </c>
      <c r="C2530" t="s">
        <v>12</v>
      </c>
      <c r="D2530">
        <v>1</v>
      </c>
      <c r="E2530" s="2">
        <v>4065</v>
      </c>
      <c r="F2530" s="2">
        <f t="shared" si="409"/>
        <v>4027.55</v>
      </c>
      <c r="G2530" s="3">
        <v>0</v>
      </c>
      <c r="H2530">
        <v>0</v>
      </c>
      <c r="I2530" t="s">
        <v>27</v>
      </c>
      <c r="J2530">
        <v>21820</v>
      </c>
      <c r="K2530">
        <v>27000</v>
      </c>
      <c r="L2530" s="2">
        <v>25.222499999999997</v>
      </c>
      <c r="M2530" s="5">
        <v>274.39300000000003</v>
      </c>
      <c r="N2530" s="1">
        <v>296.17959999999999</v>
      </c>
      <c r="O2530" s="2">
        <v>-4</v>
      </c>
      <c r="P2530">
        <v>286</v>
      </c>
    </row>
    <row r="2531" spans="1:16" x14ac:dyDescent="0.35">
      <c r="A2531" s="4">
        <v>45658</v>
      </c>
      <c r="B2531" t="s">
        <v>17</v>
      </c>
      <c r="C2531" t="s">
        <v>13</v>
      </c>
      <c r="D2531">
        <v>1</v>
      </c>
      <c r="E2531" s="2">
        <f>(4200+4100+4250+4025)/4</f>
        <v>4143.75</v>
      </c>
      <c r="F2531" s="2">
        <f t="shared" si="409"/>
        <v>4027.55</v>
      </c>
      <c r="G2531" s="3">
        <v>0</v>
      </c>
      <c r="H2531">
        <v>0</v>
      </c>
      <c r="I2531" t="s">
        <v>27</v>
      </c>
      <c r="J2531">
        <v>21820</v>
      </c>
      <c r="K2531">
        <v>27000</v>
      </c>
      <c r="L2531" s="2">
        <v>25.222499999999997</v>
      </c>
      <c r="M2531" s="5">
        <v>274.39300000000003</v>
      </c>
      <c r="N2531" s="1">
        <v>296.17959999999999</v>
      </c>
      <c r="O2531" s="2">
        <v>-4</v>
      </c>
      <c r="P2531">
        <v>286</v>
      </c>
    </row>
    <row r="2532" spans="1:16" x14ac:dyDescent="0.35">
      <c r="A2532" s="4">
        <v>45658</v>
      </c>
      <c r="B2532" t="s">
        <v>17</v>
      </c>
      <c r="C2532" t="s">
        <v>14</v>
      </c>
      <c r="D2532">
        <v>1</v>
      </c>
      <c r="E2532" s="2">
        <f>(4083+4033+4000+4100)/4</f>
        <v>4054</v>
      </c>
      <c r="F2532" s="2">
        <f t="shared" si="409"/>
        <v>4027.55</v>
      </c>
      <c r="G2532" s="3">
        <v>0</v>
      </c>
      <c r="H2532">
        <v>0</v>
      </c>
      <c r="I2532" t="s">
        <v>27</v>
      </c>
      <c r="J2532">
        <v>21820</v>
      </c>
      <c r="K2532">
        <v>27000</v>
      </c>
      <c r="L2532" s="2">
        <v>25.222499999999997</v>
      </c>
      <c r="M2532" s="5">
        <v>274.39300000000003</v>
      </c>
      <c r="N2532" s="1">
        <v>296.17959999999999</v>
      </c>
      <c r="O2532" s="2">
        <v>-4</v>
      </c>
      <c r="P2532">
        <v>286</v>
      </c>
    </row>
    <row r="2533" spans="1:16" x14ac:dyDescent="0.35">
      <c r="A2533" s="4">
        <v>45658</v>
      </c>
      <c r="B2533" t="s">
        <v>17</v>
      </c>
      <c r="C2533" t="s">
        <v>15</v>
      </c>
      <c r="D2533">
        <v>0</v>
      </c>
      <c r="E2533" s="2" t="s">
        <v>27</v>
      </c>
      <c r="F2533" s="2">
        <f t="shared" si="409"/>
        <v>4027.55</v>
      </c>
      <c r="G2533" s="3">
        <v>0</v>
      </c>
      <c r="H2533">
        <v>0</v>
      </c>
      <c r="I2533" t="s">
        <v>27</v>
      </c>
      <c r="J2533">
        <v>21820</v>
      </c>
      <c r="K2533">
        <v>27000</v>
      </c>
      <c r="L2533" s="2">
        <v>25.222499999999997</v>
      </c>
      <c r="M2533" s="5">
        <v>274.39300000000003</v>
      </c>
      <c r="N2533" s="1">
        <v>296.17959999999999</v>
      </c>
      <c r="O2533" s="2">
        <v>-4</v>
      </c>
      <c r="P2533">
        <v>286</v>
      </c>
    </row>
    <row r="2534" spans="1:16" x14ac:dyDescent="0.35">
      <c r="A2534" s="4">
        <v>45658</v>
      </c>
      <c r="B2534" t="s">
        <v>18</v>
      </c>
      <c r="C2534" t="s">
        <v>10</v>
      </c>
      <c r="D2534">
        <v>1</v>
      </c>
      <c r="E2534" s="2">
        <v>3725</v>
      </c>
      <c r="F2534" s="2">
        <f>(3775.63+3819.38+3803.13+3821.25)/4</f>
        <v>3804.8474999999999</v>
      </c>
      <c r="G2534" s="3">
        <v>0</v>
      </c>
      <c r="H2534">
        <v>0</v>
      </c>
      <c r="I2534" t="s">
        <v>27</v>
      </c>
      <c r="J2534">
        <v>21820</v>
      </c>
      <c r="K2534">
        <v>27000</v>
      </c>
      <c r="L2534" s="2">
        <v>25.222499999999997</v>
      </c>
      <c r="M2534" s="5">
        <v>274.39300000000003</v>
      </c>
      <c r="N2534" s="1">
        <v>296.17959999999999</v>
      </c>
      <c r="O2534" s="2">
        <v>-4</v>
      </c>
      <c r="P2534">
        <v>286</v>
      </c>
    </row>
    <row r="2535" spans="1:16" x14ac:dyDescent="0.35">
      <c r="A2535" s="4">
        <v>45658</v>
      </c>
      <c r="B2535" t="s">
        <v>18</v>
      </c>
      <c r="C2535" t="s">
        <v>11</v>
      </c>
      <c r="D2535">
        <v>1</v>
      </c>
      <c r="E2535" s="2">
        <v>3875</v>
      </c>
      <c r="F2535" s="2">
        <f t="shared" ref="F2535:F2539" si="410">(3775.63+3819.38+3803.13+3821.25)/4</f>
        <v>3804.8474999999999</v>
      </c>
      <c r="G2535" s="3">
        <v>0</v>
      </c>
      <c r="H2535">
        <v>0</v>
      </c>
      <c r="I2535" t="s">
        <v>27</v>
      </c>
      <c r="J2535">
        <v>21820</v>
      </c>
      <c r="K2535">
        <v>27000</v>
      </c>
      <c r="L2535" s="2">
        <v>25.222499999999997</v>
      </c>
      <c r="M2535" s="5">
        <v>274.39300000000003</v>
      </c>
      <c r="N2535" s="1">
        <v>296.17959999999999</v>
      </c>
      <c r="O2535" s="2">
        <v>-4</v>
      </c>
      <c r="P2535">
        <v>286</v>
      </c>
    </row>
    <row r="2536" spans="1:16" x14ac:dyDescent="0.35">
      <c r="A2536" s="4">
        <v>45658</v>
      </c>
      <c r="B2536" t="s">
        <v>18</v>
      </c>
      <c r="C2536" t="s">
        <v>12</v>
      </c>
      <c r="D2536">
        <v>1</v>
      </c>
      <c r="E2536" s="2">
        <v>3695</v>
      </c>
      <c r="F2536" s="2">
        <f t="shared" si="410"/>
        <v>3804.8474999999999</v>
      </c>
      <c r="G2536" s="3">
        <v>0</v>
      </c>
      <c r="H2536">
        <v>0</v>
      </c>
      <c r="I2536" t="s">
        <v>27</v>
      </c>
      <c r="J2536">
        <v>21820</v>
      </c>
      <c r="K2536">
        <v>27000</v>
      </c>
      <c r="L2536" s="2">
        <v>25.222499999999997</v>
      </c>
      <c r="M2536" s="5">
        <v>274.39300000000003</v>
      </c>
      <c r="N2536" s="1">
        <v>296.17959999999999</v>
      </c>
      <c r="O2536" s="2">
        <v>-4</v>
      </c>
      <c r="P2536">
        <v>286</v>
      </c>
    </row>
    <row r="2537" spans="1:16" x14ac:dyDescent="0.35">
      <c r="A2537" s="4">
        <v>45658</v>
      </c>
      <c r="B2537" t="s">
        <v>18</v>
      </c>
      <c r="C2537" t="s">
        <v>13</v>
      </c>
      <c r="D2537">
        <v>1</v>
      </c>
      <c r="E2537" s="2">
        <f>(3925+3800+3950+3550)/4</f>
        <v>3806.25</v>
      </c>
      <c r="F2537" s="2">
        <f t="shared" si="410"/>
        <v>3804.8474999999999</v>
      </c>
      <c r="G2537" s="3">
        <v>0</v>
      </c>
      <c r="H2537">
        <v>0</v>
      </c>
      <c r="I2537" t="s">
        <v>27</v>
      </c>
      <c r="J2537">
        <v>21820</v>
      </c>
      <c r="K2537">
        <v>27000</v>
      </c>
      <c r="L2537" s="2">
        <v>25.222499999999997</v>
      </c>
      <c r="M2537" s="5">
        <v>274.39300000000003</v>
      </c>
      <c r="N2537" s="1">
        <v>296.17959999999999</v>
      </c>
      <c r="O2537" s="2">
        <v>-4</v>
      </c>
      <c r="P2537">
        <v>286</v>
      </c>
    </row>
    <row r="2538" spans="1:16" x14ac:dyDescent="0.35">
      <c r="A2538" s="4">
        <v>45658</v>
      </c>
      <c r="B2538" t="s">
        <v>18</v>
      </c>
      <c r="C2538" t="s">
        <v>14</v>
      </c>
      <c r="D2538">
        <v>1</v>
      </c>
      <c r="E2538" s="2">
        <v>3850</v>
      </c>
      <c r="F2538" s="2">
        <f t="shared" si="410"/>
        <v>3804.8474999999999</v>
      </c>
      <c r="G2538" s="3">
        <v>0</v>
      </c>
      <c r="H2538">
        <v>0</v>
      </c>
      <c r="I2538" t="s">
        <v>27</v>
      </c>
      <c r="J2538">
        <v>21820</v>
      </c>
      <c r="K2538">
        <v>27000</v>
      </c>
      <c r="L2538" s="2">
        <v>25.222499999999997</v>
      </c>
      <c r="M2538" s="5">
        <v>274.39300000000003</v>
      </c>
      <c r="N2538" s="1">
        <v>296.17959999999999</v>
      </c>
      <c r="O2538" s="2">
        <v>-4</v>
      </c>
      <c r="P2538">
        <v>286</v>
      </c>
    </row>
    <row r="2539" spans="1:16" x14ac:dyDescent="0.35">
      <c r="A2539" s="4">
        <v>45658</v>
      </c>
      <c r="B2539" t="s">
        <v>18</v>
      </c>
      <c r="C2539" t="s">
        <v>15</v>
      </c>
      <c r="D2539">
        <v>1</v>
      </c>
      <c r="E2539" s="2">
        <f>(3800+4000*2+3950)/4</f>
        <v>3937.5</v>
      </c>
      <c r="F2539" s="2">
        <f t="shared" si="410"/>
        <v>3804.8474999999999</v>
      </c>
      <c r="G2539" s="3">
        <v>0</v>
      </c>
      <c r="H2539">
        <v>0</v>
      </c>
      <c r="I2539" t="s">
        <v>27</v>
      </c>
      <c r="J2539">
        <v>21820</v>
      </c>
      <c r="K2539">
        <v>27000</v>
      </c>
      <c r="L2539" s="2">
        <v>25.222499999999997</v>
      </c>
      <c r="M2539" s="5">
        <v>274.39300000000003</v>
      </c>
      <c r="N2539" s="1">
        <v>296.17959999999999</v>
      </c>
      <c r="O2539" s="2">
        <v>-4</v>
      </c>
      <c r="P2539">
        <v>286</v>
      </c>
    </row>
    <row r="2540" spans="1:16" x14ac:dyDescent="0.35">
      <c r="A2540" s="4">
        <v>45658</v>
      </c>
      <c r="B2540" t="s">
        <v>19</v>
      </c>
      <c r="C2540" t="s">
        <v>10</v>
      </c>
      <c r="D2540">
        <v>1</v>
      </c>
      <c r="E2540" s="2">
        <v>3600</v>
      </c>
      <c r="F2540" s="2">
        <f>(3669.25+3655.22+3647.33+3652.63)/4</f>
        <v>3656.1075000000001</v>
      </c>
      <c r="G2540" s="3">
        <v>0</v>
      </c>
      <c r="H2540">
        <v>0</v>
      </c>
      <c r="I2540" t="s">
        <v>27</v>
      </c>
      <c r="J2540">
        <v>21820</v>
      </c>
      <c r="K2540">
        <v>27000</v>
      </c>
      <c r="L2540" s="2">
        <v>25.222499999999997</v>
      </c>
      <c r="M2540" s="5">
        <v>274.39300000000003</v>
      </c>
      <c r="N2540" s="1">
        <v>296.17959999999999</v>
      </c>
      <c r="O2540" s="2">
        <v>-4</v>
      </c>
      <c r="P2540">
        <v>286</v>
      </c>
    </row>
    <row r="2541" spans="1:16" x14ac:dyDescent="0.35">
      <c r="A2541" s="4">
        <v>45658</v>
      </c>
      <c r="B2541" t="s">
        <v>19</v>
      </c>
      <c r="C2541" t="s">
        <v>11</v>
      </c>
      <c r="D2541">
        <v>1</v>
      </c>
      <c r="E2541" s="2">
        <f>(3600+3800+3750+3700)/4</f>
        <v>3712.5</v>
      </c>
      <c r="F2541" s="2">
        <f t="shared" ref="F2541:F2545" si="411">(3669.25+3655.22+3647.33+3652.63)/4</f>
        <v>3656.1075000000001</v>
      </c>
      <c r="G2541" s="3">
        <v>0</v>
      </c>
      <c r="H2541">
        <v>0</v>
      </c>
      <c r="I2541" t="s">
        <v>27</v>
      </c>
      <c r="J2541">
        <v>21820</v>
      </c>
      <c r="K2541">
        <v>27000</v>
      </c>
      <c r="L2541" s="2">
        <v>25.222499999999997</v>
      </c>
      <c r="M2541" s="5">
        <v>274.39300000000003</v>
      </c>
      <c r="N2541" s="1">
        <v>296.17959999999999</v>
      </c>
      <c r="O2541" s="2">
        <v>-4</v>
      </c>
      <c r="P2541">
        <v>286</v>
      </c>
    </row>
    <row r="2542" spans="1:16" x14ac:dyDescent="0.35">
      <c r="A2542" s="4">
        <v>45658</v>
      </c>
      <c r="B2542" t="s">
        <v>19</v>
      </c>
      <c r="C2542" t="s">
        <v>12</v>
      </c>
      <c r="D2542">
        <v>1</v>
      </c>
      <c r="E2542" s="2">
        <v>3490</v>
      </c>
      <c r="F2542" s="2">
        <f t="shared" si="411"/>
        <v>3656.1075000000001</v>
      </c>
      <c r="G2542" s="3">
        <v>0</v>
      </c>
      <c r="H2542">
        <v>0</v>
      </c>
      <c r="I2542" t="s">
        <v>27</v>
      </c>
      <c r="J2542">
        <v>21820</v>
      </c>
      <c r="K2542">
        <v>27000</v>
      </c>
      <c r="L2542" s="2">
        <v>25.222499999999997</v>
      </c>
      <c r="M2542" s="5">
        <v>274.39300000000003</v>
      </c>
      <c r="N2542" s="1">
        <v>296.17959999999999</v>
      </c>
      <c r="O2542" s="2">
        <v>-4</v>
      </c>
      <c r="P2542">
        <v>286</v>
      </c>
    </row>
    <row r="2543" spans="1:16" x14ac:dyDescent="0.35">
      <c r="A2543" s="4">
        <v>45658</v>
      </c>
      <c r="B2543" t="s">
        <v>19</v>
      </c>
      <c r="C2543" t="s">
        <v>13</v>
      </c>
      <c r="D2543">
        <v>1</v>
      </c>
      <c r="E2543" s="2">
        <v>3800</v>
      </c>
      <c r="F2543" s="2">
        <f t="shared" si="411"/>
        <v>3656.1075000000001</v>
      </c>
      <c r="G2543" s="3">
        <v>0</v>
      </c>
      <c r="H2543">
        <v>0</v>
      </c>
      <c r="I2543" t="s">
        <v>27</v>
      </c>
      <c r="J2543">
        <v>21820</v>
      </c>
      <c r="K2543">
        <v>27000</v>
      </c>
      <c r="L2543" s="2">
        <v>25.222499999999997</v>
      </c>
      <c r="M2543" s="5">
        <v>274.39300000000003</v>
      </c>
      <c r="N2543" s="1">
        <v>296.17959999999999</v>
      </c>
      <c r="O2543" s="2">
        <v>-4</v>
      </c>
      <c r="P2543">
        <v>286</v>
      </c>
    </row>
    <row r="2544" spans="1:16" x14ac:dyDescent="0.35">
      <c r="A2544" s="4">
        <v>45658</v>
      </c>
      <c r="B2544" t="s">
        <v>19</v>
      </c>
      <c r="C2544" t="s">
        <v>14</v>
      </c>
      <c r="D2544">
        <v>1</v>
      </c>
      <c r="E2544" s="2">
        <f>(3736+3781+3707+3764)/4</f>
        <v>3747</v>
      </c>
      <c r="F2544" s="2">
        <f t="shared" si="411"/>
        <v>3656.1075000000001</v>
      </c>
      <c r="G2544" s="3">
        <v>0</v>
      </c>
      <c r="H2544">
        <v>0</v>
      </c>
      <c r="I2544" t="s">
        <v>27</v>
      </c>
      <c r="J2544">
        <v>21820</v>
      </c>
      <c r="K2544">
        <v>27000</v>
      </c>
      <c r="L2544" s="2">
        <v>25.222499999999997</v>
      </c>
      <c r="M2544" s="5">
        <v>274.39300000000003</v>
      </c>
      <c r="N2544" s="1">
        <v>296.17959999999999</v>
      </c>
      <c r="O2544" s="2">
        <v>-4</v>
      </c>
      <c r="P2544">
        <v>286</v>
      </c>
    </row>
    <row r="2545" spans="1:16" x14ac:dyDescent="0.35">
      <c r="A2545" s="4">
        <v>45658</v>
      </c>
      <c r="B2545" t="s">
        <v>19</v>
      </c>
      <c r="C2545" t="s">
        <v>15</v>
      </c>
      <c r="D2545">
        <v>1</v>
      </c>
      <c r="E2545" s="2">
        <f>(3700+3825*2+3800)/4</f>
        <v>3787.5</v>
      </c>
      <c r="F2545" s="2">
        <f t="shared" si="411"/>
        <v>3656.1075000000001</v>
      </c>
      <c r="G2545" s="3">
        <v>0</v>
      </c>
      <c r="H2545">
        <v>0</v>
      </c>
      <c r="I2545" t="s">
        <v>27</v>
      </c>
      <c r="J2545">
        <v>21820</v>
      </c>
      <c r="K2545">
        <v>27000</v>
      </c>
      <c r="L2545" s="2">
        <v>25.222499999999997</v>
      </c>
      <c r="M2545" s="5">
        <v>274.39300000000003</v>
      </c>
      <c r="N2545" s="1">
        <v>296.17959999999999</v>
      </c>
      <c r="O2545" s="2">
        <v>-4</v>
      </c>
      <c r="P2545">
        <v>286</v>
      </c>
    </row>
    <row r="2546" spans="1:16" x14ac:dyDescent="0.35">
      <c r="A2546" s="4">
        <v>45658</v>
      </c>
      <c r="B2546" t="s">
        <v>20</v>
      </c>
      <c r="C2546" t="s">
        <v>10</v>
      </c>
      <c r="D2546">
        <v>1</v>
      </c>
      <c r="E2546" s="2">
        <v>3425</v>
      </c>
      <c r="F2546" s="2">
        <f>(3347.5+3258.75+3273.75+3321.25)/4</f>
        <v>3300.3125</v>
      </c>
      <c r="G2546" s="3">
        <v>0</v>
      </c>
      <c r="H2546">
        <v>0</v>
      </c>
      <c r="I2546" t="s">
        <v>27</v>
      </c>
      <c r="J2546">
        <v>21820</v>
      </c>
      <c r="K2546">
        <v>27000</v>
      </c>
      <c r="L2546" s="2">
        <v>25.222499999999997</v>
      </c>
      <c r="M2546" s="5">
        <v>274.39300000000003</v>
      </c>
      <c r="N2546" s="1">
        <v>296.17959999999999</v>
      </c>
      <c r="O2546" s="2">
        <v>-4</v>
      </c>
      <c r="P2546">
        <v>286</v>
      </c>
    </row>
    <row r="2547" spans="1:16" x14ac:dyDescent="0.35">
      <c r="A2547" s="4">
        <v>45658</v>
      </c>
      <c r="B2547" t="s">
        <v>20</v>
      </c>
      <c r="C2547" t="s">
        <v>11</v>
      </c>
      <c r="D2547">
        <v>1</v>
      </c>
      <c r="E2547" s="2">
        <v>3325</v>
      </c>
      <c r="F2547" s="2">
        <f t="shared" ref="F2547:F2551" si="412">(3347.5+3258.75+3273.75+3321.25)/4</f>
        <v>3300.3125</v>
      </c>
      <c r="G2547" s="3">
        <v>0</v>
      </c>
      <c r="H2547">
        <v>0</v>
      </c>
      <c r="I2547" t="s">
        <v>27</v>
      </c>
      <c r="J2547">
        <v>21820</v>
      </c>
      <c r="K2547">
        <v>27000</v>
      </c>
      <c r="L2547" s="2">
        <v>25.222499999999997</v>
      </c>
      <c r="M2547" s="5">
        <v>274.39300000000003</v>
      </c>
      <c r="N2547" s="1">
        <v>296.17959999999999</v>
      </c>
      <c r="O2547" s="2">
        <v>-4</v>
      </c>
      <c r="P2547">
        <v>286</v>
      </c>
    </row>
    <row r="2548" spans="1:16" x14ac:dyDescent="0.35">
      <c r="A2548" s="4">
        <v>45658</v>
      </c>
      <c r="B2548" t="s">
        <v>20</v>
      </c>
      <c r="C2548" t="s">
        <v>12</v>
      </c>
      <c r="D2548">
        <v>1</v>
      </c>
      <c r="E2548" s="2">
        <v>2495</v>
      </c>
      <c r="F2548" s="2">
        <f t="shared" si="412"/>
        <v>3300.3125</v>
      </c>
      <c r="G2548" s="3">
        <v>0</v>
      </c>
      <c r="H2548">
        <v>0</v>
      </c>
      <c r="I2548" t="s">
        <v>27</v>
      </c>
      <c r="J2548">
        <v>21820</v>
      </c>
      <c r="K2548">
        <v>27000</v>
      </c>
      <c r="L2548" s="2">
        <v>25.222499999999997</v>
      </c>
      <c r="M2548" s="5">
        <v>274.39300000000003</v>
      </c>
      <c r="N2548" s="1">
        <v>296.17959999999999</v>
      </c>
      <c r="O2548" s="2">
        <v>-4</v>
      </c>
      <c r="P2548">
        <v>286</v>
      </c>
    </row>
    <row r="2549" spans="1:16" x14ac:dyDescent="0.35">
      <c r="A2549" s="4">
        <v>45658</v>
      </c>
      <c r="B2549" t="s">
        <v>20</v>
      </c>
      <c r="C2549" t="s">
        <v>13</v>
      </c>
      <c r="D2549">
        <v>1</v>
      </c>
      <c r="E2549" s="2">
        <f>(3575+3525+3600+3650)/4</f>
        <v>3587.5</v>
      </c>
      <c r="F2549" s="2">
        <f t="shared" si="412"/>
        <v>3300.3125</v>
      </c>
      <c r="G2549" s="3">
        <v>0</v>
      </c>
      <c r="H2549">
        <v>0</v>
      </c>
      <c r="I2549" t="s">
        <v>27</v>
      </c>
      <c r="J2549">
        <v>21820</v>
      </c>
      <c r="K2549">
        <v>27000</v>
      </c>
      <c r="L2549" s="2">
        <v>25.222499999999997</v>
      </c>
      <c r="M2549" s="5">
        <v>274.39300000000003</v>
      </c>
      <c r="N2549" s="1">
        <v>296.17959999999999</v>
      </c>
      <c r="O2549" s="2">
        <v>-4</v>
      </c>
      <c r="P2549">
        <v>286</v>
      </c>
    </row>
    <row r="2550" spans="1:16" x14ac:dyDescent="0.35">
      <c r="A2550" s="4">
        <v>45658</v>
      </c>
      <c r="B2550" t="s">
        <v>20</v>
      </c>
      <c r="C2550" t="s">
        <v>14</v>
      </c>
      <c r="D2550">
        <v>1</v>
      </c>
      <c r="E2550" s="2">
        <f>(3610+3550+3520+3650)/4</f>
        <v>3582.5</v>
      </c>
      <c r="F2550" s="2">
        <f t="shared" si="412"/>
        <v>3300.3125</v>
      </c>
      <c r="G2550" s="3">
        <v>0</v>
      </c>
      <c r="H2550">
        <v>0</v>
      </c>
      <c r="I2550" t="s">
        <v>27</v>
      </c>
      <c r="J2550">
        <v>21820</v>
      </c>
      <c r="K2550">
        <v>27000</v>
      </c>
      <c r="L2550" s="2">
        <v>25.222499999999997</v>
      </c>
      <c r="M2550" s="5">
        <v>274.39300000000003</v>
      </c>
      <c r="N2550" s="1">
        <v>296.17959999999999</v>
      </c>
      <c r="O2550" s="2">
        <v>-4</v>
      </c>
      <c r="P2550">
        <v>286</v>
      </c>
    </row>
    <row r="2551" spans="1:16" x14ac:dyDescent="0.35">
      <c r="A2551" s="4">
        <v>45658</v>
      </c>
      <c r="B2551" t="s">
        <v>20</v>
      </c>
      <c r="C2551" t="s">
        <v>15</v>
      </c>
      <c r="D2551">
        <v>1</v>
      </c>
      <c r="E2551" s="2">
        <f>(3575+3525+3500+3600)/4</f>
        <v>3550</v>
      </c>
      <c r="F2551" s="2">
        <f t="shared" si="412"/>
        <v>3300.3125</v>
      </c>
      <c r="G2551" s="3">
        <v>0</v>
      </c>
      <c r="H2551">
        <v>0</v>
      </c>
      <c r="I2551" t="s">
        <v>27</v>
      </c>
      <c r="J2551">
        <v>21820</v>
      </c>
      <c r="K2551">
        <v>27000</v>
      </c>
      <c r="L2551" s="2">
        <v>25.222499999999997</v>
      </c>
      <c r="M2551" s="5">
        <v>274.39300000000003</v>
      </c>
      <c r="N2551" s="1">
        <v>296.17959999999999</v>
      </c>
      <c r="O2551" s="2">
        <v>-4</v>
      </c>
      <c r="P2551">
        <v>286</v>
      </c>
    </row>
    <row r="2552" spans="1:16" x14ac:dyDescent="0.35">
      <c r="A2552" s="4">
        <v>45658</v>
      </c>
      <c r="B2552" t="s">
        <v>21</v>
      </c>
      <c r="C2552" t="s">
        <v>10</v>
      </c>
      <c r="D2552">
        <v>1</v>
      </c>
      <c r="E2552" s="2">
        <v>3300</v>
      </c>
      <c r="F2552" s="2">
        <f>(3184.38+3132.63+3144.25+3163)/4</f>
        <v>3156.0650000000001</v>
      </c>
      <c r="G2552" s="3">
        <v>0</v>
      </c>
      <c r="H2552">
        <v>0</v>
      </c>
      <c r="I2552" t="s">
        <v>27</v>
      </c>
      <c r="J2552">
        <v>21820</v>
      </c>
      <c r="K2552">
        <v>27000</v>
      </c>
      <c r="L2552" s="2">
        <v>25.222499999999997</v>
      </c>
      <c r="M2552" s="5">
        <v>274.39300000000003</v>
      </c>
      <c r="N2552" s="1">
        <v>296.17959999999999</v>
      </c>
      <c r="O2552" s="2">
        <v>-4</v>
      </c>
      <c r="P2552">
        <v>286</v>
      </c>
    </row>
    <row r="2553" spans="1:16" x14ac:dyDescent="0.35">
      <c r="A2553" s="4">
        <v>45658</v>
      </c>
      <c r="B2553" t="s">
        <v>21</v>
      </c>
      <c r="C2553" t="s">
        <v>11</v>
      </c>
      <c r="D2553">
        <v>1</v>
      </c>
      <c r="E2553" s="2">
        <v>3175</v>
      </c>
      <c r="F2553" s="2">
        <f t="shared" ref="F2553:F2557" si="413">(3184.38+3132.63+3144.25+3163)/4</f>
        <v>3156.0650000000001</v>
      </c>
      <c r="G2553" s="3">
        <v>0</v>
      </c>
      <c r="H2553">
        <v>0</v>
      </c>
      <c r="I2553" t="s">
        <v>27</v>
      </c>
      <c r="J2553">
        <v>21820</v>
      </c>
      <c r="K2553">
        <v>27000</v>
      </c>
      <c r="L2553" s="2">
        <v>25.222499999999997</v>
      </c>
      <c r="M2553" s="5">
        <v>274.39300000000003</v>
      </c>
      <c r="N2553" s="1">
        <v>296.17959999999999</v>
      </c>
      <c r="O2553" s="2">
        <v>-4</v>
      </c>
      <c r="P2553">
        <v>286</v>
      </c>
    </row>
    <row r="2554" spans="1:16" x14ac:dyDescent="0.35">
      <c r="A2554" s="4">
        <v>45658</v>
      </c>
      <c r="B2554" t="s">
        <v>21</v>
      </c>
      <c r="C2554" t="s">
        <v>12</v>
      </c>
      <c r="D2554">
        <v>1</v>
      </c>
      <c r="E2554" s="2">
        <v>2300</v>
      </c>
      <c r="F2554" s="2">
        <f t="shared" si="413"/>
        <v>3156.0650000000001</v>
      </c>
      <c r="G2554" s="3">
        <v>0</v>
      </c>
      <c r="H2554">
        <v>0</v>
      </c>
      <c r="I2554" t="s">
        <v>27</v>
      </c>
      <c r="J2554">
        <v>21820</v>
      </c>
      <c r="K2554">
        <v>27000</v>
      </c>
      <c r="L2554" s="2">
        <v>25.222499999999997</v>
      </c>
      <c r="M2554" s="5">
        <v>274.39300000000003</v>
      </c>
      <c r="N2554" s="1">
        <v>296.17959999999999</v>
      </c>
      <c r="O2554" s="2">
        <v>-4</v>
      </c>
      <c r="P2554">
        <v>286</v>
      </c>
    </row>
    <row r="2555" spans="1:16" x14ac:dyDescent="0.35">
      <c r="A2555" s="4">
        <v>45658</v>
      </c>
      <c r="B2555" t="s">
        <v>21</v>
      </c>
      <c r="C2555" t="s">
        <v>13</v>
      </c>
      <c r="D2555">
        <v>1</v>
      </c>
      <c r="E2555" s="2">
        <f>(3425*3+3500)/4</f>
        <v>3443.75</v>
      </c>
      <c r="F2555" s="2">
        <f t="shared" si="413"/>
        <v>3156.0650000000001</v>
      </c>
      <c r="G2555" s="3">
        <v>0</v>
      </c>
      <c r="H2555">
        <v>0</v>
      </c>
      <c r="I2555" t="s">
        <v>27</v>
      </c>
      <c r="J2555">
        <v>21820</v>
      </c>
      <c r="K2555">
        <v>27000</v>
      </c>
      <c r="L2555" s="2">
        <v>25.222499999999997</v>
      </c>
      <c r="M2555" s="5">
        <v>274.39300000000003</v>
      </c>
      <c r="N2555" s="1">
        <v>296.17959999999999</v>
      </c>
      <c r="O2555" s="2">
        <v>-4</v>
      </c>
      <c r="P2555">
        <v>286</v>
      </c>
    </row>
    <row r="2556" spans="1:16" x14ac:dyDescent="0.35">
      <c r="A2556" s="4">
        <v>45658</v>
      </c>
      <c r="B2556" t="s">
        <v>21</v>
      </c>
      <c r="C2556" t="s">
        <v>14</v>
      </c>
      <c r="D2556">
        <v>1</v>
      </c>
      <c r="E2556" s="2">
        <f>(3529+3479+3486+3550)/4</f>
        <v>3511</v>
      </c>
      <c r="F2556" s="2">
        <f t="shared" si="413"/>
        <v>3156.0650000000001</v>
      </c>
      <c r="G2556" s="3">
        <v>0</v>
      </c>
      <c r="H2556">
        <v>0</v>
      </c>
      <c r="I2556" t="s">
        <v>27</v>
      </c>
      <c r="J2556">
        <v>21820</v>
      </c>
      <c r="K2556">
        <v>27000</v>
      </c>
      <c r="L2556" s="2">
        <v>25.222499999999997</v>
      </c>
      <c r="M2556" s="5">
        <v>274.39300000000003</v>
      </c>
      <c r="N2556" s="1">
        <v>296.17959999999999</v>
      </c>
      <c r="O2556" s="2">
        <v>-4</v>
      </c>
      <c r="P2556">
        <v>286</v>
      </c>
    </row>
    <row r="2557" spans="1:16" x14ac:dyDescent="0.35">
      <c r="A2557" s="4">
        <v>45658</v>
      </c>
      <c r="B2557" t="s">
        <v>21</v>
      </c>
      <c r="C2557" t="s">
        <v>15</v>
      </c>
      <c r="D2557">
        <v>1</v>
      </c>
      <c r="E2557" s="2">
        <f>(3600+3475+3450+3500)/4</f>
        <v>3506.25</v>
      </c>
      <c r="F2557" s="2">
        <f t="shared" si="413"/>
        <v>3156.0650000000001</v>
      </c>
      <c r="G2557" s="3">
        <v>0</v>
      </c>
      <c r="H2557">
        <v>0</v>
      </c>
      <c r="I2557" t="s">
        <v>27</v>
      </c>
      <c r="J2557">
        <v>21820</v>
      </c>
      <c r="K2557">
        <v>27000</v>
      </c>
      <c r="L2557" s="2">
        <v>25.222499999999997</v>
      </c>
      <c r="M2557" s="5">
        <v>274.39300000000003</v>
      </c>
      <c r="N2557" s="1">
        <v>296.17959999999999</v>
      </c>
      <c r="O2557" s="2">
        <v>-4</v>
      </c>
      <c r="P2557">
        <v>286</v>
      </c>
    </row>
    <row r="2558" spans="1:16" x14ac:dyDescent="0.35">
      <c r="A2558" s="4">
        <v>45658</v>
      </c>
      <c r="B2558" t="s">
        <v>22</v>
      </c>
      <c r="C2558" t="s">
        <v>10</v>
      </c>
      <c r="D2558">
        <v>0</v>
      </c>
      <c r="E2558" s="2" t="s">
        <v>27</v>
      </c>
      <c r="F2558" s="2">
        <f t="shared" ref="F2558:F2561" si="414">(3220+3188+3280+3260)/4</f>
        <v>3237</v>
      </c>
      <c r="G2558" s="3">
        <v>0</v>
      </c>
      <c r="H2558">
        <v>0</v>
      </c>
      <c r="I2558" t="s">
        <v>27</v>
      </c>
      <c r="J2558">
        <v>21820</v>
      </c>
      <c r="K2558">
        <v>27000</v>
      </c>
      <c r="L2558" s="2">
        <v>25.222499999999997</v>
      </c>
      <c r="M2558" s="5">
        <v>274.39300000000003</v>
      </c>
      <c r="N2558" s="1">
        <v>296.17959999999999</v>
      </c>
      <c r="O2558" s="2">
        <v>-4</v>
      </c>
      <c r="P2558">
        <v>286</v>
      </c>
    </row>
    <row r="2559" spans="1:16" x14ac:dyDescent="0.35">
      <c r="A2559" s="4">
        <v>45658</v>
      </c>
      <c r="B2559" t="s">
        <v>22</v>
      </c>
      <c r="C2559" t="s">
        <v>11</v>
      </c>
      <c r="D2559">
        <v>0</v>
      </c>
      <c r="E2559" s="2" t="s">
        <v>27</v>
      </c>
      <c r="F2559" s="2">
        <f t="shared" si="414"/>
        <v>3237</v>
      </c>
      <c r="G2559" s="3">
        <v>0</v>
      </c>
      <c r="H2559">
        <v>0</v>
      </c>
      <c r="I2559" t="s">
        <v>27</v>
      </c>
      <c r="J2559">
        <v>21820</v>
      </c>
      <c r="K2559">
        <v>27000</v>
      </c>
      <c r="L2559" s="2">
        <v>25.222499999999997</v>
      </c>
      <c r="M2559" s="5">
        <v>274.39300000000003</v>
      </c>
      <c r="N2559" s="1">
        <v>296.17959999999999</v>
      </c>
      <c r="O2559" s="2">
        <v>-4</v>
      </c>
      <c r="P2559">
        <v>286</v>
      </c>
    </row>
    <row r="2560" spans="1:16" x14ac:dyDescent="0.35">
      <c r="A2560" s="4">
        <v>45658</v>
      </c>
      <c r="B2560" t="s">
        <v>22</v>
      </c>
      <c r="C2560" t="s">
        <v>12</v>
      </c>
      <c r="D2560">
        <v>0</v>
      </c>
      <c r="E2560" s="2" t="s">
        <v>27</v>
      </c>
      <c r="F2560" s="2">
        <f t="shared" si="414"/>
        <v>3237</v>
      </c>
      <c r="G2560" s="3">
        <v>0</v>
      </c>
      <c r="H2560">
        <v>0</v>
      </c>
      <c r="I2560" t="s">
        <v>27</v>
      </c>
      <c r="J2560">
        <v>21820</v>
      </c>
      <c r="K2560">
        <v>27000</v>
      </c>
      <c r="L2560" s="2">
        <v>25.222499999999997</v>
      </c>
      <c r="M2560" s="5">
        <v>274.39300000000003</v>
      </c>
      <c r="N2560" s="1">
        <v>296.17959999999999</v>
      </c>
      <c r="O2560" s="2">
        <v>-4</v>
      </c>
      <c r="P2560">
        <v>286</v>
      </c>
    </row>
    <row r="2561" spans="1:16" x14ac:dyDescent="0.35">
      <c r="A2561" s="4">
        <v>45658</v>
      </c>
      <c r="B2561" t="s">
        <v>22</v>
      </c>
      <c r="C2561" t="s">
        <v>13</v>
      </c>
      <c r="D2561">
        <v>0</v>
      </c>
      <c r="E2561" s="2" t="s">
        <v>27</v>
      </c>
      <c r="F2561" s="2">
        <f t="shared" si="414"/>
        <v>3237</v>
      </c>
      <c r="G2561" s="3">
        <v>0</v>
      </c>
      <c r="H2561">
        <v>0</v>
      </c>
      <c r="I2561" t="s">
        <v>27</v>
      </c>
      <c r="J2561">
        <v>21820</v>
      </c>
      <c r="K2561">
        <v>27000</v>
      </c>
      <c r="L2561" s="2">
        <v>25.222499999999997</v>
      </c>
      <c r="M2561" s="5">
        <v>274.39300000000003</v>
      </c>
      <c r="N2561" s="1">
        <v>296.17959999999999</v>
      </c>
      <c r="O2561" s="2">
        <v>-4</v>
      </c>
      <c r="P2561">
        <v>286</v>
      </c>
    </row>
    <row r="2562" spans="1:16" x14ac:dyDescent="0.35">
      <c r="A2562" s="4">
        <v>45658</v>
      </c>
      <c r="B2562" t="s">
        <v>22</v>
      </c>
      <c r="C2562" t="s">
        <v>14</v>
      </c>
      <c r="D2562">
        <v>1</v>
      </c>
      <c r="E2562" s="2">
        <f>(3220+3188+3280+3260)/4</f>
        <v>3237</v>
      </c>
      <c r="F2562" s="2">
        <f>(3220+3188+3280+3260)/4</f>
        <v>3237</v>
      </c>
      <c r="G2562" s="3">
        <v>0</v>
      </c>
      <c r="H2562">
        <v>0</v>
      </c>
      <c r="I2562" t="s">
        <v>27</v>
      </c>
      <c r="J2562">
        <v>21820</v>
      </c>
      <c r="K2562">
        <v>27000</v>
      </c>
      <c r="L2562" s="2">
        <v>25.222499999999997</v>
      </c>
      <c r="M2562" s="5">
        <v>274.39300000000003</v>
      </c>
      <c r="N2562" s="1">
        <v>296.17959999999999</v>
      </c>
      <c r="O2562" s="2">
        <v>-4</v>
      </c>
      <c r="P2562">
        <v>286</v>
      </c>
    </row>
    <row r="2563" spans="1:16" x14ac:dyDescent="0.35">
      <c r="A2563" s="4">
        <v>45658</v>
      </c>
      <c r="B2563" t="s">
        <v>22</v>
      </c>
      <c r="C2563" t="s">
        <v>15</v>
      </c>
      <c r="D2563">
        <v>0</v>
      </c>
      <c r="E2563" s="2" t="s">
        <v>27</v>
      </c>
      <c r="F2563" s="2">
        <f>(3220+3188+3280+3260)/4</f>
        <v>3237</v>
      </c>
      <c r="G2563" s="3">
        <v>0</v>
      </c>
      <c r="H2563">
        <v>0</v>
      </c>
      <c r="I2563" t="s">
        <v>27</v>
      </c>
      <c r="J2563">
        <v>21820</v>
      </c>
      <c r="K2563">
        <v>27000</v>
      </c>
      <c r="L2563" s="2">
        <v>25.222499999999997</v>
      </c>
      <c r="M2563" s="5">
        <v>274.39300000000003</v>
      </c>
      <c r="N2563" s="1">
        <v>296.17959999999999</v>
      </c>
      <c r="O2563" s="2">
        <v>-4</v>
      </c>
      <c r="P2563">
        <v>286</v>
      </c>
    </row>
    <row r="2564" spans="1:16" x14ac:dyDescent="0.35">
      <c r="A2564" s="4">
        <v>45689</v>
      </c>
      <c r="B2564" t="s">
        <v>16</v>
      </c>
      <c r="C2564" t="s">
        <v>10</v>
      </c>
      <c r="D2564">
        <v>1</v>
      </c>
      <c r="E2564" s="2">
        <v>4500</v>
      </c>
      <c r="F2564" s="2">
        <f>(4570*2+4520+4563.75)/4</f>
        <v>4555.9375</v>
      </c>
      <c r="G2564" s="3">
        <v>0</v>
      </c>
      <c r="H2564">
        <v>0</v>
      </c>
      <c r="I2564" t="s">
        <v>27</v>
      </c>
      <c r="J2564">
        <v>25314</v>
      </c>
      <c r="K2564">
        <v>24000</v>
      </c>
      <c r="L2564" s="2">
        <v>25.713125000000002</v>
      </c>
      <c r="M2564" s="5">
        <v>86.075999999999993</v>
      </c>
      <c r="N2564" s="1">
        <v>296.80340000000001</v>
      </c>
      <c r="O2564" s="2">
        <v>-4.2</v>
      </c>
      <c r="P2564">
        <v>286</v>
      </c>
    </row>
    <row r="2565" spans="1:16" x14ac:dyDescent="0.35">
      <c r="A2565" s="4">
        <v>45689</v>
      </c>
      <c r="B2565" t="s">
        <v>16</v>
      </c>
      <c r="C2565" t="s">
        <v>11</v>
      </c>
      <c r="D2565">
        <v>0</v>
      </c>
      <c r="E2565" s="2" t="s">
        <v>27</v>
      </c>
      <c r="F2565" s="2">
        <f t="shared" ref="F2565:F2569" si="415">(4570*2+4520+4563.75)/4</f>
        <v>4555.9375</v>
      </c>
      <c r="G2565" s="3">
        <v>0</v>
      </c>
      <c r="H2565">
        <v>0</v>
      </c>
      <c r="I2565" t="s">
        <v>27</v>
      </c>
      <c r="J2565">
        <v>25314</v>
      </c>
      <c r="K2565">
        <v>24000</v>
      </c>
      <c r="L2565" s="2">
        <v>25.713125000000002</v>
      </c>
      <c r="M2565" s="5">
        <v>86.075999999999993</v>
      </c>
      <c r="N2565" s="1">
        <v>296.80340000000001</v>
      </c>
      <c r="O2565" s="2">
        <v>-4.2</v>
      </c>
      <c r="P2565">
        <v>286</v>
      </c>
    </row>
    <row r="2566" spans="1:16" x14ac:dyDescent="0.35">
      <c r="A2566" s="4">
        <v>45689</v>
      </c>
      <c r="B2566" t="s">
        <v>16</v>
      </c>
      <c r="C2566" t="s">
        <v>12</v>
      </c>
      <c r="D2566">
        <v>1</v>
      </c>
      <c r="E2566" s="2">
        <v>4480</v>
      </c>
      <c r="F2566" s="2">
        <f t="shared" si="415"/>
        <v>4555.9375</v>
      </c>
      <c r="G2566" s="3">
        <v>0</v>
      </c>
      <c r="H2566">
        <v>0</v>
      </c>
      <c r="I2566" t="s">
        <v>27</v>
      </c>
      <c r="J2566">
        <v>25314</v>
      </c>
      <c r="K2566">
        <v>24000</v>
      </c>
      <c r="L2566" s="2">
        <v>25.713125000000002</v>
      </c>
      <c r="M2566" s="5">
        <v>86.075999999999993</v>
      </c>
      <c r="N2566" s="1">
        <v>296.80340000000001</v>
      </c>
      <c r="O2566" s="2">
        <v>-4.2</v>
      </c>
      <c r="P2566">
        <v>286</v>
      </c>
    </row>
    <row r="2567" spans="1:16" x14ac:dyDescent="0.35">
      <c r="A2567" s="4">
        <v>45689</v>
      </c>
      <c r="B2567" t="s">
        <v>16</v>
      </c>
      <c r="C2567" t="s">
        <v>13</v>
      </c>
      <c r="D2567">
        <v>1</v>
      </c>
      <c r="E2567" s="2">
        <v>4700</v>
      </c>
      <c r="F2567" s="2">
        <f t="shared" si="415"/>
        <v>4555.9375</v>
      </c>
      <c r="G2567" s="3">
        <v>0</v>
      </c>
      <c r="H2567">
        <v>0</v>
      </c>
      <c r="I2567" t="s">
        <v>27</v>
      </c>
      <c r="J2567">
        <v>25314</v>
      </c>
      <c r="K2567">
        <v>24000</v>
      </c>
      <c r="L2567" s="2">
        <v>25.713125000000002</v>
      </c>
      <c r="M2567" s="5">
        <v>86.075999999999993</v>
      </c>
      <c r="N2567" s="1">
        <v>296.80340000000001</v>
      </c>
      <c r="O2567" s="2">
        <v>-4.2</v>
      </c>
      <c r="P2567">
        <v>286</v>
      </c>
    </row>
    <row r="2568" spans="1:16" x14ac:dyDescent="0.35">
      <c r="A2568" s="4">
        <v>45689</v>
      </c>
      <c r="B2568" t="s">
        <v>16</v>
      </c>
      <c r="C2568" t="s">
        <v>14</v>
      </c>
      <c r="D2568">
        <v>1</v>
      </c>
      <c r="E2568" s="2">
        <v>4550</v>
      </c>
      <c r="F2568" s="2">
        <f t="shared" si="415"/>
        <v>4555.9375</v>
      </c>
      <c r="G2568" s="3">
        <v>0</v>
      </c>
      <c r="H2568">
        <v>0</v>
      </c>
      <c r="I2568" t="s">
        <v>27</v>
      </c>
      <c r="J2568">
        <v>25314</v>
      </c>
      <c r="K2568">
        <v>24000</v>
      </c>
      <c r="L2568" s="2">
        <v>25.713125000000002</v>
      </c>
      <c r="M2568" s="5">
        <v>86.075999999999993</v>
      </c>
      <c r="N2568" s="1">
        <v>296.80340000000001</v>
      </c>
      <c r="O2568" s="2">
        <v>-4.2</v>
      </c>
      <c r="P2568">
        <v>286</v>
      </c>
    </row>
    <row r="2569" spans="1:16" x14ac:dyDescent="0.35">
      <c r="A2569" s="4">
        <v>45689</v>
      </c>
      <c r="B2569" t="s">
        <v>16</v>
      </c>
      <c r="C2569" t="s">
        <v>15</v>
      </c>
      <c r="D2569">
        <v>0</v>
      </c>
      <c r="E2569" s="2" t="s">
        <v>27</v>
      </c>
      <c r="F2569" s="2">
        <f t="shared" si="415"/>
        <v>4555.9375</v>
      </c>
      <c r="G2569" s="3">
        <v>0</v>
      </c>
      <c r="H2569">
        <v>0</v>
      </c>
      <c r="I2569" t="s">
        <v>27</v>
      </c>
      <c r="J2569">
        <v>25314</v>
      </c>
      <c r="K2569">
        <v>24000</v>
      </c>
      <c r="L2569" s="2">
        <v>25.713125000000002</v>
      </c>
      <c r="M2569" s="5">
        <v>86.075999999999993</v>
      </c>
      <c r="N2569" s="1">
        <v>296.80340000000001</v>
      </c>
      <c r="O2569" s="2">
        <v>-4.2</v>
      </c>
      <c r="P2569">
        <v>286</v>
      </c>
    </row>
    <row r="2570" spans="1:16" x14ac:dyDescent="0.35">
      <c r="A2570" s="4">
        <v>45689</v>
      </c>
      <c r="B2570" t="s">
        <v>17</v>
      </c>
      <c r="C2570" t="s">
        <v>10</v>
      </c>
      <c r="D2570">
        <v>1</v>
      </c>
      <c r="E2570" s="2">
        <v>3900</v>
      </c>
      <c r="F2570" s="2">
        <f>(4018+3933+3994.6+4010.6)/4</f>
        <v>3989.05</v>
      </c>
      <c r="G2570" s="3">
        <v>0</v>
      </c>
      <c r="H2570">
        <v>0</v>
      </c>
      <c r="I2570" t="s">
        <v>27</v>
      </c>
      <c r="J2570">
        <v>25314</v>
      </c>
      <c r="K2570">
        <v>24000</v>
      </c>
      <c r="L2570" s="2">
        <v>25.713125000000002</v>
      </c>
      <c r="M2570" s="5">
        <v>86.075999999999993</v>
      </c>
      <c r="N2570" s="1">
        <v>296.80340000000001</v>
      </c>
      <c r="O2570" s="2">
        <v>-4.2</v>
      </c>
      <c r="P2570">
        <v>286</v>
      </c>
    </row>
    <row r="2571" spans="1:16" x14ac:dyDescent="0.35">
      <c r="A2571" s="4">
        <v>45689</v>
      </c>
      <c r="B2571" t="s">
        <v>17</v>
      </c>
      <c r="C2571" t="s">
        <v>11</v>
      </c>
      <c r="D2571">
        <v>1</v>
      </c>
      <c r="E2571" s="2">
        <v>3975</v>
      </c>
      <c r="F2571" s="2">
        <f t="shared" ref="F2571:F2575" si="416">(4018+3933+3994.6+4010.6)/4</f>
        <v>3989.05</v>
      </c>
      <c r="G2571" s="3">
        <v>0</v>
      </c>
      <c r="H2571">
        <v>0</v>
      </c>
      <c r="I2571" t="s">
        <v>27</v>
      </c>
      <c r="J2571">
        <v>25314</v>
      </c>
      <c r="K2571">
        <v>24000</v>
      </c>
      <c r="L2571" s="2">
        <v>25.713125000000002</v>
      </c>
      <c r="M2571" s="5">
        <v>86.075999999999993</v>
      </c>
      <c r="N2571" s="1">
        <v>296.80340000000001</v>
      </c>
      <c r="O2571" s="2">
        <v>-4.2</v>
      </c>
      <c r="P2571">
        <v>286</v>
      </c>
    </row>
    <row r="2572" spans="1:16" x14ac:dyDescent="0.35">
      <c r="A2572" s="4">
        <v>45689</v>
      </c>
      <c r="B2572" t="s">
        <v>17</v>
      </c>
      <c r="C2572" t="s">
        <v>12</v>
      </c>
      <c r="D2572">
        <v>1</v>
      </c>
      <c r="E2572" s="2">
        <v>4065</v>
      </c>
      <c r="F2572" s="2">
        <f t="shared" si="416"/>
        <v>3989.05</v>
      </c>
      <c r="G2572" s="3">
        <v>0</v>
      </c>
      <c r="H2572">
        <v>0</v>
      </c>
      <c r="I2572" t="s">
        <v>27</v>
      </c>
      <c r="J2572">
        <v>25314</v>
      </c>
      <c r="K2572">
        <v>24000</v>
      </c>
      <c r="L2572" s="2">
        <v>25.713125000000002</v>
      </c>
      <c r="M2572" s="5">
        <v>86.075999999999993</v>
      </c>
      <c r="N2572" s="1">
        <v>296.80340000000001</v>
      </c>
      <c r="O2572" s="2">
        <v>-4.2</v>
      </c>
      <c r="P2572">
        <v>286</v>
      </c>
    </row>
    <row r="2573" spans="1:16" x14ac:dyDescent="0.35">
      <c r="A2573" s="4">
        <v>45689</v>
      </c>
      <c r="B2573" t="s">
        <v>17</v>
      </c>
      <c r="C2573" t="s">
        <v>13</v>
      </c>
      <c r="D2573">
        <v>1</v>
      </c>
      <c r="E2573" s="2">
        <f>(4150*2+4125+3975)/4</f>
        <v>4100</v>
      </c>
      <c r="F2573" s="2">
        <f t="shared" si="416"/>
        <v>3989.05</v>
      </c>
      <c r="G2573" s="3">
        <v>0</v>
      </c>
      <c r="H2573">
        <v>0</v>
      </c>
      <c r="I2573" t="s">
        <v>27</v>
      </c>
      <c r="J2573">
        <v>25314</v>
      </c>
      <c r="K2573">
        <v>24000</v>
      </c>
      <c r="L2573" s="2">
        <v>25.713125000000002</v>
      </c>
      <c r="M2573" s="5">
        <v>86.075999999999993</v>
      </c>
      <c r="N2573" s="1">
        <v>296.80340000000001</v>
      </c>
      <c r="O2573" s="2">
        <v>-4.2</v>
      </c>
      <c r="P2573">
        <v>286</v>
      </c>
    </row>
    <row r="2574" spans="1:16" x14ac:dyDescent="0.35">
      <c r="A2574" s="4">
        <v>45689</v>
      </c>
      <c r="B2574" t="s">
        <v>17</v>
      </c>
      <c r="C2574" t="s">
        <v>14</v>
      </c>
      <c r="D2574">
        <v>1</v>
      </c>
      <c r="E2574" s="2">
        <f>(3933+4033+4000+3950)/4</f>
        <v>3979</v>
      </c>
      <c r="F2574" s="2">
        <f t="shared" si="416"/>
        <v>3989.05</v>
      </c>
      <c r="G2574" s="3">
        <v>0</v>
      </c>
      <c r="H2574">
        <v>0</v>
      </c>
      <c r="I2574" t="s">
        <v>27</v>
      </c>
      <c r="J2574">
        <v>25314</v>
      </c>
      <c r="K2574">
        <v>24000</v>
      </c>
      <c r="L2574" s="2">
        <v>25.713125000000002</v>
      </c>
      <c r="M2574" s="5">
        <v>86.075999999999993</v>
      </c>
      <c r="N2574" s="1">
        <v>296.80340000000001</v>
      </c>
      <c r="O2574" s="2">
        <v>-4.2</v>
      </c>
      <c r="P2574">
        <v>286</v>
      </c>
    </row>
    <row r="2575" spans="1:16" x14ac:dyDescent="0.35">
      <c r="A2575" s="4">
        <v>45689</v>
      </c>
      <c r="B2575" t="s">
        <v>17</v>
      </c>
      <c r="C2575" t="s">
        <v>15</v>
      </c>
      <c r="D2575">
        <v>0</v>
      </c>
      <c r="E2575" s="2" t="s">
        <v>27</v>
      </c>
      <c r="F2575" s="2">
        <f t="shared" si="416"/>
        <v>3989.05</v>
      </c>
      <c r="G2575" s="3">
        <v>0</v>
      </c>
      <c r="H2575">
        <v>0</v>
      </c>
      <c r="I2575" t="s">
        <v>27</v>
      </c>
      <c r="J2575">
        <v>25314</v>
      </c>
      <c r="K2575">
        <v>24000</v>
      </c>
      <c r="L2575" s="2">
        <v>25.713125000000002</v>
      </c>
      <c r="M2575" s="5">
        <v>86.075999999999993</v>
      </c>
      <c r="N2575" s="1">
        <v>296.80340000000001</v>
      </c>
      <c r="O2575" s="2">
        <v>-4.2</v>
      </c>
      <c r="P2575">
        <v>286</v>
      </c>
    </row>
    <row r="2576" spans="1:16" x14ac:dyDescent="0.35">
      <c r="A2576" s="4">
        <v>45689</v>
      </c>
      <c r="B2576" t="s">
        <v>18</v>
      </c>
      <c r="C2576" t="s">
        <v>10</v>
      </c>
      <c r="D2576">
        <v>1</v>
      </c>
      <c r="E2576" s="2">
        <v>3800</v>
      </c>
      <c r="F2576" s="2">
        <f>(3794+3801+3813.5+3829.13)/4</f>
        <v>3809.4075000000003</v>
      </c>
      <c r="G2576" s="3">
        <v>0</v>
      </c>
      <c r="H2576">
        <v>0</v>
      </c>
      <c r="I2576" t="s">
        <v>27</v>
      </c>
      <c r="J2576">
        <v>25314</v>
      </c>
      <c r="K2576">
        <v>24000</v>
      </c>
      <c r="L2576" s="2">
        <v>25.713125000000002</v>
      </c>
      <c r="M2576" s="5">
        <v>86.075999999999993</v>
      </c>
      <c r="N2576" s="1">
        <v>296.80340000000001</v>
      </c>
      <c r="O2576" s="2">
        <v>-4.2</v>
      </c>
      <c r="P2576">
        <v>286</v>
      </c>
    </row>
    <row r="2577" spans="1:16" x14ac:dyDescent="0.35">
      <c r="A2577" s="4">
        <v>45689</v>
      </c>
      <c r="B2577" t="s">
        <v>18</v>
      </c>
      <c r="C2577" t="s">
        <v>11</v>
      </c>
      <c r="D2577">
        <v>1</v>
      </c>
      <c r="E2577" s="2">
        <v>3825</v>
      </c>
      <c r="F2577" s="2">
        <f t="shared" ref="F2577:F2581" si="417">(3794+3801+3813.5+3829.13)/4</f>
        <v>3809.4075000000003</v>
      </c>
      <c r="G2577" s="3">
        <v>0</v>
      </c>
      <c r="H2577">
        <v>0</v>
      </c>
      <c r="I2577" t="s">
        <v>27</v>
      </c>
      <c r="J2577">
        <v>25314</v>
      </c>
      <c r="K2577">
        <v>24000</v>
      </c>
      <c r="L2577" s="2">
        <v>25.713125000000002</v>
      </c>
      <c r="M2577" s="5">
        <v>86.075999999999993</v>
      </c>
      <c r="N2577" s="1">
        <v>296.80340000000001</v>
      </c>
      <c r="O2577" s="2">
        <v>-4.2</v>
      </c>
      <c r="P2577">
        <v>286</v>
      </c>
    </row>
    <row r="2578" spans="1:16" x14ac:dyDescent="0.35">
      <c r="A2578" s="4">
        <v>45689</v>
      </c>
      <c r="B2578" t="s">
        <v>18</v>
      </c>
      <c r="C2578" t="s">
        <v>12</v>
      </c>
      <c r="D2578">
        <v>1</v>
      </c>
      <c r="E2578" s="2">
        <v>3695</v>
      </c>
      <c r="F2578" s="2">
        <f t="shared" si="417"/>
        <v>3809.4075000000003</v>
      </c>
      <c r="G2578" s="3">
        <v>0</v>
      </c>
      <c r="H2578">
        <v>0</v>
      </c>
      <c r="I2578" t="s">
        <v>27</v>
      </c>
      <c r="J2578">
        <v>25314</v>
      </c>
      <c r="K2578">
        <v>24000</v>
      </c>
      <c r="L2578" s="2">
        <v>25.713125000000002</v>
      </c>
      <c r="M2578" s="5">
        <v>86.075999999999993</v>
      </c>
      <c r="N2578" s="1">
        <v>296.80340000000001</v>
      </c>
      <c r="O2578" s="2">
        <v>-4.2</v>
      </c>
      <c r="P2578">
        <v>286</v>
      </c>
    </row>
    <row r="2579" spans="1:16" x14ac:dyDescent="0.35">
      <c r="A2579" s="4">
        <v>45689</v>
      </c>
      <c r="B2579" t="s">
        <v>18</v>
      </c>
      <c r="C2579" t="s">
        <v>13</v>
      </c>
      <c r="D2579">
        <v>1</v>
      </c>
      <c r="E2579" s="2">
        <f>(3900+3875+3850+3900)/4</f>
        <v>3881.25</v>
      </c>
      <c r="F2579" s="2">
        <f t="shared" si="417"/>
        <v>3809.4075000000003</v>
      </c>
      <c r="G2579" s="3">
        <v>0</v>
      </c>
      <c r="H2579">
        <v>0</v>
      </c>
      <c r="I2579" t="s">
        <v>27</v>
      </c>
      <c r="J2579">
        <v>25314</v>
      </c>
      <c r="K2579">
        <v>24000</v>
      </c>
      <c r="L2579" s="2">
        <v>25.713125000000002</v>
      </c>
      <c r="M2579" s="5">
        <v>86.075999999999993</v>
      </c>
      <c r="N2579" s="1">
        <v>296.80340000000001</v>
      </c>
      <c r="O2579" s="2">
        <v>-4.2</v>
      </c>
      <c r="P2579">
        <v>286</v>
      </c>
    </row>
    <row r="2580" spans="1:16" x14ac:dyDescent="0.35">
      <c r="A2580" s="4">
        <v>45689</v>
      </c>
      <c r="B2580" t="s">
        <v>18</v>
      </c>
      <c r="C2580" t="s">
        <v>14</v>
      </c>
      <c r="D2580">
        <v>1</v>
      </c>
      <c r="E2580" s="2">
        <f>(3813+3863+3838*2)/4</f>
        <v>3838</v>
      </c>
      <c r="F2580" s="2">
        <f t="shared" si="417"/>
        <v>3809.4075000000003</v>
      </c>
      <c r="G2580" s="3">
        <v>0</v>
      </c>
      <c r="H2580">
        <v>0</v>
      </c>
      <c r="I2580" t="s">
        <v>27</v>
      </c>
      <c r="J2580">
        <v>25314</v>
      </c>
      <c r="K2580">
        <v>24000</v>
      </c>
      <c r="L2580" s="2">
        <v>25.713125000000002</v>
      </c>
      <c r="M2580" s="5">
        <v>86.075999999999993</v>
      </c>
      <c r="N2580" s="1">
        <v>296.80340000000001</v>
      </c>
      <c r="O2580" s="2">
        <v>-4.2</v>
      </c>
      <c r="P2580">
        <v>286</v>
      </c>
    </row>
    <row r="2581" spans="1:16" x14ac:dyDescent="0.35">
      <c r="A2581" s="4">
        <v>45689</v>
      </c>
      <c r="B2581" t="s">
        <v>18</v>
      </c>
      <c r="C2581" t="s">
        <v>15</v>
      </c>
      <c r="D2581">
        <v>1</v>
      </c>
      <c r="E2581" s="2">
        <v>4025</v>
      </c>
      <c r="F2581" s="2">
        <f t="shared" si="417"/>
        <v>3809.4075000000003</v>
      </c>
      <c r="G2581" s="3">
        <v>0</v>
      </c>
      <c r="H2581">
        <v>0</v>
      </c>
      <c r="I2581" t="s">
        <v>27</v>
      </c>
      <c r="J2581">
        <v>25314</v>
      </c>
      <c r="K2581">
        <v>24000</v>
      </c>
      <c r="L2581" s="2">
        <v>25.713125000000002</v>
      </c>
      <c r="M2581" s="5">
        <v>86.075999999999993</v>
      </c>
      <c r="N2581" s="1">
        <v>296.80340000000001</v>
      </c>
      <c r="O2581" s="2">
        <v>-4.2</v>
      </c>
      <c r="P2581">
        <v>286</v>
      </c>
    </row>
    <row r="2582" spans="1:16" x14ac:dyDescent="0.35">
      <c r="A2582" s="4">
        <v>45689</v>
      </c>
      <c r="B2582" t="s">
        <v>19</v>
      </c>
      <c r="C2582" t="s">
        <v>10</v>
      </c>
      <c r="D2582">
        <v>1</v>
      </c>
      <c r="E2582" s="2">
        <v>3625</v>
      </c>
      <c r="F2582" s="2">
        <f>(3691.88+3676.25+3646.88+3649.14)/4</f>
        <v>3666.0374999999999</v>
      </c>
      <c r="G2582" s="3">
        <v>0</v>
      </c>
      <c r="H2582">
        <v>0</v>
      </c>
      <c r="I2582" t="s">
        <v>27</v>
      </c>
      <c r="J2582">
        <v>25314</v>
      </c>
      <c r="K2582">
        <v>24000</v>
      </c>
      <c r="L2582" s="2">
        <v>25.713125000000002</v>
      </c>
      <c r="M2582" s="5">
        <v>86.075999999999993</v>
      </c>
      <c r="N2582" s="1">
        <v>296.80340000000001</v>
      </c>
      <c r="O2582" s="2">
        <v>-4.2</v>
      </c>
      <c r="P2582">
        <v>286</v>
      </c>
    </row>
    <row r="2583" spans="1:16" x14ac:dyDescent="0.35">
      <c r="A2583" s="4">
        <v>45689</v>
      </c>
      <c r="B2583" t="s">
        <v>19</v>
      </c>
      <c r="C2583" t="s">
        <v>11</v>
      </c>
      <c r="D2583">
        <v>1</v>
      </c>
      <c r="E2583" s="2">
        <f>(3750+3800+3600*2)/4</f>
        <v>3687.5</v>
      </c>
      <c r="F2583" s="2">
        <f t="shared" ref="F2583:F2587" si="418">(3691.88+3676.25+3646.88+3649.14)/4</f>
        <v>3666.0374999999999</v>
      </c>
      <c r="G2583" s="3">
        <v>0</v>
      </c>
      <c r="H2583">
        <v>0</v>
      </c>
      <c r="I2583" t="s">
        <v>27</v>
      </c>
      <c r="J2583">
        <v>25314</v>
      </c>
      <c r="K2583">
        <v>24000</v>
      </c>
      <c r="L2583" s="2">
        <v>25.713125000000002</v>
      </c>
      <c r="M2583" s="5">
        <v>86.075999999999993</v>
      </c>
      <c r="N2583" s="1">
        <v>296.80340000000001</v>
      </c>
      <c r="O2583" s="2">
        <v>-4.2</v>
      </c>
      <c r="P2583">
        <v>286</v>
      </c>
    </row>
    <row r="2584" spans="1:16" x14ac:dyDescent="0.35">
      <c r="A2584" s="4">
        <v>45689</v>
      </c>
      <c r="B2584" t="s">
        <v>19</v>
      </c>
      <c r="C2584" t="s">
        <v>12</v>
      </c>
      <c r="D2584">
        <v>1</v>
      </c>
      <c r="E2584" s="2">
        <v>3490</v>
      </c>
      <c r="F2584" s="2">
        <f t="shared" si="418"/>
        <v>3666.0374999999999</v>
      </c>
      <c r="G2584" s="3">
        <v>0</v>
      </c>
      <c r="H2584">
        <v>0</v>
      </c>
      <c r="I2584" t="s">
        <v>27</v>
      </c>
      <c r="J2584">
        <v>25314</v>
      </c>
      <c r="K2584">
        <v>24000</v>
      </c>
      <c r="L2584" s="2">
        <v>25.713125000000002</v>
      </c>
      <c r="M2584" s="5">
        <v>86.075999999999993</v>
      </c>
      <c r="N2584" s="1">
        <v>296.80340000000001</v>
      </c>
      <c r="O2584" s="2">
        <v>-4.2</v>
      </c>
      <c r="P2584">
        <v>286</v>
      </c>
    </row>
    <row r="2585" spans="1:16" x14ac:dyDescent="0.35">
      <c r="A2585" s="4">
        <v>45689</v>
      </c>
      <c r="B2585" t="s">
        <v>19</v>
      </c>
      <c r="C2585" t="s">
        <v>13</v>
      </c>
      <c r="D2585">
        <v>1</v>
      </c>
      <c r="E2585" s="2">
        <v>3750</v>
      </c>
      <c r="F2585" s="2">
        <f t="shared" si="418"/>
        <v>3666.0374999999999</v>
      </c>
      <c r="G2585" s="3">
        <v>0</v>
      </c>
      <c r="H2585">
        <v>0</v>
      </c>
      <c r="I2585" t="s">
        <v>27</v>
      </c>
      <c r="J2585">
        <v>25314</v>
      </c>
      <c r="K2585">
        <v>24000</v>
      </c>
      <c r="L2585" s="2">
        <v>25.713125000000002</v>
      </c>
      <c r="M2585" s="5">
        <v>86.075999999999993</v>
      </c>
      <c r="N2585" s="1">
        <v>296.80340000000001</v>
      </c>
      <c r="O2585" s="2">
        <v>-4.2</v>
      </c>
      <c r="P2585">
        <v>286</v>
      </c>
    </row>
    <row r="2586" spans="1:16" x14ac:dyDescent="0.35">
      <c r="A2586" s="4">
        <v>45689</v>
      </c>
      <c r="B2586" t="s">
        <v>19</v>
      </c>
      <c r="C2586" t="s">
        <v>14</v>
      </c>
      <c r="D2586">
        <v>1</v>
      </c>
      <c r="E2586" s="2">
        <f>(3770*2+3760+3729)/4</f>
        <v>3757.25</v>
      </c>
      <c r="F2586" s="2">
        <f t="shared" si="418"/>
        <v>3666.0374999999999</v>
      </c>
      <c r="G2586" s="3">
        <v>0</v>
      </c>
      <c r="H2586">
        <v>0</v>
      </c>
      <c r="I2586" t="s">
        <v>27</v>
      </c>
      <c r="J2586">
        <v>25314</v>
      </c>
      <c r="K2586">
        <v>24000</v>
      </c>
      <c r="L2586" s="2">
        <v>25.713125000000002</v>
      </c>
      <c r="M2586" s="5">
        <v>86.075999999999993</v>
      </c>
      <c r="N2586" s="1">
        <v>296.80340000000001</v>
      </c>
      <c r="O2586" s="2">
        <v>-4.2</v>
      </c>
      <c r="P2586">
        <v>286</v>
      </c>
    </row>
    <row r="2587" spans="1:16" x14ac:dyDescent="0.35">
      <c r="A2587" s="4">
        <v>45689</v>
      </c>
      <c r="B2587" t="s">
        <v>19</v>
      </c>
      <c r="C2587" t="s">
        <v>15</v>
      </c>
      <c r="D2587">
        <v>1</v>
      </c>
      <c r="E2587" s="2">
        <v>3825</v>
      </c>
      <c r="F2587" s="2">
        <f t="shared" si="418"/>
        <v>3666.0374999999999</v>
      </c>
      <c r="G2587" s="3">
        <v>0</v>
      </c>
      <c r="H2587">
        <v>0</v>
      </c>
      <c r="I2587" t="s">
        <v>27</v>
      </c>
      <c r="J2587">
        <v>25314</v>
      </c>
      <c r="K2587">
        <v>24000</v>
      </c>
      <c r="L2587" s="2">
        <v>25.713125000000002</v>
      </c>
      <c r="M2587" s="5">
        <v>86.075999999999993</v>
      </c>
      <c r="N2587" s="1">
        <v>296.80340000000001</v>
      </c>
      <c r="O2587" s="2">
        <v>-4.2</v>
      </c>
      <c r="P2587">
        <v>286</v>
      </c>
    </row>
    <row r="2588" spans="1:16" x14ac:dyDescent="0.35">
      <c r="A2588" s="4">
        <v>45689</v>
      </c>
      <c r="B2588" t="s">
        <v>20</v>
      </c>
      <c r="C2588" t="s">
        <v>10</v>
      </c>
      <c r="D2588">
        <v>1</v>
      </c>
      <c r="E2588" s="2">
        <v>3550</v>
      </c>
      <c r="F2588" s="2">
        <f>(3374.29+3383.75+3349.38+3395)/4</f>
        <v>3375.605</v>
      </c>
      <c r="G2588" s="3">
        <v>0</v>
      </c>
      <c r="H2588">
        <v>0</v>
      </c>
      <c r="I2588" t="s">
        <v>27</v>
      </c>
      <c r="J2588">
        <v>25314</v>
      </c>
      <c r="K2588">
        <v>24000</v>
      </c>
      <c r="L2588" s="2">
        <v>25.713125000000002</v>
      </c>
      <c r="M2588" s="5">
        <v>86.075999999999993</v>
      </c>
      <c r="N2588" s="1">
        <v>296.80340000000001</v>
      </c>
      <c r="O2588" s="2">
        <v>-4.2</v>
      </c>
      <c r="P2588">
        <v>286</v>
      </c>
    </row>
    <row r="2589" spans="1:16" x14ac:dyDescent="0.35">
      <c r="A2589" s="4">
        <v>45689</v>
      </c>
      <c r="B2589" t="s">
        <v>20</v>
      </c>
      <c r="C2589" t="s">
        <v>11</v>
      </c>
      <c r="D2589">
        <v>1</v>
      </c>
      <c r="E2589" s="2">
        <v>3300</v>
      </c>
      <c r="F2589" s="2">
        <f t="shared" ref="F2589:F2593" si="419">(3374.29+3383.75+3349.38+3395)/4</f>
        <v>3375.605</v>
      </c>
      <c r="G2589" s="3">
        <v>0</v>
      </c>
      <c r="H2589">
        <v>0</v>
      </c>
      <c r="I2589" t="s">
        <v>27</v>
      </c>
      <c r="J2589">
        <v>25314</v>
      </c>
      <c r="K2589">
        <v>24000</v>
      </c>
      <c r="L2589" s="2">
        <v>25.713125000000002</v>
      </c>
      <c r="M2589" s="5">
        <v>86.075999999999993</v>
      </c>
      <c r="N2589" s="1">
        <v>296.80340000000001</v>
      </c>
      <c r="O2589" s="2">
        <v>-4.2</v>
      </c>
      <c r="P2589">
        <v>286</v>
      </c>
    </row>
    <row r="2590" spans="1:16" x14ac:dyDescent="0.35">
      <c r="A2590" s="4">
        <v>45689</v>
      </c>
      <c r="B2590" t="s">
        <v>20</v>
      </c>
      <c r="C2590" t="s">
        <v>12</v>
      </c>
      <c r="D2590">
        <v>1</v>
      </c>
      <c r="E2590" s="2">
        <v>2495</v>
      </c>
      <c r="F2590" s="2">
        <f t="shared" si="419"/>
        <v>3375.605</v>
      </c>
      <c r="G2590" s="3">
        <v>0</v>
      </c>
      <c r="H2590">
        <v>0</v>
      </c>
      <c r="I2590" t="s">
        <v>27</v>
      </c>
      <c r="J2590">
        <v>25314</v>
      </c>
      <c r="K2590">
        <v>24000</v>
      </c>
      <c r="L2590" s="2">
        <v>25.713125000000002</v>
      </c>
      <c r="M2590" s="5">
        <v>86.075999999999993</v>
      </c>
      <c r="N2590" s="1">
        <v>296.80340000000001</v>
      </c>
      <c r="O2590" s="2">
        <v>-4.2</v>
      </c>
      <c r="P2590">
        <v>286</v>
      </c>
    </row>
    <row r="2591" spans="1:16" x14ac:dyDescent="0.35">
      <c r="A2591" s="4">
        <v>45689</v>
      </c>
      <c r="B2591" t="s">
        <v>20</v>
      </c>
      <c r="C2591" t="s">
        <v>13</v>
      </c>
      <c r="D2591">
        <v>1</v>
      </c>
      <c r="E2591" s="2">
        <f>(3575*2+3600+3650)/4</f>
        <v>3600</v>
      </c>
      <c r="F2591" s="2">
        <f t="shared" si="419"/>
        <v>3375.605</v>
      </c>
      <c r="G2591" s="3">
        <v>0</v>
      </c>
      <c r="H2591">
        <v>0</v>
      </c>
      <c r="I2591" t="s">
        <v>27</v>
      </c>
      <c r="J2591">
        <v>25314</v>
      </c>
      <c r="K2591">
        <v>24000</v>
      </c>
      <c r="L2591" s="2">
        <v>25.713125000000002</v>
      </c>
      <c r="M2591" s="5">
        <v>86.075999999999993</v>
      </c>
      <c r="N2591" s="1">
        <v>296.80340000000001</v>
      </c>
      <c r="O2591" s="2">
        <v>-4.2</v>
      </c>
      <c r="P2591">
        <v>286</v>
      </c>
    </row>
    <row r="2592" spans="1:16" x14ac:dyDescent="0.35">
      <c r="A2592" s="4">
        <v>45689</v>
      </c>
      <c r="B2592" t="s">
        <v>20</v>
      </c>
      <c r="C2592" t="s">
        <v>14</v>
      </c>
      <c r="D2592">
        <v>1</v>
      </c>
      <c r="E2592" s="2">
        <v>3600</v>
      </c>
      <c r="F2592" s="2">
        <f t="shared" si="419"/>
        <v>3375.605</v>
      </c>
      <c r="G2592" s="3">
        <v>0</v>
      </c>
      <c r="H2592">
        <v>0</v>
      </c>
      <c r="I2592" t="s">
        <v>27</v>
      </c>
      <c r="J2592">
        <v>25314</v>
      </c>
      <c r="K2592">
        <v>24000</v>
      </c>
      <c r="L2592" s="2">
        <v>25.713125000000002</v>
      </c>
      <c r="M2592" s="5">
        <v>86.075999999999993</v>
      </c>
      <c r="N2592" s="1">
        <v>296.80340000000001</v>
      </c>
      <c r="O2592" s="2">
        <v>-4.2</v>
      </c>
      <c r="P2592">
        <v>286</v>
      </c>
    </row>
    <row r="2593" spans="1:16" x14ac:dyDescent="0.35">
      <c r="A2593" s="4">
        <v>45689</v>
      </c>
      <c r="B2593" t="s">
        <v>20</v>
      </c>
      <c r="C2593" t="s">
        <v>15</v>
      </c>
      <c r="D2593">
        <v>1</v>
      </c>
      <c r="E2593" s="2">
        <v>3650</v>
      </c>
      <c r="F2593" s="2">
        <f t="shared" si="419"/>
        <v>3375.605</v>
      </c>
      <c r="G2593" s="3">
        <v>0</v>
      </c>
      <c r="H2593">
        <v>0</v>
      </c>
      <c r="I2593" t="s">
        <v>27</v>
      </c>
      <c r="J2593">
        <v>25314</v>
      </c>
      <c r="K2593">
        <v>24000</v>
      </c>
      <c r="L2593" s="2">
        <v>25.713125000000002</v>
      </c>
      <c r="M2593" s="5">
        <v>86.075999999999993</v>
      </c>
      <c r="N2593" s="1">
        <v>296.80340000000001</v>
      </c>
      <c r="O2593" s="2">
        <v>-4.2</v>
      </c>
      <c r="P2593">
        <v>286</v>
      </c>
    </row>
    <row r="2594" spans="1:16" x14ac:dyDescent="0.35">
      <c r="A2594" s="4">
        <v>45689</v>
      </c>
      <c r="B2594" t="s">
        <v>21</v>
      </c>
      <c r="C2594" t="s">
        <v>10</v>
      </c>
      <c r="D2594">
        <v>1</v>
      </c>
      <c r="E2594" s="2">
        <v>3275</v>
      </c>
      <c r="F2594" s="2">
        <f>(3210.71+3226+3207.88+3218.75)/4</f>
        <v>3215.835</v>
      </c>
      <c r="G2594" s="3">
        <v>0</v>
      </c>
      <c r="H2594">
        <v>0</v>
      </c>
      <c r="I2594" t="s">
        <v>27</v>
      </c>
      <c r="J2594">
        <v>25314</v>
      </c>
      <c r="K2594">
        <v>24000</v>
      </c>
      <c r="L2594" s="2">
        <v>25.713125000000002</v>
      </c>
      <c r="M2594" s="5">
        <v>86.075999999999993</v>
      </c>
      <c r="N2594" s="1">
        <v>296.80340000000001</v>
      </c>
      <c r="O2594" s="2">
        <v>-4.2</v>
      </c>
      <c r="P2594">
        <v>286</v>
      </c>
    </row>
    <row r="2595" spans="1:16" x14ac:dyDescent="0.35">
      <c r="A2595" s="4">
        <v>45689</v>
      </c>
      <c r="B2595" t="s">
        <v>21</v>
      </c>
      <c r="C2595" t="s">
        <v>11</v>
      </c>
      <c r="D2595">
        <v>1</v>
      </c>
      <c r="E2595" s="2">
        <v>3125</v>
      </c>
      <c r="F2595" s="2">
        <f t="shared" ref="F2595:F2599" si="420">(3210.71+3226+3207.88+3218.75)/4</f>
        <v>3215.835</v>
      </c>
      <c r="G2595" s="3">
        <v>0</v>
      </c>
      <c r="H2595">
        <v>0</v>
      </c>
      <c r="I2595" t="s">
        <v>27</v>
      </c>
      <c r="J2595">
        <v>25314</v>
      </c>
      <c r="K2595">
        <v>24000</v>
      </c>
      <c r="L2595" s="2">
        <v>25.713125000000002</v>
      </c>
      <c r="M2595" s="5">
        <v>86.075999999999993</v>
      </c>
      <c r="N2595" s="1">
        <v>296.80340000000001</v>
      </c>
      <c r="O2595" s="2">
        <v>-4.2</v>
      </c>
      <c r="P2595">
        <v>286</v>
      </c>
    </row>
    <row r="2596" spans="1:16" x14ac:dyDescent="0.35">
      <c r="A2596" s="4">
        <v>45689</v>
      </c>
      <c r="B2596" t="s">
        <v>21</v>
      </c>
      <c r="C2596" t="s">
        <v>12</v>
      </c>
      <c r="D2596">
        <v>1</v>
      </c>
      <c r="E2596" s="2">
        <v>2300</v>
      </c>
      <c r="F2596" s="2">
        <f t="shared" si="420"/>
        <v>3215.835</v>
      </c>
      <c r="G2596" s="3">
        <v>0</v>
      </c>
      <c r="H2596">
        <v>0</v>
      </c>
      <c r="I2596" t="s">
        <v>27</v>
      </c>
      <c r="J2596">
        <v>25314</v>
      </c>
      <c r="K2596">
        <v>24000</v>
      </c>
      <c r="L2596" s="2">
        <v>25.713125000000002</v>
      </c>
      <c r="M2596" s="5">
        <v>86.075999999999993</v>
      </c>
      <c r="N2596" s="1">
        <v>296.80340000000001</v>
      </c>
      <c r="O2596" s="2">
        <v>-4.2</v>
      </c>
      <c r="P2596">
        <v>286</v>
      </c>
    </row>
    <row r="2597" spans="1:16" x14ac:dyDescent="0.35">
      <c r="A2597" s="4">
        <v>45689</v>
      </c>
      <c r="B2597" t="s">
        <v>21</v>
      </c>
      <c r="C2597" t="s">
        <v>13</v>
      </c>
      <c r="D2597">
        <v>1</v>
      </c>
      <c r="E2597" s="2">
        <v>3437.5</v>
      </c>
      <c r="F2597" s="2">
        <f t="shared" si="420"/>
        <v>3215.835</v>
      </c>
      <c r="G2597" s="3">
        <v>0</v>
      </c>
      <c r="H2597">
        <v>0</v>
      </c>
      <c r="I2597" t="s">
        <v>27</v>
      </c>
      <c r="J2597">
        <v>25314</v>
      </c>
      <c r="K2597">
        <v>24000</v>
      </c>
      <c r="L2597" s="2">
        <v>25.713125000000002</v>
      </c>
      <c r="M2597" s="5">
        <v>86.075999999999993</v>
      </c>
      <c r="N2597" s="1">
        <v>296.80340000000001</v>
      </c>
      <c r="O2597" s="2">
        <v>-4.2</v>
      </c>
      <c r="P2597">
        <v>286</v>
      </c>
    </row>
    <row r="2598" spans="1:16" x14ac:dyDescent="0.35">
      <c r="A2598" s="4">
        <v>45689</v>
      </c>
      <c r="B2598" t="s">
        <v>21</v>
      </c>
      <c r="C2598" t="s">
        <v>14</v>
      </c>
      <c r="D2598">
        <v>1</v>
      </c>
      <c r="E2598" s="2">
        <f>(3425+3463+3483+3500)/4</f>
        <v>3467.75</v>
      </c>
      <c r="F2598" s="2">
        <f t="shared" si="420"/>
        <v>3215.835</v>
      </c>
      <c r="G2598" s="3">
        <v>0</v>
      </c>
      <c r="H2598">
        <v>0</v>
      </c>
      <c r="I2598" t="s">
        <v>27</v>
      </c>
      <c r="J2598">
        <v>25314</v>
      </c>
      <c r="K2598">
        <v>24000</v>
      </c>
      <c r="L2598" s="2">
        <v>25.713125000000002</v>
      </c>
      <c r="M2598" s="5">
        <v>86.075999999999993</v>
      </c>
      <c r="N2598" s="1">
        <v>296.80340000000001</v>
      </c>
      <c r="O2598" s="2">
        <v>-4.2</v>
      </c>
      <c r="P2598">
        <v>286</v>
      </c>
    </row>
    <row r="2599" spans="1:16" x14ac:dyDescent="0.35">
      <c r="A2599" s="4">
        <v>45689</v>
      </c>
      <c r="B2599" t="s">
        <v>21</v>
      </c>
      <c r="C2599" t="s">
        <v>15</v>
      </c>
      <c r="D2599">
        <v>1</v>
      </c>
      <c r="E2599" s="2">
        <f>(3600*2+3500+3525)/4</f>
        <v>3556.25</v>
      </c>
      <c r="F2599" s="2">
        <f t="shared" si="420"/>
        <v>3215.835</v>
      </c>
      <c r="G2599" s="3">
        <v>0</v>
      </c>
      <c r="H2599">
        <v>0</v>
      </c>
      <c r="I2599" t="s">
        <v>27</v>
      </c>
      <c r="J2599">
        <v>25314</v>
      </c>
      <c r="K2599">
        <v>24000</v>
      </c>
      <c r="L2599" s="2">
        <v>25.713125000000002</v>
      </c>
      <c r="M2599" s="5">
        <v>86.075999999999993</v>
      </c>
      <c r="N2599" s="1">
        <v>296.80340000000001</v>
      </c>
      <c r="O2599" s="2">
        <v>-4.2</v>
      </c>
      <c r="P2599">
        <v>286</v>
      </c>
    </row>
    <row r="2600" spans="1:16" x14ac:dyDescent="0.35">
      <c r="A2600" s="4">
        <v>45689</v>
      </c>
      <c r="B2600" t="s">
        <v>22</v>
      </c>
      <c r="C2600" t="s">
        <v>10</v>
      </c>
      <c r="D2600">
        <v>0</v>
      </c>
      <c r="E2600" s="2" t="s">
        <v>27</v>
      </c>
      <c r="F2600" s="2">
        <f t="shared" ref="F2600:F2603" si="421">(3300+3263+3275+3460)/4</f>
        <v>3324.5</v>
      </c>
      <c r="G2600" s="3">
        <v>0</v>
      </c>
      <c r="H2600">
        <v>0</v>
      </c>
      <c r="I2600" t="s">
        <v>27</v>
      </c>
      <c r="J2600">
        <v>25314</v>
      </c>
      <c r="K2600">
        <v>24000</v>
      </c>
      <c r="L2600" s="2">
        <v>25.713125000000002</v>
      </c>
      <c r="M2600" s="5">
        <v>86.075999999999993</v>
      </c>
      <c r="N2600" s="1">
        <v>296.80340000000001</v>
      </c>
      <c r="O2600" s="2">
        <v>-4.2</v>
      </c>
      <c r="P2600">
        <v>286</v>
      </c>
    </row>
    <row r="2601" spans="1:16" x14ac:dyDescent="0.35">
      <c r="A2601" s="4">
        <v>45689</v>
      </c>
      <c r="B2601" t="s">
        <v>22</v>
      </c>
      <c r="C2601" t="s">
        <v>11</v>
      </c>
      <c r="D2601">
        <v>0</v>
      </c>
      <c r="E2601" s="2" t="s">
        <v>27</v>
      </c>
      <c r="F2601" s="2">
        <f t="shared" si="421"/>
        <v>3324.5</v>
      </c>
      <c r="G2601" s="3">
        <v>0</v>
      </c>
      <c r="H2601">
        <v>0</v>
      </c>
      <c r="I2601" t="s">
        <v>27</v>
      </c>
      <c r="J2601">
        <v>25314</v>
      </c>
      <c r="K2601">
        <v>24000</v>
      </c>
      <c r="L2601" s="2">
        <v>25.713125000000002</v>
      </c>
      <c r="M2601" s="5">
        <v>86.075999999999993</v>
      </c>
      <c r="N2601" s="1">
        <v>296.80340000000001</v>
      </c>
      <c r="O2601" s="2">
        <v>-4.2</v>
      </c>
      <c r="P2601">
        <v>286</v>
      </c>
    </row>
    <row r="2602" spans="1:16" x14ac:dyDescent="0.35">
      <c r="A2602" s="4">
        <v>45689</v>
      </c>
      <c r="B2602" t="s">
        <v>22</v>
      </c>
      <c r="C2602" t="s">
        <v>12</v>
      </c>
      <c r="D2602">
        <v>0</v>
      </c>
      <c r="E2602" s="2" t="s">
        <v>27</v>
      </c>
      <c r="F2602" s="2">
        <f t="shared" si="421"/>
        <v>3324.5</v>
      </c>
      <c r="G2602" s="3">
        <v>0</v>
      </c>
      <c r="H2602">
        <v>0</v>
      </c>
      <c r="I2602" t="s">
        <v>27</v>
      </c>
      <c r="J2602">
        <v>25314</v>
      </c>
      <c r="K2602">
        <v>24000</v>
      </c>
      <c r="L2602" s="2">
        <v>25.713125000000002</v>
      </c>
      <c r="M2602" s="5">
        <v>86.075999999999993</v>
      </c>
      <c r="N2602" s="1">
        <v>296.80340000000001</v>
      </c>
      <c r="O2602" s="2">
        <v>-4.2</v>
      </c>
      <c r="P2602">
        <v>286</v>
      </c>
    </row>
    <row r="2603" spans="1:16" x14ac:dyDescent="0.35">
      <c r="A2603" s="4">
        <v>45689</v>
      </c>
      <c r="B2603" t="s">
        <v>22</v>
      </c>
      <c r="C2603" t="s">
        <v>13</v>
      </c>
      <c r="D2603">
        <v>0</v>
      </c>
      <c r="E2603" s="2" t="s">
        <v>27</v>
      </c>
      <c r="F2603" s="2">
        <f t="shared" si="421"/>
        <v>3324.5</v>
      </c>
      <c r="G2603" s="3">
        <v>0</v>
      </c>
      <c r="H2603">
        <v>0</v>
      </c>
      <c r="I2603" t="s">
        <v>27</v>
      </c>
      <c r="J2603">
        <v>25314</v>
      </c>
      <c r="K2603">
        <v>24000</v>
      </c>
      <c r="L2603" s="2">
        <v>25.713125000000002</v>
      </c>
      <c r="M2603" s="5">
        <v>86.075999999999993</v>
      </c>
      <c r="N2603" s="1">
        <v>296.80340000000001</v>
      </c>
      <c r="O2603" s="2">
        <v>-4.2</v>
      </c>
      <c r="P2603">
        <v>286</v>
      </c>
    </row>
    <row r="2604" spans="1:16" x14ac:dyDescent="0.35">
      <c r="A2604" s="4">
        <v>45689</v>
      </c>
      <c r="B2604" t="s">
        <v>22</v>
      </c>
      <c r="C2604" t="s">
        <v>14</v>
      </c>
      <c r="D2604">
        <v>1</v>
      </c>
      <c r="E2604" s="2">
        <f>(3300+3263+3275+3460)/4</f>
        <v>3324.5</v>
      </c>
      <c r="F2604" s="2">
        <f>(3300+3263+3275+3460)/4</f>
        <v>3324.5</v>
      </c>
      <c r="G2604" s="3">
        <v>0</v>
      </c>
      <c r="H2604">
        <v>0</v>
      </c>
      <c r="I2604" t="s">
        <v>27</v>
      </c>
      <c r="J2604">
        <v>25314</v>
      </c>
      <c r="K2604">
        <v>24000</v>
      </c>
      <c r="L2604" s="2">
        <v>25.713125000000002</v>
      </c>
      <c r="M2604" s="5">
        <v>86.075999999999993</v>
      </c>
      <c r="N2604" s="1">
        <v>296.80340000000001</v>
      </c>
      <c r="O2604" s="2">
        <v>-4.2</v>
      </c>
      <c r="P2604">
        <v>286</v>
      </c>
    </row>
    <row r="2605" spans="1:16" x14ac:dyDescent="0.35">
      <c r="A2605" s="4">
        <v>45689</v>
      </c>
      <c r="B2605" t="s">
        <v>22</v>
      </c>
      <c r="C2605" t="s">
        <v>15</v>
      </c>
      <c r="D2605">
        <v>0</v>
      </c>
      <c r="E2605" s="2" t="s">
        <v>27</v>
      </c>
      <c r="F2605" s="2">
        <f>(3300+3263+3275+3460)/4</f>
        <v>3324.5</v>
      </c>
      <c r="G2605" s="3">
        <v>0</v>
      </c>
      <c r="H2605">
        <v>0</v>
      </c>
      <c r="I2605" t="s">
        <v>27</v>
      </c>
      <c r="J2605">
        <v>25314</v>
      </c>
      <c r="K2605">
        <v>24000</v>
      </c>
      <c r="L2605" s="2">
        <v>25.713125000000002</v>
      </c>
      <c r="M2605" s="5">
        <v>86.075999999999993</v>
      </c>
      <c r="N2605" s="1">
        <v>296.80340000000001</v>
      </c>
      <c r="O2605" s="2">
        <v>-4.2</v>
      </c>
      <c r="P2605">
        <v>286</v>
      </c>
    </row>
    <row r="2606" spans="1:16" x14ac:dyDescent="0.35">
      <c r="A2606" s="4">
        <v>45717</v>
      </c>
      <c r="B2606" t="s">
        <v>16</v>
      </c>
      <c r="C2606" t="s">
        <v>10</v>
      </c>
      <c r="D2606">
        <v>1</v>
      </c>
      <c r="E2606" s="2">
        <v>4500</v>
      </c>
      <c r="F2606" s="2">
        <f>(4607.5*2+4563.75+4570)/4</f>
        <v>4587.1875</v>
      </c>
      <c r="G2606" s="3">
        <v>0</v>
      </c>
      <c r="H2606">
        <v>0</v>
      </c>
      <c r="I2606" t="s">
        <v>27</v>
      </c>
      <c r="J2606">
        <v>22329</v>
      </c>
      <c r="K2606">
        <v>19000</v>
      </c>
      <c r="L2606" s="2">
        <v>26.675625000000007</v>
      </c>
      <c r="M2606" s="5">
        <v>229.66600000000003</v>
      </c>
      <c r="N2606" s="1">
        <v>295.90899999999999</v>
      </c>
      <c r="O2606" s="2">
        <v>-2.6</v>
      </c>
      <c r="P2606">
        <v>286</v>
      </c>
    </row>
    <row r="2607" spans="1:16" x14ac:dyDescent="0.35">
      <c r="A2607" s="4">
        <v>45717</v>
      </c>
      <c r="B2607" t="s">
        <v>16</v>
      </c>
      <c r="C2607" t="s">
        <v>11</v>
      </c>
      <c r="D2607">
        <v>0</v>
      </c>
      <c r="E2607" s="2" t="s">
        <v>27</v>
      </c>
      <c r="F2607" s="2">
        <f t="shared" ref="F2607:F2611" si="422">(4607.5*2+4563.75+4570)/4</f>
        <v>4587.1875</v>
      </c>
      <c r="G2607" s="3">
        <v>0</v>
      </c>
      <c r="H2607">
        <v>0</v>
      </c>
      <c r="I2607" t="s">
        <v>27</v>
      </c>
      <c r="J2607">
        <v>22329</v>
      </c>
      <c r="K2607">
        <v>19000</v>
      </c>
      <c r="L2607" s="2">
        <v>26.675625000000007</v>
      </c>
      <c r="M2607" s="5">
        <v>229.66600000000003</v>
      </c>
      <c r="N2607" s="1">
        <v>295.90899999999999</v>
      </c>
      <c r="O2607" s="2">
        <v>-2.6</v>
      </c>
      <c r="P2607">
        <v>286</v>
      </c>
    </row>
    <row r="2608" spans="1:16" x14ac:dyDescent="0.35">
      <c r="A2608" s="4">
        <v>45717</v>
      </c>
      <c r="B2608" t="s">
        <v>16</v>
      </c>
      <c r="C2608" t="s">
        <v>12</v>
      </c>
      <c r="D2608">
        <v>1</v>
      </c>
      <c r="E2608" s="2">
        <v>4480</v>
      </c>
      <c r="F2608" s="2">
        <f t="shared" si="422"/>
        <v>4587.1875</v>
      </c>
      <c r="G2608" s="3">
        <v>0</v>
      </c>
      <c r="H2608">
        <v>0</v>
      </c>
      <c r="I2608" t="s">
        <v>27</v>
      </c>
      <c r="J2608">
        <v>22329</v>
      </c>
      <c r="K2608">
        <v>19000</v>
      </c>
      <c r="L2608" s="2">
        <v>26.675625000000007</v>
      </c>
      <c r="M2608" s="5">
        <v>229.66600000000003</v>
      </c>
      <c r="N2608" s="1">
        <v>295.90899999999999</v>
      </c>
      <c r="O2608" s="2">
        <v>-2.6</v>
      </c>
      <c r="P2608">
        <v>286</v>
      </c>
    </row>
    <row r="2609" spans="1:16" x14ac:dyDescent="0.35">
      <c r="A2609" s="4">
        <v>45717</v>
      </c>
      <c r="B2609" t="s">
        <v>16</v>
      </c>
      <c r="C2609" t="s">
        <v>13</v>
      </c>
      <c r="D2609">
        <v>1</v>
      </c>
      <c r="E2609" s="2">
        <v>4825</v>
      </c>
      <c r="F2609" s="2">
        <f t="shared" si="422"/>
        <v>4587.1875</v>
      </c>
      <c r="G2609" s="3">
        <v>0</v>
      </c>
      <c r="H2609">
        <v>0</v>
      </c>
      <c r="I2609" t="s">
        <v>27</v>
      </c>
      <c r="J2609">
        <v>22329</v>
      </c>
      <c r="K2609">
        <v>19000</v>
      </c>
      <c r="L2609" s="2">
        <v>26.675625000000007</v>
      </c>
      <c r="M2609" s="5">
        <v>229.66600000000003</v>
      </c>
      <c r="N2609" s="1">
        <v>295.90899999999999</v>
      </c>
      <c r="O2609" s="2">
        <v>-2.6</v>
      </c>
      <c r="P2609">
        <v>286</v>
      </c>
    </row>
    <row r="2610" spans="1:16" x14ac:dyDescent="0.35">
      <c r="A2610" s="4">
        <v>45717</v>
      </c>
      <c r="B2610" t="s">
        <v>16</v>
      </c>
      <c r="C2610" t="s">
        <v>14</v>
      </c>
      <c r="D2610">
        <v>1</v>
      </c>
      <c r="E2610" s="2">
        <v>4550</v>
      </c>
      <c r="F2610" s="2">
        <f t="shared" si="422"/>
        <v>4587.1875</v>
      </c>
      <c r="G2610" s="3">
        <v>0</v>
      </c>
      <c r="H2610">
        <v>0</v>
      </c>
      <c r="I2610" t="s">
        <v>27</v>
      </c>
      <c r="J2610">
        <v>22329</v>
      </c>
      <c r="K2610">
        <v>19000</v>
      </c>
      <c r="L2610" s="2">
        <v>26.675625000000007</v>
      </c>
      <c r="M2610" s="5">
        <v>229.66600000000003</v>
      </c>
      <c r="N2610" s="1">
        <v>295.90899999999999</v>
      </c>
      <c r="O2610" s="2">
        <v>-2.6</v>
      </c>
      <c r="P2610">
        <v>286</v>
      </c>
    </row>
    <row r="2611" spans="1:16" x14ac:dyDescent="0.35">
      <c r="A2611" s="4">
        <v>45717</v>
      </c>
      <c r="B2611" t="s">
        <v>16</v>
      </c>
      <c r="C2611" t="s">
        <v>15</v>
      </c>
      <c r="D2611">
        <v>0</v>
      </c>
      <c r="E2611" s="2" t="s">
        <v>27</v>
      </c>
      <c r="F2611" s="2">
        <f t="shared" si="422"/>
        <v>4587.1875</v>
      </c>
      <c r="G2611" s="3">
        <v>0</v>
      </c>
      <c r="H2611">
        <v>0</v>
      </c>
      <c r="I2611" t="s">
        <v>27</v>
      </c>
      <c r="J2611">
        <v>22329</v>
      </c>
      <c r="K2611">
        <v>19000</v>
      </c>
      <c r="L2611" s="2">
        <v>26.675625000000007</v>
      </c>
      <c r="M2611" s="5">
        <v>229.66600000000003</v>
      </c>
      <c r="N2611" s="1">
        <v>295.90899999999999</v>
      </c>
      <c r="O2611" s="2">
        <v>-2.6</v>
      </c>
      <c r="P2611">
        <v>286</v>
      </c>
    </row>
    <row r="2612" spans="1:16" x14ac:dyDescent="0.35">
      <c r="A2612" s="4">
        <v>45717</v>
      </c>
      <c r="B2612" t="s">
        <v>17</v>
      </c>
      <c r="C2612" t="s">
        <v>10</v>
      </c>
      <c r="D2612">
        <v>1</v>
      </c>
      <c r="E2612" s="2">
        <f>(3900*2+3950+4000)/4</f>
        <v>3937.5</v>
      </c>
      <c r="F2612" s="2">
        <f>(4024+4039+4049+4070.6)/4</f>
        <v>4045.65</v>
      </c>
      <c r="G2612" s="3">
        <v>0</v>
      </c>
      <c r="H2612">
        <v>0</v>
      </c>
      <c r="I2612" t="s">
        <v>27</v>
      </c>
      <c r="J2612">
        <v>22329</v>
      </c>
      <c r="K2612">
        <v>19000</v>
      </c>
      <c r="L2612" s="2">
        <v>26.675625000000007</v>
      </c>
      <c r="M2612" s="5">
        <v>229.66600000000003</v>
      </c>
      <c r="N2612" s="1">
        <v>295.90899999999999</v>
      </c>
      <c r="O2612" s="2">
        <v>-2.6</v>
      </c>
      <c r="P2612">
        <v>286</v>
      </c>
    </row>
    <row r="2613" spans="1:16" x14ac:dyDescent="0.35">
      <c r="A2613" s="4">
        <v>45717</v>
      </c>
      <c r="B2613" t="s">
        <v>17</v>
      </c>
      <c r="C2613" t="s">
        <v>11</v>
      </c>
      <c r="D2613">
        <v>1</v>
      </c>
      <c r="E2613" s="2">
        <v>4000</v>
      </c>
      <c r="F2613" s="2">
        <f t="shared" ref="F2613:F2617" si="423">(4024+4039+4049+4070.6)/4</f>
        <v>4045.65</v>
      </c>
      <c r="G2613" s="3">
        <v>0</v>
      </c>
      <c r="H2613">
        <v>0</v>
      </c>
      <c r="I2613" t="s">
        <v>27</v>
      </c>
      <c r="J2613">
        <v>22329</v>
      </c>
      <c r="K2613">
        <v>19000</v>
      </c>
      <c r="L2613" s="2">
        <v>26.675625000000007</v>
      </c>
      <c r="M2613" s="5">
        <v>229.66600000000003</v>
      </c>
      <c r="N2613" s="1">
        <v>295.90899999999999</v>
      </c>
      <c r="O2613" s="2">
        <v>-2.6</v>
      </c>
      <c r="P2613">
        <v>286</v>
      </c>
    </row>
    <row r="2614" spans="1:16" x14ac:dyDescent="0.35">
      <c r="A2614" s="4">
        <v>45717</v>
      </c>
      <c r="B2614" t="s">
        <v>17</v>
      </c>
      <c r="C2614" t="s">
        <v>12</v>
      </c>
      <c r="D2614">
        <v>1</v>
      </c>
      <c r="E2614" s="2">
        <v>4070</v>
      </c>
      <c r="F2614" s="2">
        <f t="shared" si="423"/>
        <v>4045.65</v>
      </c>
      <c r="G2614" s="3">
        <v>0</v>
      </c>
      <c r="H2614">
        <v>0</v>
      </c>
      <c r="I2614" t="s">
        <v>27</v>
      </c>
      <c r="J2614">
        <v>22329</v>
      </c>
      <c r="K2614">
        <v>19000</v>
      </c>
      <c r="L2614" s="2">
        <v>26.675625000000007</v>
      </c>
      <c r="M2614" s="5">
        <v>229.66600000000003</v>
      </c>
      <c r="N2614" s="1">
        <v>295.90899999999999</v>
      </c>
      <c r="O2614" s="2">
        <v>-2.6</v>
      </c>
      <c r="P2614">
        <v>286</v>
      </c>
    </row>
    <row r="2615" spans="1:16" x14ac:dyDescent="0.35">
      <c r="A2615" s="4">
        <v>45717</v>
      </c>
      <c r="B2615" t="s">
        <v>17</v>
      </c>
      <c r="C2615" t="s">
        <v>13</v>
      </c>
      <c r="D2615">
        <v>1</v>
      </c>
      <c r="E2615" s="2">
        <f>(4100+4225+4175+4250)/4</f>
        <v>4187.5</v>
      </c>
      <c r="F2615" s="2">
        <f t="shared" si="423"/>
        <v>4045.65</v>
      </c>
      <c r="G2615" s="3">
        <v>0</v>
      </c>
      <c r="H2615">
        <v>0</v>
      </c>
      <c r="I2615" t="s">
        <v>27</v>
      </c>
      <c r="J2615">
        <v>22329</v>
      </c>
      <c r="K2615">
        <v>19000</v>
      </c>
      <c r="L2615" s="2">
        <v>26.675625000000007</v>
      </c>
      <c r="M2615" s="5">
        <v>229.66600000000003</v>
      </c>
      <c r="N2615" s="1">
        <v>295.90899999999999</v>
      </c>
      <c r="O2615" s="2">
        <v>-2.6</v>
      </c>
      <c r="P2615">
        <v>286</v>
      </c>
    </row>
    <row r="2616" spans="1:16" x14ac:dyDescent="0.35">
      <c r="A2616" s="4">
        <v>45717</v>
      </c>
      <c r="B2616" t="s">
        <v>17</v>
      </c>
      <c r="C2616" t="s">
        <v>14</v>
      </c>
      <c r="D2616">
        <v>1</v>
      </c>
      <c r="E2616" s="2">
        <f>(4000*2+4083+4050)/4</f>
        <v>4033.25</v>
      </c>
      <c r="F2616" s="2">
        <f t="shared" si="423"/>
        <v>4045.65</v>
      </c>
      <c r="G2616" s="3">
        <v>0</v>
      </c>
      <c r="H2616">
        <v>0</v>
      </c>
      <c r="I2616" t="s">
        <v>27</v>
      </c>
      <c r="J2616">
        <v>22329</v>
      </c>
      <c r="K2616">
        <v>19000</v>
      </c>
      <c r="L2616" s="2">
        <v>26.675625000000007</v>
      </c>
      <c r="M2616" s="5">
        <v>229.66600000000003</v>
      </c>
      <c r="N2616" s="1">
        <v>295.90899999999999</v>
      </c>
      <c r="O2616" s="2">
        <v>-2.6</v>
      </c>
      <c r="P2616">
        <v>286</v>
      </c>
    </row>
    <row r="2617" spans="1:16" x14ac:dyDescent="0.35">
      <c r="A2617" s="4">
        <v>45717</v>
      </c>
      <c r="B2617" t="s">
        <v>17</v>
      </c>
      <c r="C2617" t="s">
        <v>15</v>
      </c>
      <c r="D2617">
        <v>0</v>
      </c>
      <c r="E2617" s="2" t="s">
        <v>27</v>
      </c>
      <c r="F2617" s="2">
        <f t="shared" si="423"/>
        <v>4045.65</v>
      </c>
      <c r="G2617" s="3">
        <v>0</v>
      </c>
      <c r="H2617">
        <v>0</v>
      </c>
      <c r="I2617" t="s">
        <v>27</v>
      </c>
      <c r="J2617">
        <v>22329</v>
      </c>
      <c r="K2617">
        <v>19000</v>
      </c>
      <c r="L2617" s="2">
        <v>26.675625000000007</v>
      </c>
      <c r="M2617" s="5">
        <v>229.66600000000003</v>
      </c>
      <c r="N2617" s="1">
        <v>295.90899999999999</v>
      </c>
      <c r="O2617" s="2">
        <v>-2.6</v>
      </c>
      <c r="P2617">
        <v>286</v>
      </c>
    </row>
    <row r="2618" spans="1:16" x14ac:dyDescent="0.35">
      <c r="A2618" s="4">
        <v>45717</v>
      </c>
      <c r="B2618" t="s">
        <v>18</v>
      </c>
      <c r="C2618" t="s">
        <v>10</v>
      </c>
      <c r="D2618">
        <v>1</v>
      </c>
      <c r="E2618" s="2">
        <f>(3750*2+3800+3850)/4</f>
        <v>3787.5</v>
      </c>
      <c r="F2618" s="2">
        <f>(3720.25+3816.63+3793.13+3810.63)/4</f>
        <v>3785.16</v>
      </c>
      <c r="G2618" s="3">
        <v>0</v>
      </c>
      <c r="H2618">
        <v>0</v>
      </c>
      <c r="I2618" t="s">
        <v>27</v>
      </c>
      <c r="J2618">
        <v>22329</v>
      </c>
      <c r="K2618">
        <v>19000</v>
      </c>
      <c r="L2618" s="2">
        <v>26.675625000000007</v>
      </c>
      <c r="M2618" s="5">
        <v>229.66600000000003</v>
      </c>
      <c r="N2618" s="1">
        <v>295.90899999999999</v>
      </c>
      <c r="O2618" s="2">
        <v>-2.6</v>
      </c>
      <c r="P2618">
        <v>286</v>
      </c>
    </row>
    <row r="2619" spans="1:16" x14ac:dyDescent="0.35">
      <c r="A2619" s="4">
        <v>45717</v>
      </c>
      <c r="B2619" t="s">
        <v>18</v>
      </c>
      <c r="C2619" t="s">
        <v>11</v>
      </c>
      <c r="D2619">
        <v>1</v>
      </c>
      <c r="E2619" s="2">
        <f>(3800*2+3900+3850)/4</f>
        <v>3837.5</v>
      </c>
      <c r="F2619" s="2">
        <f t="shared" ref="F2619:F2623" si="424">(3720.25+3816.63+3793.13+3810.63)/4</f>
        <v>3785.16</v>
      </c>
      <c r="G2619" s="3">
        <v>0</v>
      </c>
      <c r="H2619">
        <v>0</v>
      </c>
      <c r="I2619" t="s">
        <v>27</v>
      </c>
      <c r="J2619">
        <v>22329</v>
      </c>
      <c r="K2619">
        <v>19000</v>
      </c>
      <c r="L2619" s="2">
        <v>26.675625000000007</v>
      </c>
      <c r="M2619" s="5">
        <v>229.66600000000003</v>
      </c>
      <c r="N2619" s="1">
        <v>295.90899999999999</v>
      </c>
      <c r="O2619" s="2">
        <v>-2.6</v>
      </c>
      <c r="P2619">
        <v>286</v>
      </c>
    </row>
    <row r="2620" spans="1:16" x14ac:dyDescent="0.35">
      <c r="A2620" s="4">
        <v>45717</v>
      </c>
      <c r="B2620" t="s">
        <v>18</v>
      </c>
      <c r="C2620" t="s">
        <v>12</v>
      </c>
      <c r="D2620">
        <v>1</v>
      </c>
      <c r="E2620" s="2">
        <v>3695</v>
      </c>
      <c r="F2620" s="2">
        <f t="shared" si="424"/>
        <v>3785.16</v>
      </c>
      <c r="G2620" s="3">
        <v>0</v>
      </c>
      <c r="H2620">
        <v>0</v>
      </c>
      <c r="I2620" t="s">
        <v>27</v>
      </c>
      <c r="J2620">
        <v>22329</v>
      </c>
      <c r="K2620">
        <v>19000</v>
      </c>
      <c r="L2620" s="2">
        <v>26.675625000000007</v>
      </c>
      <c r="M2620" s="5">
        <v>229.66600000000003</v>
      </c>
      <c r="N2620" s="1">
        <v>295.90899999999999</v>
      </c>
      <c r="O2620" s="2">
        <v>-2.6</v>
      </c>
      <c r="P2620">
        <v>286</v>
      </c>
    </row>
    <row r="2621" spans="1:16" x14ac:dyDescent="0.35">
      <c r="A2621" s="4">
        <v>45717</v>
      </c>
      <c r="B2621" t="s">
        <v>18</v>
      </c>
      <c r="C2621" t="s">
        <v>13</v>
      </c>
      <c r="D2621">
        <v>1</v>
      </c>
      <c r="E2621" s="2">
        <f>(3850+3925+3950+3950)/4</f>
        <v>3918.75</v>
      </c>
      <c r="F2621" s="2">
        <f t="shared" si="424"/>
        <v>3785.16</v>
      </c>
      <c r="G2621" s="3">
        <v>0</v>
      </c>
      <c r="H2621">
        <v>0</v>
      </c>
      <c r="I2621" t="s">
        <v>27</v>
      </c>
      <c r="J2621">
        <v>22329</v>
      </c>
      <c r="K2621">
        <v>19000</v>
      </c>
      <c r="L2621" s="2">
        <v>26.675625000000007</v>
      </c>
      <c r="M2621" s="5">
        <v>229.66600000000003</v>
      </c>
      <c r="N2621" s="1">
        <v>295.90899999999999</v>
      </c>
      <c r="O2621" s="2">
        <v>-2.6</v>
      </c>
      <c r="P2621">
        <v>286</v>
      </c>
    </row>
    <row r="2622" spans="1:16" x14ac:dyDescent="0.35">
      <c r="A2622" s="4">
        <v>45717</v>
      </c>
      <c r="B2622" t="s">
        <v>18</v>
      </c>
      <c r="C2622" t="s">
        <v>14</v>
      </c>
      <c r="D2622">
        <v>1</v>
      </c>
      <c r="E2622" s="2">
        <f>(3967+3888+3875+3940)/4</f>
        <v>3917.5</v>
      </c>
      <c r="F2622" s="2">
        <f t="shared" si="424"/>
        <v>3785.16</v>
      </c>
      <c r="G2622" s="3">
        <v>0</v>
      </c>
      <c r="H2622">
        <v>0</v>
      </c>
      <c r="I2622" t="s">
        <v>27</v>
      </c>
      <c r="J2622">
        <v>22329</v>
      </c>
      <c r="K2622">
        <v>19000</v>
      </c>
      <c r="L2622" s="2">
        <v>26.675625000000007</v>
      </c>
      <c r="M2622" s="5">
        <v>229.66600000000003</v>
      </c>
      <c r="N2622" s="1">
        <v>295.90899999999999</v>
      </c>
      <c r="O2622" s="2">
        <v>-2.6</v>
      </c>
      <c r="P2622">
        <v>286</v>
      </c>
    </row>
    <row r="2623" spans="1:16" x14ac:dyDescent="0.35">
      <c r="A2623" s="4">
        <v>45717</v>
      </c>
      <c r="B2623" t="s">
        <v>18</v>
      </c>
      <c r="C2623" t="s">
        <v>15</v>
      </c>
      <c r="D2623">
        <v>1</v>
      </c>
      <c r="E2623" s="2">
        <v>4000</v>
      </c>
      <c r="F2623" s="2">
        <f t="shared" si="424"/>
        <v>3785.16</v>
      </c>
      <c r="G2623" s="3">
        <v>0</v>
      </c>
      <c r="H2623">
        <v>0</v>
      </c>
      <c r="I2623" t="s">
        <v>27</v>
      </c>
      <c r="J2623">
        <v>22329</v>
      </c>
      <c r="K2623">
        <v>19000</v>
      </c>
      <c r="L2623" s="2">
        <v>26.675625000000007</v>
      </c>
      <c r="M2623" s="5">
        <v>229.66600000000003</v>
      </c>
      <c r="N2623" s="1">
        <v>295.90899999999999</v>
      </c>
      <c r="O2623" s="2">
        <v>-2.6</v>
      </c>
      <c r="P2623">
        <v>286</v>
      </c>
    </row>
    <row r="2624" spans="1:16" x14ac:dyDescent="0.35">
      <c r="A2624" s="4">
        <v>45717</v>
      </c>
      <c r="B2624" t="s">
        <v>19</v>
      </c>
      <c r="C2624" t="s">
        <v>10</v>
      </c>
      <c r="D2624">
        <v>1</v>
      </c>
      <c r="E2624" s="2">
        <v>3650</v>
      </c>
      <c r="F2624" s="2">
        <f>(3688.88+3688.38+3674.75+3673.75)/4</f>
        <v>3681.44</v>
      </c>
      <c r="G2624" s="3">
        <v>0</v>
      </c>
      <c r="H2624">
        <v>0</v>
      </c>
      <c r="I2624" t="s">
        <v>27</v>
      </c>
      <c r="J2624">
        <v>22329</v>
      </c>
      <c r="K2624">
        <v>19000</v>
      </c>
      <c r="L2624" s="2">
        <v>26.675625000000007</v>
      </c>
      <c r="M2624" s="5">
        <v>229.66600000000003</v>
      </c>
      <c r="N2624" s="1">
        <v>295.90899999999999</v>
      </c>
      <c r="O2624" s="2">
        <v>-2.6</v>
      </c>
      <c r="P2624">
        <v>286</v>
      </c>
    </row>
    <row r="2625" spans="1:16" x14ac:dyDescent="0.35">
      <c r="A2625" s="4">
        <v>45717</v>
      </c>
      <c r="B2625" t="s">
        <v>19</v>
      </c>
      <c r="C2625" t="s">
        <v>11</v>
      </c>
      <c r="D2625">
        <v>1</v>
      </c>
      <c r="E2625" s="2">
        <f>(3700*2+3750+3800)/4</f>
        <v>3737.5</v>
      </c>
      <c r="F2625" s="2">
        <f t="shared" ref="F2625:F2629" si="425">(3688.88+3688.38+3674.75+3673.75)/4</f>
        <v>3681.44</v>
      </c>
      <c r="G2625" s="3">
        <v>0</v>
      </c>
      <c r="H2625">
        <v>0</v>
      </c>
      <c r="I2625" t="s">
        <v>27</v>
      </c>
      <c r="J2625">
        <v>22329</v>
      </c>
      <c r="K2625">
        <v>19000</v>
      </c>
      <c r="L2625" s="2">
        <v>26.675625000000007</v>
      </c>
      <c r="M2625" s="5">
        <v>229.66600000000003</v>
      </c>
      <c r="N2625" s="1">
        <v>295.90899999999999</v>
      </c>
      <c r="O2625" s="2">
        <v>-2.6</v>
      </c>
      <c r="P2625">
        <v>286</v>
      </c>
    </row>
    <row r="2626" spans="1:16" x14ac:dyDescent="0.35">
      <c r="A2626" s="4">
        <v>45717</v>
      </c>
      <c r="B2626" t="s">
        <v>19</v>
      </c>
      <c r="C2626" t="s">
        <v>12</v>
      </c>
      <c r="D2626">
        <v>1</v>
      </c>
      <c r="E2626" s="2">
        <v>3490</v>
      </c>
      <c r="F2626" s="2">
        <f t="shared" si="425"/>
        <v>3681.44</v>
      </c>
      <c r="G2626" s="3">
        <v>0</v>
      </c>
      <c r="H2626">
        <v>0</v>
      </c>
      <c r="I2626" t="s">
        <v>27</v>
      </c>
      <c r="J2626">
        <v>22329</v>
      </c>
      <c r="K2626">
        <v>19000</v>
      </c>
      <c r="L2626" s="2">
        <v>26.675625000000007</v>
      </c>
      <c r="M2626" s="5">
        <v>229.66600000000003</v>
      </c>
      <c r="N2626" s="1">
        <v>295.90899999999999</v>
      </c>
      <c r="O2626" s="2">
        <v>-2.6</v>
      </c>
      <c r="P2626">
        <v>286</v>
      </c>
    </row>
    <row r="2627" spans="1:16" x14ac:dyDescent="0.35">
      <c r="A2627" s="4">
        <v>45717</v>
      </c>
      <c r="B2627" t="s">
        <v>19</v>
      </c>
      <c r="C2627" t="s">
        <v>13</v>
      </c>
      <c r="D2627">
        <v>1</v>
      </c>
      <c r="E2627" s="2">
        <v>3775</v>
      </c>
      <c r="F2627" s="2">
        <f t="shared" si="425"/>
        <v>3681.44</v>
      </c>
      <c r="G2627" s="3">
        <v>0</v>
      </c>
      <c r="H2627">
        <v>0</v>
      </c>
      <c r="I2627" t="s">
        <v>27</v>
      </c>
      <c r="J2627">
        <v>22329</v>
      </c>
      <c r="K2627">
        <v>19000</v>
      </c>
      <c r="L2627" s="2">
        <v>26.675625000000007</v>
      </c>
      <c r="M2627" s="5">
        <v>229.66600000000003</v>
      </c>
      <c r="N2627" s="1">
        <v>295.90899999999999</v>
      </c>
      <c r="O2627" s="2">
        <v>-2.6</v>
      </c>
      <c r="P2627">
        <v>286</v>
      </c>
    </row>
    <row r="2628" spans="1:16" x14ac:dyDescent="0.35">
      <c r="A2628" s="4">
        <v>45717</v>
      </c>
      <c r="B2628" t="s">
        <v>19</v>
      </c>
      <c r="C2628" t="s">
        <v>14</v>
      </c>
      <c r="D2628">
        <v>1</v>
      </c>
      <c r="E2628" s="2">
        <f>(3821+3792+3783+3775)/4</f>
        <v>3792.75</v>
      </c>
      <c r="F2628" s="2">
        <f t="shared" si="425"/>
        <v>3681.44</v>
      </c>
      <c r="G2628" s="3">
        <v>0</v>
      </c>
      <c r="H2628">
        <v>0</v>
      </c>
      <c r="I2628" t="s">
        <v>27</v>
      </c>
      <c r="J2628">
        <v>22329</v>
      </c>
      <c r="K2628">
        <v>19000</v>
      </c>
      <c r="L2628" s="2">
        <v>26.675625000000007</v>
      </c>
      <c r="M2628" s="5">
        <v>229.66600000000003</v>
      </c>
      <c r="N2628" s="1">
        <v>295.90899999999999</v>
      </c>
      <c r="O2628" s="2">
        <v>-2.6</v>
      </c>
      <c r="P2628">
        <v>286</v>
      </c>
    </row>
    <row r="2629" spans="1:16" x14ac:dyDescent="0.35">
      <c r="A2629" s="4">
        <v>45717</v>
      </c>
      <c r="B2629" t="s">
        <v>19</v>
      </c>
      <c r="C2629" t="s">
        <v>15</v>
      </c>
      <c r="D2629">
        <v>1</v>
      </c>
      <c r="E2629" s="2">
        <v>3825</v>
      </c>
      <c r="F2629" s="2">
        <f t="shared" si="425"/>
        <v>3681.44</v>
      </c>
      <c r="G2629" s="3">
        <v>0</v>
      </c>
      <c r="H2629">
        <v>0</v>
      </c>
      <c r="I2629" t="s">
        <v>27</v>
      </c>
      <c r="J2629">
        <v>22329</v>
      </c>
      <c r="K2629">
        <v>19000</v>
      </c>
      <c r="L2629" s="2">
        <v>26.675625000000007</v>
      </c>
      <c r="M2629" s="5">
        <v>229.66600000000003</v>
      </c>
      <c r="N2629" s="1">
        <v>295.90899999999999</v>
      </c>
      <c r="O2629" s="2">
        <v>-2.6</v>
      </c>
      <c r="P2629">
        <v>286</v>
      </c>
    </row>
    <row r="2630" spans="1:16" x14ac:dyDescent="0.35">
      <c r="A2630" s="4">
        <v>45717</v>
      </c>
      <c r="B2630" t="s">
        <v>20</v>
      </c>
      <c r="C2630" t="s">
        <v>10</v>
      </c>
      <c r="D2630">
        <v>1</v>
      </c>
      <c r="E2630" s="2">
        <f>(3500*2+3400+3350)/4</f>
        <v>3437.5</v>
      </c>
      <c r="F2630" s="2">
        <f>(3360.38+3336.88+3391.63+3390)/4</f>
        <v>3369.7224999999999</v>
      </c>
      <c r="G2630" s="3">
        <v>0</v>
      </c>
      <c r="H2630">
        <v>0</v>
      </c>
      <c r="I2630" t="s">
        <v>27</v>
      </c>
      <c r="J2630">
        <v>22329</v>
      </c>
      <c r="K2630">
        <v>19000</v>
      </c>
      <c r="L2630" s="2">
        <v>26.675625000000007</v>
      </c>
      <c r="M2630" s="5">
        <v>229.66600000000003</v>
      </c>
      <c r="N2630" s="1">
        <v>295.90899999999999</v>
      </c>
      <c r="O2630" s="2">
        <v>-2.6</v>
      </c>
      <c r="P2630">
        <v>286</v>
      </c>
    </row>
    <row r="2631" spans="1:16" x14ac:dyDescent="0.35">
      <c r="A2631" s="4">
        <v>45717</v>
      </c>
      <c r="B2631" t="s">
        <v>20</v>
      </c>
      <c r="C2631" t="s">
        <v>11</v>
      </c>
      <c r="D2631">
        <v>1</v>
      </c>
      <c r="E2631" s="2">
        <v>3325</v>
      </c>
      <c r="F2631" s="2">
        <f t="shared" ref="F2631:F2635" si="426">(3360.38+3336.88+3391.63+3390)/4</f>
        <v>3369.7224999999999</v>
      </c>
      <c r="G2631" s="3">
        <v>0</v>
      </c>
      <c r="H2631">
        <v>0</v>
      </c>
      <c r="I2631" t="s">
        <v>27</v>
      </c>
      <c r="J2631">
        <v>22329</v>
      </c>
      <c r="K2631">
        <v>19000</v>
      </c>
      <c r="L2631" s="2">
        <v>26.675625000000007</v>
      </c>
      <c r="M2631" s="5">
        <v>229.66600000000003</v>
      </c>
      <c r="N2631" s="1">
        <v>295.90899999999999</v>
      </c>
      <c r="O2631" s="2">
        <v>-2.6</v>
      </c>
      <c r="P2631">
        <v>286</v>
      </c>
    </row>
    <row r="2632" spans="1:16" x14ac:dyDescent="0.35">
      <c r="A2632" s="4">
        <v>45717</v>
      </c>
      <c r="B2632" t="s">
        <v>20</v>
      </c>
      <c r="C2632" t="s">
        <v>12</v>
      </c>
      <c r="D2632">
        <v>1</v>
      </c>
      <c r="E2632" s="2">
        <v>2495</v>
      </c>
      <c r="F2632" s="2">
        <f t="shared" si="426"/>
        <v>3369.7224999999999</v>
      </c>
      <c r="G2632" s="3">
        <v>0</v>
      </c>
      <c r="H2632">
        <v>0</v>
      </c>
      <c r="I2632" t="s">
        <v>27</v>
      </c>
      <c r="J2632">
        <v>22329</v>
      </c>
      <c r="K2632">
        <v>19000</v>
      </c>
      <c r="L2632" s="2">
        <v>26.675625000000007</v>
      </c>
      <c r="M2632" s="5">
        <v>229.66600000000003</v>
      </c>
      <c r="N2632" s="1">
        <v>295.90899999999999</v>
      </c>
      <c r="O2632" s="2">
        <v>-2.6</v>
      </c>
      <c r="P2632">
        <v>286</v>
      </c>
    </row>
    <row r="2633" spans="1:16" x14ac:dyDescent="0.35">
      <c r="A2633" s="4">
        <v>45717</v>
      </c>
      <c r="B2633" t="s">
        <v>20</v>
      </c>
      <c r="C2633" t="s">
        <v>13</v>
      </c>
      <c r="D2633">
        <v>1</v>
      </c>
      <c r="E2633" s="2">
        <f>(3575*2+3550+3600)/4</f>
        <v>3575</v>
      </c>
      <c r="F2633" s="2">
        <f t="shared" si="426"/>
        <v>3369.7224999999999</v>
      </c>
      <c r="G2633" s="3">
        <v>0</v>
      </c>
      <c r="H2633">
        <v>0</v>
      </c>
      <c r="I2633" t="s">
        <v>27</v>
      </c>
      <c r="J2633">
        <v>22329</v>
      </c>
      <c r="K2633">
        <v>19000</v>
      </c>
      <c r="L2633" s="2">
        <v>26.675625000000007</v>
      </c>
      <c r="M2633" s="5">
        <v>229.66600000000003</v>
      </c>
      <c r="N2633" s="1">
        <v>295.90899999999999</v>
      </c>
      <c r="O2633" s="2">
        <v>-2.6</v>
      </c>
      <c r="P2633">
        <v>286</v>
      </c>
    </row>
    <row r="2634" spans="1:16" x14ac:dyDescent="0.35">
      <c r="A2634" s="4">
        <v>45717</v>
      </c>
      <c r="B2634" t="s">
        <v>20</v>
      </c>
      <c r="C2634" t="s">
        <v>14</v>
      </c>
      <c r="D2634">
        <v>1</v>
      </c>
      <c r="E2634" s="2">
        <f>(3588+3600+3563+3625)/4</f>
        <v>3594</v>
      </c>
      <c r="F2634" s="2">
        <f t="shared" si="426"/>
        <v>3369.7224999999999</v>
      </c>
      <c r="G2634" s="3">
        <v>0</v>
      </c>
      <c r="H2634">
        <v>0</v>
      </c>
      <c r="I2634" t="s">
        <v>27</v>
      </c>
      <c r="J2634">
        <v>22329</v>
      </c>
      <c r="K2634">
        <v>19000</v>
      </c>
      <c r="L2634" s="2">
        <v>26.675625000000007</v>
      </c>
      <c r="M2634" s="5">
        <v>229.66600000000003</v>
      </c>
      <c r="N2634" s="1">
        <v>295.90899999999999</v>
      </c>
      <c r="O2634" s="2">
        <v>-2.6</v>
      </c>
      <c r="P2634">
        <v>286</v>
      </c>
    </row>
    <row r="2635" spans="1:16" x14ac:dyDescent="0.35">
      <c r="A2635" s="4">
        <v>45717</v>
      </c>
      <c r="B2635" t="s">
        <v>20</v>
      </c>
      <c r="C2635" t="s">
        <v>15</v>
      </c>
      <c r="D2635">
        <v>1</v>
      </c>
      <c r="E2635" s="2">
        <v>3625</v>
      </c>
      <c r="F2635" s="2">
        <f t="shared" si="426"/>
        <v>3369.7224999999999</v>
      </c>
      <c r="G2635" s="3">
        <v>0</v>
      </c>
      <c r="H2635">
        <v>0</v>
      </c>
      <c r="I2635" t="s">
        <v>27</v>
      </c>
      <c r="J2635">
        <v>22329</v>
      </c>
      <c r="K2635">
        <v>19000</v>
      </c>
      <c r="L2635" s="2">
        <v>26.675625000000007</v>
      </c>
      <c r="M2635" s="5">
        <v>229.66600000000003</v>
      </c>
      <c r="N2635" s="1">
        <v>295.90899999999999</v>
      </c>
      <c r="O2635" s="2">
        <v>-2.6</v>
      </c>
      <c r="P2635">
        <v>286</v>
      </c>
    </row>
    <row r="2636" spans="1:16" x14ac:dyDescent="0.35">
      <c r="A2636" s="4">
        <v>45717</v>
      </c>
      <c r="B2636" t="s">
        <v>21</v>
      </c>
      <c r="C2636" t="s">
        <v>10</v>
      </c>
      <c r="D2636">
        <v>1</v>
      </c>
      <c r="E2636" s="2">
        <v>3325</v>
      </c>
      <c r="F2636" s="2">
        <f>(3263.88+3272.75+3200+3212.5)/4</f>
        <v>3237.2825000000003</v>
      </c>
      <c r="G2636" s="3">
        <v>0</v>
      </c>
      <c r="H2636">
        <v>0</v>
      </c>
      <c r="I2636" t="s">
        <v>27</v>
      </c>
      <c r="J2636">
        <v>22329</v>
      </c>
      <c r="K2636">
        <v>19000</v>
      </c>
      <c r="L2636" s="2">
        <v>26.675625000000007</v>
      </c>
      <c r="M2636" s="5">
        <v>229.66600000000003</v>
      </c>
      <c r="N2636" s="1">
        <v>295.90899999999999</v>
      </c>
      <c r="O2636" s="2">
        <v>-2.6</v>
      </c>
      <c r="P2636">
        <v>286</v>
      </c>
    </row>
    <row r="2637" spans="1:16" x14ac:dyDescent="0.35">
      <c r="A2637" s="4">
        <v>45717</v>
      </c>
      <c r="B2637" t="s">
        <v>21</v>
      </c>
      <c r="C2637" t="s">
        <v>11</v>
      </c>
      <c r="D2637">
        <v>1</v>
      </c>
      <c r="E2637" s="2">
        <v>3200</v>
      </c>
      <c r="F2637" s="2">
        <f t="shared" ref="F2637:F2641" si="427">(3263.88+3272.75+3200+3212.5)/4</f>
        <v>3237.2825000000003</v>
      </c>
      <c r="G2637" s="3">
        <v>0</v>
      </c>
      <c r="H2637">
        <v>0</v>
      </c>
      <c r="I2637" t="s">
        <v>27</v>
      </c>
      <c r="J2637">
        <v>22329</v>
      </c>
      <c r="K2637">
        <v>19000</v>
      </c>
      <c r="L2637" s="2">
        <v>26.675625000000007</v>
      </c>
      <c r="M2637" s="5">
        <v>229.66600000000003</v>
      </c>
      <c r="N2637" s="1">
        <v>295.90899999999999</v>
      </c>
      <c r="O2637" s="2">
        <v>-2.6</v>
      </c>
      <c r="P2637">
        <v>286</v>
      </c>
    </row>
    <row r="2638" spans="1:16" x14ac:dyDescent="0.35">
      <c r="A2638" s="4">
        <v>45717</v>
      </c>
      <c r="B2638" t="s">
        <v>21</v>
      </c>
      <c r="C2638" t="s">
        <v>12</v>
      </c>
      <c r="D2638">
        <v>1</v>
      </c>
      <c r="E2638" s="2">
        <v>2300</v>
      </c>
      <c r="F2638" s="2">
        <f t="shared" si="427"/>
        <v>3237.2825000000003</v>
      </c>
      <c r="G2638" s="3">
        <v>0</v>
      </c>
      <c r="H2638">
        <v>0</v>
      </c>
      <c r="I2638" t="s">
        <v>27</v>
      </c>
      <c r="J2638">
        <v>22329</v>
      </c>
      <c r="K2638">
        <v>19000</v>
      </c>
      <c r="L2638" s="2">
        <v>26.675625000000007</v>
      </c>
      <c r="M2638" s="5">
        <v>229.66600000000003</v>
      </c>
      <c r="N2638" s="1">
        <v>295.90899999999999</v>
      </c>
      <c r="O2638" s="2">
        <v>-2.6</v>
      </c>
      <c r="P2638">
        <v>286</v>
      </c>
    </row>
    <row r="2639" spans="1:16" x14ac:dyDescent="0.35">
      <c r="A2639" s="4">
        <v>45717</v>
      </c>
      <c r="B2639" t="s">
        <v>21</v>
      </c>
      <c r="C2639" t="s">
        <v>13</v>
      </c>
      <c r="D2639">
        <v>1</v>
      </c>
      <c r="E2639" s="2">
        <v>3437.5</v>
      </c>
      <c r="F2639" s="2">
        <f t="shared" si="427"/>
        <v>3237.2825000000003</v>
      </c>
      <c r="G2639" s="3">
        <v>0</v>
      </c>
      <c r="H2639">
        <v>0</v>
      </c>
      <c r="I2639" t="s">
        <v>27</v>
      </c>
      <c r="J2639">
        <v>22329</v>
      </c>
      <c r="K2639">
        <v>19000</v>
      </c>
      <c r="L2639" s="2">
        <v>26.675625000000007</v>
      </c>
      <c r="M2639" s="5">
        <v>229.66600000000003</v>
      </c>
      <c r="N2639" s="1">
        <v>295.90899999999999</v>
      </c>
      <c r="O2639" s="2">
        <v>-2.6</v>
      </c>
      <c r="P2639">
        <v>286</v>
      </c>
    </row>
    <row r="2640" spans="1:16" x14ac:dyDescent="0.35">
      <c r="A2640" s="4">
        <v>45717</v>
      </c>
      <c r="B2640" t="s">
        <v>21</v>
      </c>
      <c r="C2640" t="s">
        <v>14</v>
      </c>
      <c r="D2640">
        <v>1</v>
      </c>
      <c r="E2640" s="2">
        <f>(3536+3507+3525+3550)/4</f>
        <v>3529.5</v>
      </c>
      <c r="F2640" s="2">
        <f t="shared" si="427"/>
        <v>3237.2825000000003</v>
      </c>
      <c r="G2640" s="3">
        <v>0</v>
      </c>
      <c r="H2640">
        <v>0</v>
      </c>
      <c r="I2640" t="s">
        <v>27</v>
      </c>
      <c r="J2640">
        <v>22329</v>
      </c>
      <c r="K2640">
        <v>19000</v>
      </c>
      <c r="L2640" s="2">
        <v>26.675625000000007</v>
      </c>
      <c r="M2640" s="5">
        <v>229.66600000000003</v>
      </c>
      <c r="N2640" s="1">
        <v>295.90899999999999</v>
      </c>
      <c r="O2640" s="2">
        <v>-2.6</v>
      </c>
      <c r="P2640">
        <v>286</v>
      </c>
    </row>
    <row r="2641" spans="1:16" x14ac:dyDescent="0.35">
      <c r="A2641" s="4">
        <v>45717</v>
      </c>
      <c r="B2641" t="s">
        <v>21</v>
      </c>
      <c r="C2641" t="s">
        <v>15</v>
      </c>
      <c r="D2641">
        <v>1</v>
      </c>
      <c r="E2641" s="2">
        <v>3600</v>
      </c>
      <c r="F2641" s="2">
        <f t="shared" si="427"/>
        <v>3237.2825000000003</v>
      </c>
      <c r="G2641" s="3">
        <v>0</v>
      </c>
      <c r="H2641">
        <v>0</v>
      </c>
      <c r="I2641" t="s">
        <v>27</v>
      </c>
      <c r="J2641">
        <v>22329</v>
      </c>
      <c r="K2641">
        <v>19000</v>
      </c>
      <c r="L2641" s="2">
        <v>26.675625000000007</v>
      </c>
      <c r="M2641" s="5">
        <v>229.66600000000003</v>
      </c>
      <c r="N2641" s="1">
        <v>295.90899999999999</v>
      </c>
      <c r="O2641" s="2">
        <v>-2.6</v>
      </c>
      <c r="P2641">
        <v>286</v>
      </c>
    </row>
    <row r="2642" spans="1:16" x14ac:dyDescent="0.35">
      <c r="A2642" s="4">
        <v>45717</v>
      </c>
      <c r="B2642" t="s">
        <v>22</v>
      </c>
      <c r="C2642" t="s">
        <v>10</v>
      </c>
      <c r="D2642">
        <v>0</v>
      </c>
      <c r="E2642" s="2" t="s">
        <v>27</v>
      </c>
      <c r="F2642" s="2">
        <f t="shared" ref="F2642:F2645" si="428">(3275+3263+3200+3188)/4</f>
        <v>3231.5</v>
      </c>
      <c r="G2642" s="3">
        <v>0</v>
      </c>
      <c r="H2642">
        <v>0</v>
      </c>
      <c r="I2642" t="s">
        <v>27</v>
      </c>
      <c r="J2642">
        <v>22329</v>
      </c>
      <c r="K2642">
        <v>19000</v>
      </c>
      <c r="L2642" s="2">
        <v>26.675625000000007</v>
      </c>
      <c r="M2642" s="5">
        <v>229.66600000000003</v>
      </c>
      <c r="N2642" s="1">
        <v>295.90899999999999</v>
      </c>
      <c r="O2642" s="2">
        <v>-2.6</v>
      </c>
      <c r="P2642">
        <v>286</v>
      </c>
    </row>
    <row r="2643" spans="1:16" x14ac:dyDescent="0.35">
      <c r="A2643" s="4">
        <v>45717</v>
      </c>
      <c r="B2643" t="s">
        <v>22</v>
      </c>
      <c r="C2643" t="s">
        <v>11</v>
      </c>
      <c r="D2643">
        <v>0</v>
      </c>
      <c r="E2643" s="2" t="s">
        <v>27</v>
      </c>
      <c r="F2643" s="2">
        <f t="shared" si="428"/>
        <v>3231.5</v>
      </c>
      <c r="G2643" s="3">
        <v>0</v>
      </c>
      <c r="H2643">
        <v>0</v>
      </c>
      <c r="I2643" t="s">
        <v>27</v>
      </c>
      <c r="J2643">
        <v>22329</v>
      </c>
      <c r="K2643">
        <v>19000</v>
      </c>
      <c r="L2643" s="2">
        <v>26.675625000000007</v>
      </c>
      <c r="M2643" s="5">
        <v>229.66600000000003</v>
      </c>
      <c r="N2643" s="1">
        <v>295.90899999999999</v>
      </c>
      <c r="O2643" s="2">
        <v>-2.6</v>
      </c>
      <c r="P2643">
        <v>286</v>
      </c>
    </row>
    <row r="2644" spans="1:16" x14ac:dyDescent="0.35">
      <c r="A2644" s="4">
        <v>45717</v>
      </c>
      <c r="B2644" t="s">
        <v>22</v>
      </c>
      <c r="C2644" t="s">
        <v>12</v>
      </c>
      <c r="D2644">
        <v>0</v>
      </c>
      <c r="E2644" s="2" t="s">
        <v>27</v>
      </c>
      <c r="F2644" s="2">
        <f t="shared" si="428"/>
        <v>3231.5</v>
      </c>
      <c r="G2644" s="3">
        <v>0</v>
      </c>
      <c r="H2644">
        <v>0</v>
      </c>
      <c r="I2644" t="s">
        <v>27</v>
      </c>
      <c r="J2644">
        <v>22329</v>
      </c>
      <c r="K2644">
        <v>19000</v>
      </c>
      <c r="L2644" s="2">
        <v>26.675625000000007</v>
      </c>
      <c r="M2644" s="5">
        <v>229.66600000000003</v>
      </c>
      <c r="N2644" s="1">
        <v>295.90899999999999</v>
      </c>
      <c r="O2644" s="2">
        <v>-2.6</v>
      </c>
      <c r="P2644">
        <v>286</v>
      </c>
    </row>
    <row r="2645" spans="1:16" x14ac:dyDescent="0.35">
      <c r="A2645" s="4">
        <v>45717</v>
      </c>
      <c r="B2645" t="s">
        <v>22</v>
      </c>
      <c r="C2645" t="s">
        <v>13</v>
      </c>
      <c r="D2645">
        <v>0</v>
      </c>
      <c r="E2645" s="2" t="s">
        <v>27</v>
      </c>
      <c r="F2645" s="2">
        <f t="shared" si="428"/>
        <v>3231.5</v>
      </c>
      <c r="G2645" s="3">
        <v>0</v>
      </c>
      <c r="H2645">
        <v>0</v>
      </c>
      <c r="I2645" t="s">
        <v>27</v>
      </c>
      <c r="J2645">
        <v>22329</v>
      </c>
      <c r="K2645">
        <v>19000</v>
      </c>
      <c r="L2645" s="2">
        <v>26.675625000000007</v>
      </c>
      <c r="M2645" s="5">
        <v>229.66600000000003</v>
      </c>
      <c r="N2645" s="1">
        <v>295.90899999999999</v>
      </c>
      <c r="O2645" s="2">
        <v>-2.6</v>
      </c>
      <c r="P2645">
        <v>286</v>
      </c>
    </row>
    <row r="2646" spans="1:16" x14ac:dyDescent="0.35">
      <c r="A2646" s="4">
        <v>45717</v>
      </c>
      <c r="B2646" t="s">
        <v>22</v>
      </c>
      <c r="C2646" t="s">
        <v>14</v>
      </c>
      <c r="D2646">
        <v>1</v>
      </c>
      <c r="E2646" s="2">
        <f>(3275+3263+3200+3188)/4</f>
        <v>3231.5</v>
      </c>
      <c r="F2646" s="2">
        <f>(3275+3263+3200+3188)/4</f>
        <v>3231.5</v>
      </c>
      <c r="G2646" s="3">
        <v>0</v>
      </c>
      <c r="H2646">
        <v>0</v>
      </c>
      <c r="I2646" t="s">
        <v>27</v>
      </c>
      <c r="J2646">
        <v>22329</v>
      </c>
      <c r="K2646">
        <v>19000</v>
      </c>
      <c r="L2646" s="2">
        <v>26.675625000000007</v>
      </c>
      <c r="M2646" s="5">
        <v>229.66600000000003</v>
      </c>
      <c r="N2646" s="1">
        <v>295.90899999999999</v>
      </c>
      <c r="O2646" s="2">
        <v>-2.6</v>
      </c>
      <c r="P2646">
        <v>286</v>
      </c>
    </row>
    <row r="2647" spans="1:16" x14ac:dyDescent="0.35">
      <c r="A2647" s="4">
        <v>45717</v>
      </c>
      <c r="B2647" t="s">
        <v>22</v>
      </c>
      <c r="C2647" t="s">
        <v>15</v>
      </c>
      <c r="D2647">
        <v>0</v>
      </c>
      <c r="E2647" s="2" t="s">
        <v>27</v>
      </c>
      <c r="F2647" s="2">
        <f>(3275+3263+3200+3188)/4</f>
        <v>3231.5</v>
      </c>
      <c r="G2647" s="3">
        <v>0</v>
      </c>
      <c r="H2647">
        <v>0</v>
      </c>
      <c r="I2647" t="s">
        <v>27</v>
      </c>
      <c r="J2647">
        <v>22329</v>
      </c>
      <c r="K2647">
        <v>19000</v>
      </c>
      <c r="L2647" s="2">
        <v>26.675625000000007</v>
      </c>
      <c r="M2647" s="5">
        <v>229.66600000000003</v>
      </c>
      <c r="N2647" s="1">
        <v>295.90899999999999</v>
      </c>
      <c r="O2647" s="2">
        <v>-2.6</v>
      </c>
      <c r="P2647">
        <v>286</v>
      </c>
    </row>
    <row r="2648" spans="1:16" x14ac:dyDescent="0.35">
      <c r="A2648" s="4">
        <v>45748</v>
      </c>
      <c r="B2648" t="s">
        <v>16</v>
      </c>
      <c r="C2648" t="s">
        <v>10</v>
      </c>
      <c r="D2648">
        <v>1</v>
      </c>
      <c r="E2648" s="2">
        <v>4500</v>
      </c>
      <c r="F2648" s="2">
        <f>(4582.5+4601.25+4582.5+4670)/4</f>
        <v>4609.0625</v>
      </c>
      <c r="G2648" s="3">
        <v>1</v>
      </c>
      <c r="H2648" t="s">
        <v>27</v>
      </c>
      <c r="I2648" t="s">
        <v>27</v>
      </c>
      <c r="J2648">
        <v>5582</v>
      </c>
      <c r="K2648">
        <v>18000</v>
      </c>
      <c r="L2648" s="2">
        <v>27.221875000000001</v>
      </c>
      <c r="M2648" s="5">
        <v>272.28100000000001</v>
      </c>
      <c r="N2648" s="1">
        <v>298.53120000000001</v>
      </c>
      <c r="O2648" s="2">
        <v>-2</v>
      </c>
      <c r="P2648">
        <v>274</v>
      </c>
    </row>
    <row r="2649" spans="1:16" x14ac:dyDescent="0.35">
      <c r="A2649" s="4">
        <v>45748</v>
      </c>
      <c r="B2649" t="s">
        <v>16</v>
      </c>
      <c r="C2649" t="s">
        <v>11</v>
      </c>
      <c r="D2649">
        <v>0</v>
      </c>
      <c r="E2649" s="2" t="s">
        <v>27</v>
      </c>
      <c r="F2649" s="2">
        <f t="shared" ref="F2649:F2653" si="429">(4582.5+4601.25+4582.5+4670)/4</f>
        <v>4609.0625</v>
      </c>
      <c r="G2649" s="3">
        <v>1</v>
      </c>
      <c r="H2649" t="s">
        <v>27</v>
      </c>
      <c r="I2649" t="s">
        <v>27</v>
      </c>
      <c r="J2649">
        <v>5582</v>
      </c>
      <c r="K2649">
        <v>18000</v>
      </c>
      <c r="L2649" s="2">
        <v>27.221875000000001</v>
      </c>
      <c r="M2649" s="5">
        <v>272.28100000000001</v>
      </c>
      <c r="N2649" s="1">
        <v>298.53120000000001</v>
      </c>
      <c r="O2649" s="2">
        <v>-2</v>
      </c>
      <c r="P2649">
        <v>274</v>
      </c>
    </row>
    <row r="2650" spans="1:16" x14ac:dyDescent="0.35">
      <c r="A2650" s="4">
        <v>45748</v>
      </c>
      <c r="B2650" t="s">
        <v>16</v>
      </c>
      <c r="C2650" t="s">
        <v>12</v>
      </c>
      <c r="D2650">
        <v>1</v>
      </c>
      <c r="E2650" s="2">
        <v>4480</v>
      </c>
      <c r="F2650" s="2">
        <f t="shared" si="429"/>
        <v>4609.0625</v>
      </c>
      <c r="G2650" s="3">
        <v>1</v>
      </c>
      <c r="H2650" t="s">
        <v>27</v>
      </c>
      <c r="I2650" t="s">
        <v>27</v>
      </c>
      <c r="J2650">
        <v>5582</v>
      </c>
      <c r="K2650">
        <v>18000</v>
      </c>
      <c r="L2650" s="2">
        <v>27.221875000000001</v>
      </c>
      <c r="M2650" s="5">
        <v>272.28100000000001</v>
      </c>
      <c r="N2650" s="1">
        <v>298.53120000000001</v>
      </c>
      <c r="O2650" s="2">
        <v>-2</v>
      </c>
      <c r="P2650">
        <v>274</v>
      </c>
    </row>
    <row r="2651" spans="1:16" x14ac:dyDescent="0.35">
      <c r="A2651" s="4">
        <v>45748</v>
      </c>
      <c r="B2651" t="s">
        <v>16</v>
      </c>
      <c r="C2651" t="s">
        <v>13</v>
      </c>
      <c r="D2651">
        <v>1</v>
      </c>
      <c r="E2651" s="2">
        <v>4925</v>
      </c>
      <c r="F2651" s="2">
        <f t="shared" si="429"/>
        <v>4609.0625</v>
      </c>
      <c r="G2651" s="3">
        <v>1</v>
      </c>
      <c r="H2651" t="s">
        <v>27</v>
      </c>
      <c r="I2651" t="s">
        <v>27</v>
      </c>
      <c r="J2651">
        <v>5582</v>
      </c>
      <c r="K2651">
        <v>18000</v>
      </c>
      <c r="L2651" s="2">
        <v>27.221875000000001</v>
      </c>
      <c r="M2651" s="5">
        <v>272.28100000000001</v>
      </c>
      <c r="N2651" s="1">
        <v>298.53120000000001</v>
      </c>
      <c r="O2651" s="2">
        <v>-2</v>
      </c>
      <c r="P2651">
        <v>274</v>
      </c>
    </row>
    <row r="2652" spans="1:16" x14ac:dyDescent="0.35">
      <c r="A2652" s="4">
        <v>45748</v>
      </c>
      <c r="B2652" t="s">
        <v>16</v>
      </c>
      <c r="C2652" t="s">
        <v>14</v>
      </c>
      <c r="D2652">
        <v>1</v>
      </c>
      <c r="E2652" s="2">
        <v>4550</v>
      </c>
      <c r="F2652" s="2">
        <f t="shared" si="429"/>
        <v>4609.0625</v>
      </c>
      <c r="G2652" s="3">
        <v>1</v>
      </c>
      <c r="H2652" t="s">
        <v>27</v>
      </c>
      <c r="I2652" t="s">
        <v>27</v>
      </c>
      <c r="J2652">
        <v>5582</v>
      </c>
      <c r="K2652">
        <v>18000</v>
      </c>
      <c r="L2652" s="2">
        <v>27.221875000000001</v>
      </c>
      <c r="M2652" s="5">
        <v>272.28100000000001</v>
      </c>
      <c r="N2652" s="1">
        <v>298.53120000000001</v>
      </c>
      <c r="O2652" s="2">
        <v>-2</v>
      </c>
      <c r="P2652">
        <v>274</v>
      </c>
    </row>
    <row r="2653" spans="1:16" x14ac:dyDescent="0.35">
      <c r="A2653" s="4">
        <v>45748</v>
      </c>
      <c r="B2653" t="s">
        <v>16</v>
      </c>
      <c r="C2653" t="s">
        <v>15</v>
      </c>
      <c r="D2653">
        <v>0</v>
      </c>
      <c r="E2653" s="2" t="s">
        <v>27</v>
      </c>
      <c r="F2653" s="2">
        <f t="shared" si="429"/>
        <v>4609.0625</v>
      </c>
      <c r="G2653" s="3">
        <v>1</v>
      </c>
      <c r="H2653" t="s">
        <v>27</v>
      </c>
      <c r="I2653" t="s">
        <v>27</v>
      </c>
      <c r="J2653">
        <v>5582</v>
      </c>
      <c r="K2653">
        <v>18000</v>
      </c>
      <c r="L2653" s="2">
        <v>27.221875000000001</v>
      </c>
      <c r="M2653" s="5">
        <v>272.28100000000001</v>
      </c>
      <c r="N2653" s="1">
        <v>298.53120000000001</v>
      </c>
      <c r="O2653" s="2">
        <v>-2</v>
      </c>
      <c r="P2653">
        <v>274</v>
      </c>
    </row>
    <row r="2654" spans="1:16" x14ac:dyDescent="0.35">
      <c r="A2654" s="4">
        <v>45748</v>
      </c>
      <c r="B2654" t="s">
        <v>17</v>
      </c>
      <c r="C2654" t="s">
        <v>10</v>
      </c>
      <c r="D2654">
        <v>1</v>
      </c>
      <c r="E2654" s="2">
        <v>3915</v>
      </c>
      <c r="F2654" s="2">
        <f>(4074+4090.6+4084+4129.25)/4</f>
        <v>4094.4625000000001</v>
      </c>
      <c r="G2654" s="3">
        <v>1</v>
      </c>
      <c r="H2654" t="s">
        <v>27</v>
      </c>
      <c r="I2654" t="s">
        <v>27</v>
      </c>
      <c r="J2654">
        <v>5582</v>
      </c>
      <c r="K2654">
        <v>18000</v>
      </c>
      <c r="L2654" s="2">
        <v>27.221875000000001</v>
      </c>
      <c r="M2654" s="5">
        <v>272.28100000000001</v>
      </c>
      <c r="N2654" s="1">
        <v>298.53120000000001</v>
      </c>
      <c r="O2654" s="2">
        <v>-2</v>
      </c>
      <c r="P2654">
        <v>274</v>
      </c>
    </row>
    <row r="2655" spans="1:16" x14ac:dyDescent="0.35">
      <c r="A2655" s="4">
        <v>45748</v>
      </c>
      <c r="B2655" t="s">
        <v>17</v>
      </c>
      <c r="C2655" t="s">
        <v>11</v>
      </c>
      <c r="D2655">
        <v>1</v>
      </c>
      <c r="E2655" s="2">
        <v>4000</v>
      </c>
      <c r="F2655" s="2">
        <f t="shared" ref="F2655:F2659" si="430">(4074+4090.6+4084+4129.25)/4</f>
        <v>4094.4625000000001</v>
      </c>
      <c r="G2655" s="3">
        <v>1</v>
      </c>
      <c r="H2655" t="s">
        <v>27</v>
      </c>
      <c r="I2655" t="s">
        <v>27</v>
      </c>
      <c r="J2655">
        <v>5582</v>
      </c>
      <c r="K2655">
        <v>18000</v>
      </c>
      <c r="L2655" s="2">
        <v>27.221875000000001</v>
      </c>
      <c r="M2655" s="5">
        <v>272.28100000000001</v>
      </c>
      <c r="N2655" s="1">
        <v>298.53120000000001</v>
      </c>
      <c r="O2655" s="2">
        <v>-2</v>
      </c>
      <c r="P2655">
        <v>274</v>
      </c>
    </row>
    <row r="2656" spans="1:16" x14ac:dyDescent="0.35">
      <c r="A2656" s="4">
        <v>45748</v>
      </c>
      <c r="B2656" t="s">
        <v>17</v>
      </c>
      <c r="C2656" t="s">
        <v>12</v>
      </c>
      <c r="D2656">
        <v>1</v>
      </c>
      <c r="E2656" s="2">
        <v>4070</v>
      </c>
      <c r="F2656" s="2">
        <f t="shared" si="430"/>
        <v>4094.4625000000001</v>
      </c>
      <c r="G2656" s="3">
        <v>1</v>
      </c>
      <c r="H2656" t="s">
        <v>27</v>
      </c>
      <c r="I2656" t="s">
        <v>27</v>
      </c>
      <c r="J2656">
        <v>5582</v>
      </c>
      <c r="K2656">
        <v>18000</v>
      </c>
      <c r="L2656" s="2">
        <v>27.221875000000001</v>
      </c>
      <c r="M2656" s="5">
        <v>272.28100000000001</v>
      </c>
      <c r="N2656" s="1">
        <v>298.53120000000001</v>
      </c>
      <c r="O2656" s="2">
        <v>-2</v>
      </c>
      <c r="P2656">
        <v>274</v>
      </c>
    </row>
    <row r="2657" spans="1:16" x14ac:dyDescent="0.35">
      <c r="A2657" s="4">
        <v>45748</v>
      </c>
      <c r="B2657" t="s">
        <v>17</v>
      </c>
      <c r="C2657" t="s">
        <v>13</v>
      </c>
      <c r="D2657">
        <v>1</v>
      </c>
      <c r="E2657" s="2">
        <f>(4250*2+4400+4375)/4</f>
        <v>4318.75</v>
      </c>
      <c r="F2657" s="2">
        <f t="shared" si="430"/>
        <v>4094.4625000000001</v>
      </c>
      <c r="G2657" s="3">
        <v>1</v>
      </c>
      <c r="H2657" t="s">
        <v>27</v>
      </c>
      <c r="I2657" t="s">
        <v>27</v>
      </c>
      <c r="J2657">
        <v>5582</v>
      </c>
      <c r="K2657">
        <v>18000</v>
      </c>
      <c r="L2657" s="2">
        <v>27.221875000000001</v>
      </c>
      <c r="M2657" s="5">
        <v>272.28100000000001</v>
      </c>
      <c r="N2657" s="1">
        <v>298.53120000000001</v>
      </c>
      <c r="O2657" s="2">
        <v>-2</v>
      </c>
      <c r="P2657">
        <v>274</v>
      </c>
    </row>
    <row r="2658" spans="1:16" x14ac:dyDescent="0.35">
      <c r="A2658" s="4">
        <v>45748</v>
      </c>
      <c r="B2658" t="s">
        <v>17</v>
      </c>
      <c r="C2658" t="s">
        <v>14</v>
      </c>
      <c r="D2658">
        <v>1</v>
      </c>
      <c r="E2658" s="2">
        <f>(4112+4050+4233+4150)/4</f>
        <v>4136.25</v>
      </c>
      <c r="F2658" s="2">
        <f t="shared" si="430"/>
        <v>4094.4625000000001</v>
      </c>
      <c r="G2658" s="3">
        <v>1</v>
      </c>
      <c r="H2658" t="s">
        <v>27</v>
      </c>
      <c r="I2658" t="s">
        <v>27</v>
      </c>
      <c r="J2658">
        <v>5582</v>
      </c>
      <c r="K2658">
        <v>18000</v>
      </c>
      <c r="L2658" s="2">
        <v>27.221875000000001</v>
      </c>
      <c r="M2658" s="5">
        <v>272.28100000000001</v>
      </c>
      <c r="N2658" s="1">
        <v>298.53120000000001</v>
      </c>
      <c r="O2658" s="2">
        <v>-2</v>
      </c>
      <c r="P2658">
        <v>274</v>
      </c>
    </row>
    <row r="2659" spans="1:16" x14ac:dyDescent="0.35">
      <c r="A2659" s="4">
        <v>45748</v>
      </c>
      <c r="B2659" t="s">
        <v>17</v>
      </c>
      <c r="C2659" t="s">
        <v>15</v>
      </c>
      <c r="D2659">
        <v>0</v>
      </c>
      <c r="E2659" s="2" t="s">
        <v>27</v>
      </c>
      <c r="F2659" s="2">
        <f t="shared" si="430"/>
        <v>4094.4625000000001</v>
      </c>
      <c r="G2659" s="3">
        <v>1</v>
      </c>
      <c r="H2659" t="s">
        <v>27</v>
      </c>
      <c r="I2659" t="s">
        <v>27</v>
      </c>
      <c r="J2659">
        <v>5582</v>
      </c>
      <c r="K2659">
        <v>18000</v>
      </c>
      <c r="L2659" s="2">
        <v>27.221875000000001</v>
      </c>
      <c r="M2659" s="5">
        <v>272.28100000000001</v>
      </c>
      <c r="N2659" s="1">
        <v>298.53120000000001</v>
      </c>
      <c r="O2659" s="2">
        <v>-2</v>
      </c>
      <c r="P2659">
        <v>274</v>
      </c>
    </row>
    <row r="2660" spans="1:16" x14ac:dyDescent="0.35">
      <c r="A2660" s="4">
        <v>45748</v>
      </c>
      <c r="B2660" t="s">
        <v>18</v>
      </c>
      <c r="C2660" t="s">
        <v>10</v>
      </c>
      <c r="D2660">
        <v>1</v>
      </c>
      <c r="E2660" s="2">
        <v>3800</v>
      </c>
      <c r="F2660" s="2">
        <f>(3850.88+3860.63+3844.63+3875)/4</f>
        <v>3857.7849999999999</v>
      </c>
      <c r="G2660" s="3">
        <v>1</v>
      </c>
      <c r="H2660" t="s">
        <v>27</v>
      </c>
      <c r="I2660" t="s">
        <v>27</v>
      </c>
      <c r="J2660">
        <v>5582</v>
      </c>
      <c r="K2660">
        <v>18000</v>
      </c>
      <c r="L2660" s="2">
        <v>27.221875000000001</v>
      </c>
      <c r="M2660" s="5">
        <v>272.28100000000001</v>
      </c>
      <c r="N2660" s="1">
        <v>298.53120000000001</v>
      </c>
      <c r="O2660" s="2">
        <v>-2</v>
      </c>
      <c r="P2660">
        <v>274</v>
      </c>
    </row>
    <row r="2661" spans="1:16" x14ac:dyDescent="0.35">
      <c r="A2661" s="4">
        <v>45748</v>
      </c>
      <c r="B2661" t="s">
        <v>18</v>
      </c>
      <c r="C2661" t="s">
        <v>11</v>
      </c>
      <c r="D2661">
        <v>1</v>
      </c>
      <c r="E2661" s="2">
        <v>3900</v>
      </c>
      <c r="F2661" s="2">
        <f t="shared" ref="F2661:F2665" si="431">(3850.88+3860.63+3844.63+3875)/4</f>
        <v>3857.7849999999999</v>
      </c>
      <c r="G2661" s="3">
        <v>1</v>
      </c>
      <c r="H2661" t="s">
        <v>27</v>
      </c>
      <c r="I2661" t="s">
        <v>27</v>
      </c>
      <c r="J2661">
        <v>5582</v>
      </c>
      <c r="K2661">
        <v>18000</v>
      </c>
      <c r="L2661" s="2">
        <v>27.221875000000001</v>
      </c>
      <c r="M2661" s="5">
        <v>272.28100000000001</v>
      </c>
      <c r="N2661" s="1">
        <v>298.53120000000001</v>
      </c>
      <c r="O2661" s="2">
        <v>-2</v>
      </c>
      <c r="P2661">
        <v>274</v>
      </c>
    </row>
    <row r="2662" spans="1:16" x14ac:dyDescent="0.35">
      <c r="A2662" s="4">
        <v>45748</v>
      </c>
      <c r="B2662" t="s">
        <v>18</v>
      </c>
      <c r="C2662" t="s">
        <v>12</v>
      </c>
      <c r="D2662">
        <v>1</v>
      </c>
      <c r="E2662" s="2">
        <v>3695</v>
      </c>
      <c r="F2662" s="2">
        <f t="shared" si="431"/>
        <v>3857.7849999999999</v>
      </c>
      <c r="G2662" s="3">
        <v>1</v>
      </c>
      <c r="H2662" t="s">
        <v>27</v>
      </c>
      <c r="I2662" t="s">
        <v>27</v>
      </c>
      <c r="J2662">
        <v>5582</v>
      </c>
      <c r="K2662">
        <v>18000</v>
      </c>
      <c r="L2662" s="2">
        <v>27.221875000000001</v>
      </c>
      <c r="M2662" s="5">
        <v>272.28100000000001</v>
      </c>
      <c r="N2662" s="1">
        <v>298.53120000000001</v>
      </c>
      <c r="O2662" s="2">
        <v>-2</v>
      </c>
      <c r="P2662">
        <v>274</v>
      </c>
    </row>
    <row r="2663" spans="1:16" x14ac:dyDescent="0.35">
      <c r="A2663" s="4">
        <v>45748</v>
      </c>
      <c r="B2663" t="s">
        <v>18</v>
      </c>
      <c r="C2663" t="s">
        <v>13</v>
      </c>
      <c r="D2663">
        <v>1</v>
      </c>
      <c r="E2663" s="2">
        <v>3950</v>
      </c>
      <c r="F2663" s="2">
        <f t="shared" si="431"/>
        <v>3857.7849999999999</v>
      </c>
      <c r="G2663" s="3">
        <v>1</v>
      </c>
      <c r="H2663" t="s">
        <v>27</v>
      </c>
      <c r="I2663" t="s">
        <v>27</v>
      </c>
      <c r="J2663">
        <v>5582</v>
      </c>
      <c r="K2663">
        <v>18000</v>
      </c>
      <c r="L2663" s="2">
        <v>27.221875000000001</v>
      </c>
      <c r="M2663" s="5">
        <v>272.28100000000001</v>
      </c>
      <c r="N2663" s="1">
        <v>298.53120000000001</v>
      </c>
      <c r="O2663" s="2">
        <v>-2</v>
      </c>
      <c r="P2663">
        <v>274</v>
      </c>
    </row>
    <row r="2664" spans="1:16" x14ac:dyDescent="0.35">
      <c r="A2664" s="4">
        <v>45748</v>
      </c>
      <c r="B2664" t="s">
        <v>18</v>
      </c>
      <c r="C2664" t="s">
        <v>14</v>
      </c>
      <c r="D2664">
        <v>1</v>
      </c>
      <c r="E2664" s="2">
        <f>(3962+3990+3912+3930)/4</f>
        <v>3948.5</v>
      </c>
      <c r="F2664" s="2">
        <f t="shared" si="431"/>
        <v>3857.7849999999999</v>
      </c>
      <c r="G2664" s="3">
        <v>1</v>
      </c>
      <c r="H2664" t="s">
        <v>27</v>
      </c>
      <c r="I2664" t="s">
        <v>27</v>
      </c>
      <c r="J2664">
        <v>5582</v>
      </c>
      <c r="K2664">
        <v>18000</v>
      </c>
      <c r="L2664" s="2">
        <v>27.221875000000001</v>
      </c>
      <c r="M2664" s="5">
        <v>272.28100000000001</v>
      </c>
      <c r="N2664" s="1">
        <v>298.53120000000001</v>
      </c>
      <c r="O2664" s="2">
        <v>-2</v>
      </c>
      <c r="P2664">
        <v>274</v>
      </c>
    </row>
    <row r="2665" spans="1:16" x14ac:dyDescent="0.35">
      <c r="A2665" s="4">
        <v>45748</v>
      </c>
      <c r="B2665" t="s">
        <v>18</v>
      </c>
      <c r="C2665" t="s">
        <v>15</v>
      </c>
      <c r="D2665">
        <v>1</v>
      </c>
      <c r="E2665" s="2">
        <v>4000</v>
      </c>
      <c r="F2665" s="2">
        <f t="shared" si="431"/>
        <v>3857.7849999999999</v>
      </c>
      <c r="G2665" s="3">
        <v>1</v>
      </c>
      <c r="H2665" t="s">
        <v>27</v>
      </c>
      <c r="I2665" t="s">
        <v>27</v>
      </c>
      <c r="J2665">
        <v>5582</v>
      </c>
      <c r="K2665">
        <v>18000</v>
      </c>
      <c r="L2665" s="2">
        <v>27.221875000000001</v>
      </c>
      <c r="M2665" s="5">
        <v>272.28100000000001</v>
      </c>
      <c r="N2665" s="1">
        <v>298.53120000000001</v>
      </c>
      <c r="O2665" s="2">
        <v>-2</v>
      </c>
      <c r="P2665">
        <v>274</v>
      </c>
    </row>
    <row r="2666" spans="1:16" x14ac:dyDescent="0.35">
      <c r="A2666" s="4">
        <v>45748</v>
      </c>
      <c r="B2666" t="s">
        <v>19</v>
      </c>
      <c r="C2666" t="s">
        <v>10</v>
      </c>
      <c r="D2666">
        <v>1</v>
      </c>
      <c r="E2666" s="2">
        <v>3650</v>
      </c>
      <c r="F2666" s="2">
        <f>(3719.25+3730+3714.38+3731.57)/4</f>
        <v>3723.8</v>
      </c>
      <c r="G2666" s="3">
        <v>1</v>
      </c>
      <c r="H2666" t="s">
        <v>27</v>
      </c>
      <c r="I2666" t="s">
        <v>27</v>
      </c>
      <c r="J2666">
        <v>5582</v>
      </c>
      <c r="K2666">
        <v>18000</v>
      </c>
      <c r="L2666" s="2">
        <v>27.221875000000001</v>
      </c>
      <c r="M2666" s="5">
        <v>272.28100000000001</v>
      </c>
      <c r="N2666" s="1">
        <v>298.53120000000001</v>
      </c>
      <c r="O2666" s="2">
        <v>-2</v>
      </c>
      <c r="P2666">
        <v>274</v>
      </c>
    </row>
    <row r="2667" spans="1:16" x14ac:dyDescent="0.35">
      <c r="A2667" s="4">
        <v>45748</v>
      </c>
      <c r="B2667" t="s">
        <v>19</v>
      </c>
      <c r="C2667" t="s">
        <v>11</v>
      </c>
      <c r="D2667">
        <v>1</v>
      </c>
      <c r="E2667" s="2">
        <v>3766.67</v>
      </c>
      <c r="F2667" s="2">
        <f t="shared" ref="F2667:F2671" si="432">(3719.25+3730+3714.38+3731.57)/4</f>
        <v>3723.8</v>
      </c>
      <c r="G2667" s="3">
        <v>1</v>
      </c>
      <c r="H2667" t="s">
        <v>27</v>
      </c>
      <c r="I2667" t="s">
        <v>27</v>
      </c>
      <c r="J2667">
        <v>5582</v>
      </c>
      <c r="K2667">
        <v>18000</v>
      </c>
      <c r="L2667" s="2">
        <v>27.221875000000001</v>
      </c>
      <c r="M2667" s="5">
        <v>272.28100000000001</v>
      </c>
      <c r="N2667" s="1">
        <v>298.53120000000001</v>
      </c>
      <c r="O2667" s="2">
        <v>-2</v>
      </c>
      <c r="P2667">
        <v>274</v>
      </c>
    </row>
    <row r="2668" spans="1:16" x14ac:dyDescent="0.35">
      <c r="A2668" s="4">
        <v>45748</v>
      </c>
      <c r="B2668" t="s">
        <v>19</v>
      </c>
      <c r="C2668" t="s">
        <v>12</v>
      </c>
      <c r="D2668">
        <v>1</v>
      </c>
      <c r="E2668" s="2">
        <v>3490</v>
      </c>
      <c r="F2668" s="2">
        <f t="shared" si="432"/>
        <v>3723.8</v>
      </c>
      <c r="G2668" s="3">
        <v>1</v>
      </c>
      <c r="H2668" t="s">
        <v>27</v>
      </c>
      <c r="I2668" t="s">
        <v>27</v>
      </c>
      <c r="J2668">
        <v>5582</v>
      </c>
      <c r="K2668">
        <v>18000</v>
      </c>
      <c r="L2668" s="2">
        <v>27.221875000000001</v>
      </c>
      <c r="M2668" s="5">
        <v>272.28100000000001</v>
      </c>
      <c r="N2668" s="1">
        <v>298.53120000000001</v>
      </c>
      <c r="O2668" s="2">
        <v>-2</v>
      </c>
      <c r="P2668">
        <v>274</v>
      </c>
    </row>
    <row r="2669" spans="1:16" x14ac:dyDescent="0.35">
      <c r="A2669" s="4">
        <v>45748</v>
      </c>
      <c r="B2669" t="s">
        <v>19</v>
      </c>
      <c r="C2669" t="s">
        <v>13</v>
      </c>
      <c r="D2669">
        <v>1</v>
      </c>
      <c r="E2669" s="2">
        <v>3818.75</v>
      </c>
      <c r="F2669" s="2">
        <f t="shared" si="432"/>
        <v>3723.8</v>
      </c>
      <c r="G2669" s="3">
        <v>1</v>
      </c>
      <c r="H2669" t="s">
        <v>27</v>
      </c>
      <c r="I2669" t="s">
        <v>27</v>
      </c>
      <c r="J2669">
        <v>5582</v>
      </c>
      <c r="K2669">
        <v>18000</v>
      </c>
      <c r="L2669" s="2">
        <v>27.221875000000001</v>
      </c>
      <c r="M2669" s="5">
        <v>272.28100000000001</v>
      </c>
      <c r="N2669" s="1">
        <v>298.53120000000001</v>
      </c>
      <c r="O2669" s="2">
        <v>-2</v>
      </c>
      <c r="P2669">
        <v>274</v>
      </c>
    </row>
    <row r="2670" spans="1:16" x14ac:dyDescent="0.35">
      <c r="A2670" s="4">
        <v>45748</v>
      </c>
      <c r="B2670" t="s">
        <v>19</v>
      </c>
      <c r="C2670" t="s">
        <v>14</v>
      </c>
      <c r="D2670">
        <v>1</v>
      </c>
      <c r="E2670" s="2">
        <f>(3864+3850+3825+3831)/4</f>
        <v>3842.5</v>
      </c>
      <c r="F2670" s="2">
        <f t="shared" si="432"/>
        <v>3723.8</v>
      </c>
      <c r="G2670" s="3">
        <v>1</v>
      </c>
      <c r="H2670" t="s">
        <v>27</v>
      </c>
      <c r="I2670" t="s">
        <v>27</v>
      </c>
      <c r="J2670">
        <v>5582</v>
      </c>
      <c r="K2670">
        <v>18000</v>
      </c>
      <c r="L2670" s="2">
        <v>27.221875000000001</v>
      </c>
      <c r="M2670" s="5">
        <v>272.28100000000001</v>
      </c>
      <c r="N2670" s="1">
        <v>298.53120000000001</v>
      </c>
      <c r="O2670" s="2">
        <v>-2</v>
      </c>
      <c r="P2670">
        <v>274</v>
      </c>
    </row>
    <row r="2671" spans="1:16" x14ac:dyDescent="0.35">
      <c r="A2671" s="4">
        <v>45748</v>
      </c>
      <c r="B2671" t="s">
        <v>19</v>
      </c>
      <c r="C2671" t="s">
        <v>15</v>
      </c>
      <c r="D2671">
        <v>1</v>
      </c>
      <c r="E2671" s="2">
        <v>3850</v>
      </c>
      <c r="F2671" s="2">
        <f t="shared" si="432"/>
        <v>3723.8</v>
      </c>
      <c r="G2671" s="3">
        <v>1</v>
      </c>
      <c r="H2671" t="s">
        <v>27</v>
      </c>
      <c r="I2671" t="s">
        <v>27</v>
      </c>
      <c r="J2671">
        <v>5582</v>
      </c>
      <c r="K2671">
        <v>18000</v>
      </c>
      <c r="L2671" s="2">
        <v>27.221875000000001</v>
      </c>
      <c r="M2671" s="5">
        <v>272.28100000000001</v>
      </c>
      <c r="N2671" s="1">
        <v>298.53120000000001</v>
      </c>
      <c r="O2671" s="2">
        <v>-2</v>
      </c>
      <c r="P2671">
        <v>274</v>
      </c>
    </row>
    <row r="2672" spans="1:16" x14ac:dyDescent="0.35">
      <c r="A2672" s="4">
        <v>45748</v>
      </c>
      <c r="B2672" t="s">
        <v>20</v>
      </c>
      <c r="C2672" t="s">
        <v>10</v>
      </c>
      <c r="D2672">
        <v>1</v>
      </c>
      <c r="E2672" s="2">
        <v>3500</v>
      </c>
      <c r="F2672" s="2">
        <f>(3443.57+3389.38+3397.5*2)/4</f>
        <v>3406.9875000000002</v>
      </c>
      <c r="G2672" s="3">
        <v>1</v>
      </c>
      <c r="H2672" t="s">
        <v>27</v>
      </c>
      <c r="I2672" t="s">
        <v>27</v>
      </c>
      <c r="J2672">
        <v>5582</v>
      </c>
      <c r="K2672">
        <v>18000</v>
      </c>
      <c r="L2672" s="2">
        <v>27.221875000000001</v>
      </c>
      <c r="M2672" s="5">
        <v>272.28100000000001</v>
      </c>
      <c r="N2672" s="1">
        <v>298.53120000000001</v>
      </c>
      <c r="O2672" s="2">
        <v>-2</v>
      </c>
      <c r="P2672">
        <v>274</v>
      </c>
    </row>
    <row r="2673" spans="1:16" x14ac:dyDescent="0.35">
      <c r="A2673" s="4">
        <v>45748</v>
      </c>
      <c r="B2673" t="s">
        <v>20</v>
      </c>
      <c r="C2673" t="s">
        <v>11</v>
      </c>
      <c r="D2673">
        <v>1</v>
      </c>
      <c r="E2673" s="2">
        <v>3300</v>
      </c>
      <c r="F2673" s="2">
        <f t="shared" ref="F2673:F2677" si="433">(3443.57+3389.38+3397.5*2)/4</f>
        <v>3406.9875000000002</v>
      </c>
      <c r="G2673" s="3">
        <v>1</v>
      </c>
      <c r="H2673" t="s">
        <v>27</v>
      </c>
      <c r="I2673" t="s">
        <v>27</v>
      </c>
      <c r="J2673">
        <v>5582</v>
      </c>
      <c r="K2673">
        <v>18000</v>
      </c>
      <c r="L2673" s="2">
        <v>27.221875000000001</v>
      </c>
      <c r="M2673" s="5">
        <v>272.28100000000001</v>
      </c>
      <c r="N2673" s="1">
        <v>298.53120000000001</v>
      </c>
      <c r="O2673" s="2">
        <v>-2</v>
      </c>
      <c r="P2673">
        <v>274</v>
      </c>
    </row>
    <row r="2674" spans="1:16" x14ac:dyDescent="0.35">
      <c r="A2674" s="4">
        <v>45748</v>
      </c>
      <c r="B2674" t="s">
        <v>20</v>
      </c>
      <c r="C2674" t="s">
        <v>12</v>
      </c>
      <c r="D2674">
        <v>1</v>
      </c>
      <c r="E2674" s="2">
        <v>2495</v>
      </c>
      <c r="F2674" s="2">
        <f t="shared" si="433"/>
        <v>3406.9875000000002</v>
      </c>
      <c r="G2674" s="3">
        <v>1</v>
      </c>
      <c r="H2674" t="s">
        <v>27</v>
      </c>
      <c r="I2674" t="s">
        <v>27</v>
      </c>
      <c r="J2674">
        <v>5582</v>
      </c>
      <c r="K2674">
        <v>18000</v>
      </c>
      <c r="L2674" s="2">
        <v>27.221875000000001</v>
      </c>
      <c r="M2674" s="5">
        <v>272.28100000000001</v>
      </c>
      <c r="N2674" s="1">
        <v>298.53120000000001</v>
      </c>
      <c r="O2674" s="2">
        <v>-2</v>
      </c>
      <c r="P2674">
        <v>274</v>
      </c>
    </row>
    <row r="2675" spans="1:16" x14ac:dyDescent="0.35">
      <c r="A2675" s="4">
        <v>45748</v>
      </c>
      <c r="B2675" t="s">
        <v>20</v>
      </c>
      <c r="C2675" t="s">
        <v>13</v>
      </c>
      <c r="D2675">
        <v>1</v>
      </c>
      <c r="E2675" s="2">
        <v>3625</v>
      </c>
      <c r="F2675" s="2">
        <f t="shared" si="433"/>
        <v>3406.9875000000002</v>
      </c>
      <c r="G2675" s="3">
        <v>1</v>
      </c>
      <c r="H2675" t="s">
        <v>27</v>
      </c>
      <c r="I2675" t="s">
        <v>27</v>
      </c>
      <c r="J2675">
        <v>5582</v>
      </c>
      <c r="K2675">
        <v>18000</v>
      </c>
      <c r="L2675" s="2">
        <v>27.221875000000001</v>
      </c>
      <c r="M2675" s="5">
        <v>272.28100000000001</v>
      </c>
      <c r="N2675" s="1">
        <v>298.53120000000001</v>
      </c>
      <c r="O2675" s="2">
        <v>-2</v>
      </c>
      <c r="P2675">
        <v>274</v>
      </c>
    </row>
    <row r="2676" spans="1:16" x14ac:dyDescent="0.35">
      <c r="A2676" s="4">
        <v>45748</v>
      </c>
      <c r="B2676" t="s">
        <v>20</v>
      </c>
      <c r="C2676" t="s">
        <v>14</v>
      </c>
      <c r="D2676">
        <v>1</v>
      </c>
      <c r="E2676" s="2">
        <f>(3660+3570+3610+3585)/4</f>
        <v>3606.25</v>
      </c>
      <c r="F2676" s="2">
        <f t="shared" si="433"/>
        <v>3406.9875000000002</v>
      </c>
      <c r="G2676" s="3">
        <v>1</v>
      </c>
      <c r="H2676" t="s">
        <v>27</v>
      </c>
      <c r="I2676" t="s">
        <v>27</v>
      </c>
      <c r="J2676">
        <v>5582</v>
      </c>
      <c r="K2676">
        <v>18000</v>
      </c>
      <c r="L2676" s="2">
        <v>27.221875000000001</v>
      </c>
      <c r="M2676" s="5">
        <v>272.28100000000001</v>
      </c>
      <c r="N2676" s="1">
        <v>298.53120000000001</v>
      </c>
      <c r="O2676" s="2">
        <v>-2</v>
      </c>
      <c r="P2676">
        <v>274</v>
      </c>
    </row>
    <row r="2677" spans="1:16" x14ac:dyDescent="0.35">
      <c r="A2677" s="4">
        <v>45748</v>
      </c>
      <c r="B2677" t="s">
        <v>20</v>
      </c>
      <c r="C2677" t="s">
        <v>15</v>
      </c>
      <c r="D2677">
        <v>1</v>
      </c>
      <c r="E2677" s="2">
        <f>3650</f>
        <v>3650</v>
      </c>
      <c r="F2677" s="2">
        <f t="shared" si="433"/>
        <v>3406.9875000000002</v>
      </c>
      <c r="G2677" s="3">
        <v>1</v>
      </c>
      <c r="H2677" t="s">
        <v>27</v>
      </c>
      <c r="I2677" t="s">
        <v>27</v>
      </c>
      <c r="J2677">
        <v>5582</v>
      </c>
      <c r="K2677">
        <v>18000</v>
      </c>
      <c r="L2677" s="2">
        <v>27.221875000000001</v>
      </c>
      <c r="M2677" s="5">
        <v>272.28100000000001</v>
      </c>
      <c r="N2677" s="1">
        <v>298.53120000000001</v>
      </c>
      <c r="O2677" s="2">
        <v>-2</v>
      </c>
      <c r="P2677">
        <v>274</v>
      </c>
    </row>
    <row r="2678" spans="1:16" x14ac:dyDescent="0.35">
      <c r="A2678" s="4">
        <v>45748</v>
      </c>
      <c r="B2678" t="s">
        <v>21</v>
      </c>
      <c r="C2678" t="s">
        <v>10</v>
      </c>
      <c r="D2678">
        <v>1</v>
      </c>
      <c r="E2678" s="2">
        <v>3305</v>
      </c>
      <c r="F2678" s="2">
        <f>(3265.63+3204.63+3224.5+3291.29)/4</f>
        <v>3246.5124999999998</v>
      </c>
      <c r="G2678" s="3">
        <v>1</v>
      </c>
      <c r="H2678" t="s">
        <v>27</v>
      </c>
      <c r="I2678" t="s">
        <v>27</v>
      </c>
      <c r="J2678">
        <v>5582</v>
      </c>
      <c r="K2678">
        <v>18000</v>
      </c>
      <c r="L2678" s="2">
        <v>27.221875000000001</v>
      </c>
      <c r="M2678" s="5">
        <v>272.28100000000001</v>
      </c>
      <c r="N2678" s="1">
        <v>298.53120000000001</v>
      </c>
      <c r="O2678" s="2">
        <v>-2</v>
      </c>
      <c r="P2678">
        <v>274</v>
      </c>
    </row>
    <row r="2679" spans="1:16" x14ac:dyDescent="0.35">
      <c r="A2679" s="4">
        <v>45748</v>
      </c>
      <c r="B2679" t="s">
        <v>21</v>
      </c>
      <c r="C2679" t="s">
        <v>11</v>
      </c>
      <c r="D2679">
        <v>1</v>
      </c>
      <c r="E2679" s="2">
        <v>3200</v>
      </c>
      <c r="F2679" s="2">
        <f t="shared" ref="F2679:F2683" si="434">(3265.63+3204.63+3224.5+3291.29)/4</f>
        <v>3246.5124999999998</v>
      </c>
      <c r="G2679" s="3">
        <v>1</v>
      </c>
      <c r="H2679" t="s">
        <v>27</v>
      </c>
      <c r="I2679" t="s">
        <v>27</v>
      </c>
      <c r="J2679">
        <v>5582</v>
      </c>
      <c r="K2679">
        <v>18000</v>
      </c>
      <c r="L2679" s="2">
        <v>27.221875000000001</v>
      </c>
      <c r="M2679" s="5">
        <v>272.28100000000001</v>
      </c>
      <c r="N2679" s="1">
        <v>298.53120000000001</v>
      </c>
      <c r="O2679" s="2">
        <v>-2</v>
      </c>
      <c r="P2679">
        <v>274</v>
      </c>
    </row>
    <row r="2680" spans="1:16" x14ac:dyDescent="0.35">
      <c r="A2680" s="4">
        <v>45748</v>
      </c>
      <c r="B2680" t="s">
        <v>21</v>
      </c>
      <c r="C2680" t="s">
        <v>12</v>
      </c>
      <c r="D2680">
        <v>1</v>
      </c>
      <c r="E2680" s="2">
        <v>2300</v>
      </c>
      <c r="F2680" s="2">
        <f t="shared" si="434"/>
        <v>3246.5124999999998</v>
      </c>
      <c r="G2680" s="3">
        <v>1</v>
      </c>
      <c r="H2680" t="s">
        <v>27</v>
      </c>
      <c r="I2680" t="s">
        <v>27</v>
      </c>
      <c r="J2680">
        <v>5582</v>
      </c>
      <c r="K2680">
        <v>18000</v>
      </c>
      <c r="L2680" s="2">
        <v>27.221875000000001</v>
      </c>
      <c r="M2680" s="5">
        <v>272.28100000000001</v>
      </c>
      <c r="N2680" s="1">
        <v>298.53120000000001</v>
      </c>
      <c r="O2680" s="2">
        <v>-2</v>
      </c>
      <c r="P2680">
        <v>274</v>
      </c>
    </row>
    <row r="2681" spans="1:16" x14ac:dyDescent="0.35">
      <c r="A2681" s="4">
        <v>45748</v>
      </c>
      <c r="B2681" t="s">
        <v>21</v>
      </c>
      <c r="C2681" t="s">
        <v>13</v>
      </c>
      <c r="D2681">
        <v>1</v>
      </c>
      <c r="E2681" s="2">
        <f>(3500*2+3400+3525)/4</f>
        <v>3481.25</v>
      </c>
      <c r="F2681" s="2">
        <f t="shared" si="434"/>
        <v>3246.5124999999998</v>
      </c>
      <c r="G2681" s="3">
        <v>1</v>
      </c>
      <c r="H2681" t="s">
        <v>27</v>
      </c>
      <c r="I2681" t="s">
        <v>27</v>
      </c>
      <c r="J2681">
        <v>5582</v>
      </c>
      <c r="K2681">
        <v>18000</v>
      </c>
      <c r="L2681" s="2">
        <v>27.221875000000001</v>
      </c>
      <c r="M2681" s="5">
        <v>272.28100000000001</v>
      </c>
      <c r="N2681" s="1">
        <v>298.53120000000001</v>
      </c>
      <c r="O2681" s="2">
        <v>-2</v>
      </c>
      <c r="P2681">
        <v>274</v>
      </c>
    </row>
    <row r="2682" spans="1:16" x14ac:dyDescent="0.35">
      <c r="A2682" s="4">
        <v>45748</v>
      </c>
      <c r="B2682" t="s">
        <v>21</v>
      </c>
      <c r="C2682" t="s">
        <v>14</v>
      </c>
      <c r="D2682">
        <v>1</v>
      </c>
      <c r="E2682" s="2">
        <f>(3519+3421+3362+3550)/4</f>
        <v>3463</v>
      </c>
      <c r="F2682" s="2">
        <f t="shared" si="434"/>
        <v>3246.5124999999998</v>
      </c>
      <c r="G2682" s="3">
        <v>1</v>
      </c>
      <c r="H2682" t="s">
        <v>27</v>
      </c>
      <c r="I2682" t="s">
        <v>27</v>
      </c>
      <c r="J2682">
        <v>5582</v>
      </c>
      <c r="K2682">
        <v>18000</v>
      </c>
      <c r="L2682" s="2">
        <v>27.221875000000001</v>
      </c>
      <c r="M2682" s="5">
        <v>272.28100000000001</v>
      </c>
      <c r="N2682" s="1">
        <v>298.53120000000001</v>
      </c>
      <c r="O2682" s="2">
        <v>-2</v>
      </c>
      <c r="P2682">
        <v>274</v>
      </c>
    </row>
    <row r="2683" spans="1:16" x14ac:dyDescent="0.35">
      <c r="A2683" s="4">
        <v>45748</v>
      </c>
      <c r="B2683" t="s">
        <v>21</v>
      </c>
      <c r="C2683" t="s">
        <v>15</v>
      </c>
      <c r="D2683">
        <v>1</v>
      </c>
      <c r="E2683" s="2">
        <f>(3625+3575*2+3525)/4</f>
        <v>3575</v>
      </c>
      <c r="F2683" s="2">
        <f t="shared" si="434"/>
        <v>3246.5124999999998</v>
      </c>
      <c r="G2683" s="3">
        <v>1</v>
      </c>
      <c r="H2683" t="s">
        <v>27</v>
      </c>
      <c r="I2683" t="s">
        <v>27</v>
      </c>
      <c r="J2683">
        <v>5582</v>
      </c>
      <c r="K2683">
        <v>18000</v>
      </c>
      <c r="L2683" s="2">
        <v>27.221875000000001</v>
      </c>
      <c r="M2683" s="5">
        <v>272.28100000000001</v>
      </c>
      <c r="N2683" s="1">
        <v>298.53120000000001</v>
      </c>
      <c r="O2683" s="2">
        <v>-2</v>
      </c>
      <c r="P2683">
        <v>274</v>
      </c>
    </row>
    <row r="2684" spans="1:16" x14ac:dyDescent="0.35">
      <c r="A2684" s="4">
        <v>45748</v>
      </c>
      <c r="B2684" t="s">
        <v>22</v>
      </c>
      <c r="C2684" t="s">
        <v>10</v>
      </c>
      <c r="D2684">
        <v>0</v>
      </c>
      <c r="E2684" s="2" t="s">
        <v>27</v>
      </c>
      <c r="F2684" s="2">
        <f t="shared" ref="F2684:F2687" si="435">(3237+3100+3220+3190)/4</f>
        <v>3186.75</v>
      </c>
      <c r="G2684" s="3">
        <v>1</v>
      </c>
      <c r="H2684" t="s">
        <v>27</v>
      </c>
      <c r="I2684" t="s">
        <v>27</v>
      </c>
      <c r="J2684">
        <v>5582</v>
      </c>
      <c r="K2684">
        <v>18000</v>
      </c>
      <c r="L2684" s="2">
        <v>27.221875000000001</v>
      </c>
      <c r="M2684" s="5">
        <v>272.28100000000001</v>
      </c>
      <c r="N2684" s="1">
        <v>298.53120000000001</v>
      </c>
      <c r="O2684" s="2">
        <v>-2</v>
      </c>
      <c r="P2684">
        <v>274</v>
      </c>
    </row>
    <row r="2685" spans="1:16" x14ac:dyDescent="0.35">
      <c r="A2685" s="4">
        <v>45748</v>
      </c>
      <c r="B2685" t="s">
        <v>22</v>
      </c>
      <c r="C2685" t="s">
        <v>11</v>
      </c>
      <c r="D2685">
        <v>0</v>
      </c>
      <c r="E2685" s="2" t="s">
        <v>27</v>
      </c>
      <c r="F2685" s="2">
        <f t="shared" si="435"/>
        <v>3186.75</v>
      </c>
      <c r="G2685" s="3">
        <v>1</v>
      </c>
      <c r="H2685" t="s">
        <v>27</v>
      </c>
      <c r="I2685" t="s">
        <v>27</v>
      </c>
      <c r="J2685">
        <v>5582</v>
      </c>
      <c r="K2685">
        <v>18000</v>
      </c>
      <c r="L2685" s="2">
        <v>27.221875000000001</v>
      </c>
      <c r="M2685" s="5">
        <v>272.28100000000001</v>
      </c>
      <c r="N2685" s="1">
        <v>298.53120000000001</v>
      </c>
      <c r="O2685" s="2">
        <v>-2</v>
      </c>
      <c r="P2685">
        <v>274</v>
      </c>
    </row>
    <row r="2686" spans="1:16" x14ac:dyDescent="0.35">
      <c r="A2686" s="4">
        <v>45748</v>
      </c>
      <c r="B2686" t="s">
        <v>22</v>
      </c>
      <c r="C2686" t="s">
        <v>12</v>
      </c>
      <c r="D2686">
        <v>0</v>
      </c>
      <c r="E2686" s="2" t="s">
        <v>27</v>
      </c>
      <c r="F2686" s="2">
        <f t="shared" si="435"/>
        <v>3186.75</v>
      </c>
      <c r="G2686" s="3">
        <v>1</v>
      </c>
      <c r="H2686" t="s">
        <v>27</v>
      </c>
      <c r="I2686" t="s">
        <v>27</v>
      </c>
      <c r="J2686">
        <v>5582</v>
      </c>
      <c r="K2686">
        <v>18000</v>
      </c>
      <c r="L2686" s="2">
        <v>27.221875000000001</v>
      </c>
      <c r="M2686" s="5">
        <v>272.28100000000001</v>
      </c>
      <c r="N2686" s="1">
        <v>298.53120000000001</v>
      </c>
      <c r="O2686" s="2">
        <v>-2</v>
      </c>
      <c r="P2686">
        <v>274</v>
      </c>
    </row>
    <row r="2687" spans="1:16" x14ac:dyDescent="0.35">
      <c r="A2687" s="4">
        <v>45748</v>
      </c>
      <c r="B2687" t="s">
        <v>22</v>
      </c>
      <c r="C2687" t="s">
        <v>13</v>
      </c>
      <c r="D2687">
        <v>0</v>
      </c>
      <c r="E2687" s="2" t="s">
        <v>27</v>
      </c>
      <c r="F2687" s="2">
        <f t="shared" si="435"/>
        <v>3186.75</v>
      </c>
      <c r="G2687" s="3">
        <v>1</v>
      </c>
      <c r="H2687" t="s">
        <v>27</v>
      </c>
      <c r="I2687" t="s">
        <v>27</v>
      </c>
      <c r="J2687">
        <v>5582</v>
      </c>
      <c r="K2687">
        <v>18000</v>
      </c>
      <c r="L2687" s="2">
        <v>27.221875000000001</v>
      </c>
      <c r="M2687" s="5">
        <v>272.28100000000001</v>
      </c>
      <c r="N2687" s="1">
        <v>298.53120000000001</v>
      </c>
      <c r="O2687" s="2">
        <v>-2</v>
      </c>
      <c r="P2687">
        <v>274</v>
      </c>
    </row>
    <row r="2688" spans="1:16" x14ac:dyDescent="0.35">
      <c r="A2688" s="4">
        <v>45748</v>
      </c>
      <c r="B2688" t="s">
        <v>22</v>
      </c>
      <c r="C2688" t="s">
        <v>14</v>
      </c>
      <c r="D2688">
        <v>1</v>
      </c>
      <c r="E2688" s="2">
        <f>(3237+3100+3220+3190)/4</f>
        <v>3186.75</v>
      </c>
      <c r="F2688" s="2">
        <f>(3237+3100+3220+3190)/4</f>
        <v>3186.75</v>
      </c>
      <c r="G2688" s="3">
        <v>1</v>
      </c>
      <c r="H2688" t="s">
        <v>27</v>
      </c>
      <c r="I2688" t="s">
        <v>27</v>
      </c>
      <c r="J2688">
        <v>5582</v>
      </c>
      <c r="K2688">
        <v>18000</v>
      </c>
      <c r="L2688" s="2">
        <v>27.221875000000001</v>
      </c>
      <c r="M2688" s="5">
        <v>272.28100000000001</v>
      </c>
      <c r="N2688" s="1">
        <v>298.53120000000001</v>
      </c>
      <c r="O2688" s="2">
        <v>-2</v>
      </c>
      <c r="P2688">
        <v>274</v>
      </c>
    </row>
    <row r="2689" spans="1:16" x14ac:dyDescent="0.35">
      <c r="A2689" s="4">
        <v>45748</v>
      </c>
      <c r="B2689" t="s">
        <v>22</v>
      </c>
      <c r="C2689" t="s">
        <v>15</v>
      </c>
      <c r="D2689">
        <v>0</v>
      </c>
      <c r="E2689" s="2" t="s">
        <v>27</v>
      </c>
      <c r="F2689" s="2">
        <f>(3237+3100+3220+3190)/4</f>
        <v>3186.75</v>
      </c>
      <c r="G2689" s="3">
        <v>1</v>
      </c>
      <c r="H2689" t="s">
        <v>27</v>
      </c>
      <c r="I2689" t="s">
        <v>27</v>
      </c>
      <c r="J2689">
        <v>5582</v>
      </c>
      <c r="K2689">
        <v>18000</v>
      </c>
      <c r="L2689" s="2">
        <v>27.221875000000001</v>
      </c>
      <c r="M2689" s="5">
        <v>272.28100000000001</v>
      </c>
      <c r="N2689" s="1">
        <v>298.53120000000001</v>
      </c>
      <c r="O2689" s="2">
        <v>-2</v>
      </c>
      <c r="P2689">
        <v>274</v>
      </c>
    </row>
    <row r="2690" spans="1:16" x14ac:dyDescent="0.35">
      <c r="A2690" s="4">
        <v>45778</v>
      </c>
      <c r="B2690" t="s">
        <v>16</v>
      </c>
      <c r="C2690" t="s">
        <v>10</v>
      </c>
      <c r="D2690">
        <v>1</v>
      </c>
      <c r="E2690" s="2">
        <v>4500</v>
      </c>
      <c r="F2690" s="2">
        <f>(4528.75+4545+4532.5+4545)/4</f>
        <v>4537.8125</v>
      </c>
      <c r="G2690" s="3">
        <v>1</v>
      </c>
      <c r="H2690" t="s">
        <v>27</v>
      </c>
      <c r="I2690" t="s">
        <v>27</v>
      </c>
      <c r="J2690">
        <v>5582</v>
      </c>
      <c r="K2690">
        <v>15000</v>
      </c>
      <c r="L2690" s="2">
        <v>27.324375</v>
      </c>
      <c r="M2690" s="5">
        <v>191.71699999999996</v>
      </c>
      <c r="N2690" s="1">
        <v>299.41419999999999</v>
      </c>
      <c r="O2690" s="2">
        <v>-0.7</v>
      </c>
      <c r="P2690">
        <v>274</v>
      </c>
    </row>
    <row r="2691" spans="1:16" x14ac:dyDescent="0.35">
      <c r="A2691" s="4">
        <v>45778</v>
      </c>
      <c r="B2691" t="s">
        <v>16</v>
      </c>
      <c r="C2691" t="s">
        <v>11</v>
      </c>
      <c r="D2691">
        <v>0</v>
      </c>
      <c r="E2691" s="2" t="s">
        <v>27</v>
      </c>
      <c r="F2691" s="2">
        <f t="shared" ref="F2691:F2695" si="436">(4528.75+4545+4532.5+4545)/4</f>
        <v>4537.8125</v>
      </c>
      <c r="G2691" s="3">
        <v>1</v>
      </c>
      <c r="H2691" t="s">
        <v>27</v>
      </c>
      <c r="I2691" t="s">
        <v>27</v>
      </c>
      <c r="J2691">
        <v>5582</v>
      </c>
      <c r="K2691">
        <v>15000</v>
      </c>
      <c r="L2691" s="2">
        <v>27.324375</v>
      </c>
      <c r="M2691" s="5">
        <v>191.71699999999996</v>
      </c>
      <c r="N2691" s="1">
        <v>299.41419999999999</v>
      </c>
      <c r="O2691" s="2">
        <v>-0.7</v>
      </c>
      <c r="P2691">
        <v>274</v>
      </c>
    </row>
    <row r="2692" spans="1:16" x14ac:dyDescent="0.35">
      <c r="A2692" s="4">
        <v>45778</v>
      </c>
      <c r="B2692" t="s">
        <v>16</v>
      </c>
      <c r="C2692" t="s">
        <v>12</v>
      </c>
      <c r="D2692">
        <v>1</v>
      </c>
      <c r="E2692" s="2">
        <v>4480</v>
      </c>
      <c r="F2692" s="2">
        <f t="shared" si="436"/>
        <v>4537.8125</v>
      </c>
      <c r="G2692" s="3">
        <v>1</v>
      </c>
      <c r="H2692" t="s">
        <v>27</v>
      </c>
      <c r="I2692" t="s">
        <v>27</v>
      </c>
      <c r="J2692">
        <v>5582</v>
      </c>
      <c r="K2692">
        <v>15000</v>
      </c>
      <c r="L2692" s="2">
        <v>27.324375</v>
      </c>
      <c r="M2692" s="5">
        <v>191.71699999999996</v>
      </c>
      <c r="N2692" s="1">
        <v>299.41419999999999</v>
      </c>
      <c r="O2692" s="2">
        <v>-0.7</v>
      </c>
      <c r="P2692">
        <v>274</v>
      </c>
    </row>
    <row r="2693" spans="1:16" x14ac:dyDescent="0.35">
      <c r="A2693" s="4">
        <v>45778</v>
      </c>
      <c r="B2693" t="s">
        <v>16</v>
      </c>
      <c r="C2693" t="s">
        <v>13</v>
      </c>
      <c r="D2693">
        <v>1</v>
      </c>
      <c r="E2693" s="2">
        <f>(4700+4600*2+4650)/4</f>
        <v>4637.5</v>
      </c>
      <c r="F2693" s="2">
        <f t="shared" si="436"/>
        <v>4537.8125</v>
      </c>
      <c r="G2693" s="3">
        <v>1</v>
      </c>
      <c r="H2693" t="s">
        <v>27</v>
      </c>
      <c r="I2693" t="s">
        <v>27</v>
      </c>
      <c r="J2693">
        <v>5582</v>
      </c>
      <c r="K2693">
        <v>15000</v>
      </c>
      <c r="L2693" s="2">
        <v>27.324375</v>
      </c>
      <c r="M2693" s="5">
        <v>191.71699999999996</v>
      </c>
      <c r="N2693" s="1">
        <v>299.41419999999999</v>
      </c>
      <c r="O2693" s="2">
        <v>-0.7</v>
      </c>
      <c r="P2693">
        <v>274</v>
      </c>
    </row>
    <row r="2694" spans="1:16" x14ac:dyDescent="0.35">
      <c r="A2694" s="4">
        <v>45778</v>
      </c>
      <c r="B2694" t="s">
        <v>16</v>
      </c>
      <c r="C2694" t="s">
        <v>14</v>
      </c>
      <c r="D2694">
        <v>1</v>
      </c>
      <c r="E2694" s="2">
        <f>(4525+4500*2+4550)/4</f>
        <v>4518.75</v>
      </c>
      <c r="F2694" s="2">
        <f t="shared" si="436"/>
        <v>4537.8125</v>
      </c>
      <c r="G2694" s="3">
        <v>1</v>
      </c>
      <c r="H2694" t="s">
        <v>27</v>
      </c>
      <c r="I2694" t="s">
        <v>27</v>
      </c>
      <c r="J2694">
        <v>5582</v>
      </c>
      <c r="K2694">
        <v>15000</v>
      </c>
      <c r="L2694" s="2">
        <v>27.324375</v>
      </c>
      <c r="M2694" s="5">
        <v>191.71699999999996</v>
      </c>
      <c r="N2694" s="1">
        <v>299.41419999999999</v>
      </c>
      <c r="O2694" s="2">
        <v>-0.7</v>
      </c>
      <c r="P2694">
        <v>274</v>
      </c>
    </row>
    <row r="2695" spans="1:16" x14ac:dyDescent="0.35">
      <c r="A2695" s="4">
        <v>45778</v>
      </c>
      <c r="B2695" t="s">
        <v>16</v>
      </c>
      <c r="C2695" t="s">
        <v>15</v>
      </c>
      <c r="D2695">
        <v>0</v>
      </c>
      <c r="E2695" s="2" t="s">
        <v>27</v>
      </c>
      <c r="F2695" s="2">
        <f t="shared" si="436"/>
        <v>4537.8125</v>
      </c>
      <c r="G2695" s="3">
        <v>1</v>
      </c>
      <c r="H2695" t="s">
        <v>27</v>
      </c>
      <c r="I2695" t="s">
        <v>27</v>
      </c>
      <c r="J2695">
        <v>5582</v>
      </c>
      <c r="K2695">
        <v>15000</v>
      </c>
      <c r="L2695" s="2">
        <v>27.324375</v>
      </c>
      <c r="M2695" s="5">
        <v>191.71699999999996</v>
      </c>
      <c r="N2695" s="1">
        <v>299.41419999999999</v>
      </c>
      <c r="O2695" s="2">
        <v>-0.7</v>
      </c>
      <c r="P2695">
        <v>274</v>
      </c>
    </row>
    <row r="2696" spans="1:16" x14ac:dyDescent="0.35">
      <c r="A2696" s="4">
        <v>45778</v>
      </c>
      <c r="B2696" t="s">
        <v>17</v>
      </c>
      <c r="C2696" t="s">
        <v>10</v>
      </c>
      <c r="D2696">
        <v>1</v>
      </c>
      <c r="E2696" s="2">
        <v>3900</v>
      </c>
      <c r="F2696" s="2">
        <f>(4105.6+4094+4070.6+4062.4)/4</f>
        <v>4083.15</v>
      </c>
      <c r="G2696" s="3">
        <v>1</v>
      </c>
      <c r="H2696" t="s">
        <v>27</v>
      </c>
      <c r="I2696" t="s">
        <v>27</v>
      </c>
      <c r="J2696">
        <v>5582</v>
      </c>
      <c r="K2696">
        <v>15000</v>
      </c>
      <c r="L2696" s="2">
        <v>27.324375</v>
      </c>
      <c r="M2696" s="5">
        <v>191.71699999999996</v>
      </c>
      <c r="N2696" s="1">
        <v>299.41419999999999</v>
      </c>
      <c r="O2696" s="2">
        <v>-0.7</v>
      </c>
      <c r="P2696">
        <v>274</v>
      </c>
    </row>
    <row r="2697" spans="1:16" x14ac:dyDescent="0.35">
      <c r="A2697" s="4">
        <v>45778</v>
      </c>
      <c r="B2697" t="s">
        <v>17</v>
      </c>
      <c r="C2697" t="s">
        <v>11</v>
      </c>
      <c r="D2697">
        <v>1</v>
      </c>
      <c r="E2697" s="2">
        <v>4225</v>
      </c>
      <c r="F2697" s="2">
        <f t="shared" ref="F2697:F2701" si="437">(4105.6+4094+4070.6+4062.4)/4</f>
        <v>4083.15</v>
      </c>
      <c r="G2697" s="3">
        <v>1</v>
      </c>
      <c r="H2697" t="s">
        <v>27</v>
      </c>
      <c r="I2697" t="s">
        <v>27</v>
      </c>
      <c r="J2697">
        <v>5582</v>
      </c>
      <c r="K2697">
        <v>15000</v>
      </c>
      <c r="L2697" s="2">
        <v>27.324375</v>
      </c>
      <c r="M2697" s="5">
        <v>191.71699999999996</v>
      </c>
      <c r="N2697" s="1">
        <v>299.41419999999999</v>
      </c>
      <c r="O2697" s="2">
        <v>-0.7</v>
      </c>
      <c r="P2697">
        <v>274</v>
      </c>
    </row>
    <row r="2698" spans="1:16" x14ac:dyDescent="0.35">
      <c r="A2698" s="4">
        <v>45778</v>
      </c>
      <c r="B2698" t="s">
        <v>17</v>
      </c>
      <c r="C2698" t="s">
        <v>12</v>
      </c>
      <c r="D2698">
        <v>1</v>
      </c>
      <c r="E2698" s="2">
        <v>4070</v>
      </c>
      <c r="F2698" s="2">
        <f t="shared" si="437"/>
        <v>4083.15</v>
      </c>
      <c r="G2698" s="3">
        <v>1</v>
      </c>
      <c r="H2698" t="s">
        <v>27</v>
      </c>
      <c r="I2698" t="s">
        <v>27</v>
      </c>
      <c r="J2698">
        <v>5582</v>
      </c>
      <c r="K2698">
        <v>15000</v>
      </c>
      <c r="L2698" s="2">
        <v>27.324375</v>
      </c>
      <c r="M2698" s="5">
        <v>191.71699999999996</v>
      </c>
      <c r="N2698" s="1">
        <v>299.41419999999999</v>
      </c>
      <c r="O2698" s="2">
        <v>-0.7</v>
      </c>
      <c r="P2698">
        <v>274</v>
      </c>
    </row>
    <row r="2699" spans="1:16" x14ac:dyDescent="0.35">
      <c r="A2699" s="4">
        <v>45778</v>
      </c>
      <c r="B2699" t="s">
        <v>17</v>
      </c>
      <c r="C2699" t="s">
        <v>13</v>
      </c>
      <c r="D2699">
        <v>1</v>
      </c>
      <c r="E2699" s="2">
        <v>4125</v>
      </c>
      <c r="F2699" s="2">
        <f t="shared" si="437"/>
        <v>4083.15</v>
      </c>
      <c r="G2699" s="3">
        <v>1</v>
      </c>
      <c r="H2699" t="s">
        <v>27</v>
      </c>
      <c r="I2699" t="s">
        <v>27</v>
      </c>
      <c r="J2699">
        <v>5582</v>
      </c>
      <c r="K2699">
        <v>15000</v>
      </c>
      <c r="L2699" s="2">
        <v>27.324375</v>
      </c>
      <c r="M2699" s="5">
        <v>191.71699999999996</v>
      </c>
      <c r="N2699" s="1">
        <v>299.41419999999999</v>
      </c>
      <c r="O2699" s="2">
        <v>-0.7</v>
      </c>
      <c r="P2699">
        <v>274</v>
      </c>
    </row>
    <row r="2700" spans="1:16" x14ac:dyDescent="0.35">
      <c r="A2700" s="4">
        <v>45778</v>
      </c>
      <c r="B2700" t="s">
        <v>17</v>
      </c>
      <c r="C2700" t="s">
        <v>14</v>
      </c>
      <c r="D2700">
        <v>1</v>
      </c>
      <c r="E2700" s="2">
        <f>(4067+4133*2+4100)/4</f>
        <v>4108.25</v>
      </c>
      <c r="F2700" s="2">
        <f t="shared" si="437"/>
        <v>4083.15</v>
      </c>
      <c r="G2700" s="3">
        <v>1</v>
      </c>
      <c r="H2700" t="s">
        <v>27</v>
      </c>
      <c r="I2700" t="s">
        <v>27</v>
      </c>
      <c r="J2700">
        <v>5582</v>
      </c>
      <c r="K2700">
        <v>15000</v>
      </c>
      <c r="L2700" s="2">
        <v>27.324375</v>
      </c>
      <c r="M2700" s="5">
        <v>191.71699999999996</v>
      </c>
      <c r="N2700" s="1">
        <v>299.41419999999999</v>
      </c>
      <c r="O2700" s="2">
        <v>-0.7</v>
      </c>
      <c r="P2700">
        <v>274</v>
      </c>
    </row>
    <row r="2701" spans="1:16" x14ac:dyDescent="0.35">
      <c r="A2701" s="4">
        <v>45778</v>
      </c>
      <c r="B2701" t="s">
        <v>17</v>
      </c>
      <c r="C2701" t="s">
        <v>15</v>
      </c>
      <c r="D2701">
        <v>0</v>
      </c>
      <c r="E2701" s="2" t="s">
        <v>27</v>
      </c>
      <c r="F2701" s="2">
        <f t="shared" si="437"/>
        <v>4083.15</v>
      </c>
      <c r="G2701" s="3">
        <v>1</v>
      </c>
      <c r="H2701" t="s">
        <v>27</v>
      </c>
      <c r="I2701" t="s">
        <v>27</v>
      </c>
      <c r="J2701">
        <v>5582</v>
      </c>
      <c r="K2701">
        <v>15000</v>
      </c>
      <c r="L2701" s="2">
        <v>27.324375</v>
      </c>
      <c r="M2701" s="5">
        <v>191.71699999999996</v>
      </c>
      <c r="N2701" s="1">
        <v>299.41419999999999</v>
      </c>
      <c r="O2701" s="2">
        <v>-0.7</v>
      </c>
      <c r="P2701">
        <v>274</v>
      </c>
    </row>
    <row r="2702" spans="1:16" x14ac:dyDescent="0.35">
      <c r="A2702" s="4">
        <v>45778</v>
      </c>
      <c r="B2702" t="s">
        <v>18</v>
      </c>
      <c r="C2702" t="s">
        <v>10</v>
      </c>
      <c r="D2702">
        <v>1</v>
      </c>
      <c r="E2702" s="2">
        <v>3725</v>
      </c>
      <c r="F2702" s="2">
        <f>(3808.75+3810.38+3719.75+3843.13)/4</f>
        <v>3795.5025000000005</v>
      </c>
      <c r="G2702" s="3">
        <v>1</v>
      </c>
      <c r="H2702" t="s">
        <v>27</v>
      </c>
      <c r="I2702" t="s">
        <v>27</v>
      </c>
      <c r="J2702">
        <v>5582</v>
      </c>
      <c r="K2702">
        <v>15000</v>
      </c>
      <c r="L2702" s="2">
        <v>27.324375</v>
      </c>
      <c r="M2702" s="5">
        <v>191.71699999999996</v>
      </c>
      <c r="N2702" s="1">
        <v>299.41419999999999</v>
      </c>
      <c r="O2702" s="2">
        <v>-0.7</v>
      </c>
      <c r="P2702">
        <v>274</v>
      </c>
    </row>
    <row r="2703" spans="1:16" x14ac:dyDescent="0.35">
      <c r="A2703" s="4">
        <v>45778</v>
      </c>
      <c r="B2703" t="s">
        <v>18</v>
      </c>
      <c r="C2703" t="s">
        <v>11</v>
      </c>
      <c r="D2703">
        <v>1</v>
      </c>
      <c r="E2703" s="2">
        <v>4000</v>
      </c>
      <c r="F2703" s="2">
        <f t="shared" ref="F2703:F2707" si="438">(3808.75+3810.38+3719.75+3843.13)/4</f>
        <v>3795.5025000000005</v>
      </c>
      <c r="G2703" s="3">
        <v>1</v>
      </c>
      <c r="H2703" t="s">
        <v>27</v>
      </c>
      <c r="I2703" t="s">
        <v>27</v>
      </c>
      <c r="J2703">
        <v>5582</v>
      </c>
      <c r="K2703">
        <v>15000</v>
      </c>
      <c r="L2703" s="2">
        <v>27.324375</v>
      </c>
      <c r="M2703" s="5">
        <v>191.71699999999996</v>
      </c>
      <c r="N2703" s="1">
        <v>299.41419999999999</v>
      </c>
      <c r="O2703" s="2">
        <v>-0.7</v>
      </c>
      <c r="P2703">
        <v>274</v>
      </c>
    </row>
    <row r="2704" spans="1:16" x14ac:dyDescent="0.35">
      <c r="A2704" s="4">
        <v>45778</v>
      </c>
      <c r="B2704" t="s">
        <v>18</v>
      </c>
      <c r="C2704" t="s">
        <v>12</v>
      </c>
      <c r="D2704">
        <v>1</v>
      </c>
      <c r="E2704" s="2">
        <v>3695</v>
      </c>
      <c r="F2704" s="2">
        <f t="shared" si="438"/>
        <v>3795.5025000000005</v>
      </c>
      <c r="G2704" s="3">
        <v>1</v>
      </c>
      <c r="H2704" t="s">
        <v>27</v>
      </c>
      <c r="I2704" t="s">
        <v>27</v>
      </c>
      <c r="J2704">
        <v>5582</v>
      </c>
      <c r="K2704">
        <v>15000</v>
      </c>
      <c r="L2704" s="2">
        <v>27.324375</v>
      </c>
      <c r="M2704" s="5">
        <v>191.71699999999996</v>
      </c>
      <c r="N2704" s="1">
        <v>299.41419999999999</v>
      </c>
      <c r="O2704" s="2">
        <v>-0.7</v>
      </c>
      <c r="P2704">
        <v>274</v>
      </c>
    </row>
    <row r="2705" spans="1:16" x14ac:dyDescent="0.35">
      <c r="A2705" s="4">
        <v>45778</v>
      </c>
      <c r="B2705" t="s">
        <v>18</v>
      </c>
      <c r="C2705" t="s">
        <v>13</v>
      </c>
      <c r="D2705">
        <v>1</v>
      </c>
      <c r="E2705" s="2">
        <f>(3950+3875+4000+3925)/4</f>
        <v>3937.5</v>
      </c>
      <c r="F2705" s="2">
        <f t="shared" si="438"/>
        <v>3795.5025000000005</v>
      </c>
      <c r="G2705" s="3">
        <v>1</v>
      </c>
      <c r="H2705" t="s">
        <v>27</v>
      </c>
      <c r="I2705" t="s">
        <v>27</v>
      </c>
      <c r="J2705">
        <v>5582</v>
      </c>
      <c r="K2705">
        <v>15000</v>
      </c>
      <c r="L2705" s="2">
        <v>27.324375</v>
      </c>
      <c r="M2705" s="5">
        <v>191.71699999999996</v>
      </c>
      <c r="N2705" s="1">
        <v>299.41419999999999</v>
      </c>
      <c r="O2705" s="2">
        <v>-0.7</v>
      </c>
      <c r="P2705">
        <v>274</v>
      </c>
    </row>
    <row r="2706" spans="1:16" x14ac:dyDescent="0.35">
      <c r="A2706" s="4">
        <v>45778</v>
      </c>
      <c r="B2706" t="s">
        <v>18</v>
      </c>
      <c r="C2706" t="s">
        <v>14</v>
      </c>
      <c r="D2706">
        <v>1</v>
      </c>
      <c r="E2706" s="2">
        <f>(3875+3888*2+3825)/4</f>
        <v>3869</v>
      </c>
      <c r="F2706" s="2">
        <f t="shared" si="438"/>
        <v>3795.5025000000005</v>
      </c>
      <c r="G2706" s="3">
        <v>1</v>
      </c>
      <c r="H2706" t="s">
        <v>27</v>
      </c>
      <c r="I2706" t="s">
        <v>27</v>
      </c>
      <c r="J2706">
        <v>5582</v>
      </c>
      <c r="K2706">
        <v>15000</v>
      </c>
      <c r="L2706" s="2">
        <v>27.324375</v>
      </c>
      <c r="M2706" s="5">
        <v>191.71699999999996</v>
      </c>
      <c r="N2706" s="1">
        <v>299.41419999999999</v>
      </c>
      <c r="O2706" s="2">
        <v>-0.7</v>
      </c>
      <c r="P2706">
        <v>274</v>
      </c>
    </row>
    <row r="2707" spans="1:16" x14ac:dyDescent="0.35">
      <c r="A2707" s="4">
        <v>45778</v>
      </c>
      <c r="B2707" t="s">
        <v>18</v>
      </c>
      <c r="C2707" t="s">
        <v>15</v>
      </c>
      <c r="D2707">
        <v>1</v>
      </c>
      <c r="E2707" s="2">
        <f>(3950+3975+3875+3800)/4</f>
        <v>3900</v>
      </c>
      <c r="F2707" s="2">
        <f t="shared" si="438"/>
        <v>3795.5025000000005</v>
      </c>
      <c r="G2707" s="3">
        <v>1</v>
      </c>
      <c r="H2707" t="s">
        <v>27</v>
      </c>
      <c r="I2707" t="s">
        <v>27</v>
      </c>
      <c r="J2707">
        <v>5582</v>
      </c>
      <c r="K2707">
        <v>15000</v>
      </c>
      <c r="L2707" s="2">
        <v>27.324375</v>
      </c>
      <c r="M2707" s="5">
        <v>191.71699999999996</v>
      </c>
      <c r="N2707" s="1">
        <v>299.41419999999999</v>
      </c>
      <c r="O2707" s="2">
        <v>-0.7</v>
      </c>
      <c r="P2707">
        <v>274</v>
      </c>
    </row>
    <row r="2708" spans="1:16" x14ac:dyDescent="0.35">
      <c r="A2708" s="4">
        <v>45778</v>
      </c>
      <c r="B2708" t="s">
        <v>19</v>
      </c>
      <c r="C2708" t="s">
        <v>10</v>
      </c>
      <c r="D2708">
        <v>1</v>
      </c>
      <c r="E2708" s="2">
        <f>(3550*2+3500+3650)/4</f>
        <v>3562.5</v>
      </c>
      <c r="F2708" s="2">
        <f>(3618.88+3662.89+3681.78+3690.11)/4</f>
        <v>3663.4150000000004</v>
      </c>
      <c r="G2708" s="3">
        <v>1</v>
      </c>
      <c r="H2708" t="s">
        <v>27</v>
      </c>
      <c r="I2708" t="s">
        <v>27</v>
      </c>
      <c r="J2708">
        <v>5582</v>
      </c>
      <c r="K2708">
        <v>15000</v>
      </c>
      <c r="L2708" s="2">
        <v>27.324375</v>
      </c>
      <c r="M2708" s="5">
        <v>191.71699999999996</v>
      </c>
      <c r="N2708" s="1">
        <v>299.41419999999999</v>
      </c>
      <c r="O2708" s="2">
        <v>-0.7</v>
      </c>
      <c r="P2708">
        <v>274</v>
      </c>
    </row>
    <row r="2709" spans="1:16" x14ac:dyDescent="0.35">
      <c r="A2709" s="4">
        <v>45778</v>
      </c>
      <c r="B2709" t="s">
        <v>19</v>
      </c>
      <c r="C2709" t="s">
        <v>11</v>
      </c>
      <c r="D2709">
        <v>1</v>
      </c>
      <c r="E2709" s="2">
        <v>3800</v>
      </c>
      <c r="F2709" s="2">
        <f t="shared" ref="F2709:F2713" si="439">(3618.88+3662.89+3681.78+3690.11)/4</f>
        <v>3663.4150000000004</v>
      </c>
      <c r="G2709" s="3">
        <v>1</v>
      </c>
      <c r="H2709" t="s">
        <v>27</v>
      </c>
      <c r="I2709" t="s">
        <v>27</v>
      </c>
      <c r="J2709">
        <v>5582</v>
      </c>
      <c r="K2709">
        <v>15000</v>
      </c>
      <c r="L2709" s="2">
        <v>27.324375</v>
      </c>
      <c r="M2709" s="5">
        <v>191.71699999999996</v>
      </c>
      <c r="N2709" s="1">
        <v>299.41419999999999</v>
      </c>
      <c r="O2709" s="2">
        <v>-0.7</v>
      </c>
      <c r="P2709">
        <v>274</v>
      </c>
    </row>
    <row r="2710" spans="1:16" x14ac:dyDescent="0.35">
      <c r="A2710" s="4">
        <v>45778</v>
      </c>
      <c r="B2710" t="s">
        <v>19</v>
      </c>
      <c r="C2710" t="s">
        <v>12</v>
      </c>
      <c r="D2710">
        <v>1</v>
      </c>
      <c r="E2710" s="2">
        <f>(3490*3+3190)/4</f>
        <v>3415</v>
      </c>
      <c r="F2710" s="2">
        <f t="shared" si="439"/>
        <v>3663.4150000000004</v>
      </c>
      <c r="G2710" s="3">
        <v>1</v>
      </c>
      <c r="H2710" t="s">
        <v>27</v>
      </c>
      <c r="I2710" t="s">
        <v>27</v>
      </c>
      <c r="J2710">
        <v>5582</v>
      </c>
      <c r="K2710">
        <v>15000</v>
      </c>
      <c r="L2710" s="2">
        <v>27.324375</v>
      </c>
      <c r="M2710" s="5">
        <v>191.71699999999996</v>
      </c>
      <c r="N2710" s="1">
        <v>299.41419999999999</v>
      </c>
      <c r="O2710" s="2">
        <v>-0.7</v>
      </c>
      <c r="P2710">
        <v>274</v>
      </c>
    </row>
    <row r="2711" spans="1:16" x14ac:dyDescent="0.35">
      <c r="A2711" s="4">
        <v>45778</v>
      </c>
      <c r="B2711" t="s">
        <v>19</v>
      </c>
      <c r="C2711" t="s">
        <v>13</v>
      </c>
      <c r="D2711">
        <v>1</v>
      </c>
      <c r="E2711" s="2">
        <f>(3825+3875+3750+3800)/4</f>
        <v>3812.5</v>
      </c>
      <c r="F2711" s="2">
        <f t="shared" si="439"/>
        <v>3663.4150000000004</v>
      </c>
      <c r="G2711" s="3">
        <v>1</v>
      </c>
      <c r="H2711" t="s">
        <v>27</v>
      </c>
      <c r="I2711" t="s">
        <v>27</v>
      </c>
      <c r="J2711">
        <v>5582</v>
      </c>
      <c r="K2711">
        <v>15000</v>
      </c>
      <c r="L2711" s="2">
        <v>27.324375</v>
      </c>
      <c r="M2711" s="5">
        <v>191.71699999999996</v>
      </c>
      <c r="N2711" s="1">
        <v>299.41419999999999</v>
      </c>
      <c r="O2711" s="2">
        <v>-0.7</v>
      </c>
      <c r="P2711">
        <v>274</v>
      </c>
    </row>
    <row r="2712" spans="1:16" x14ac:dyDescent="0.35">
      <c r="A2712" s="4">
        <v>45778</v>
      </c>
      <c r="B2712" t="s">
        <v>19</v>
      </c>
      <c r="C2712" t="s">
        <v>14</v>
      </c>
      <c r="D2712">
        <v>1</v>
      </c>
      <c r="E2712" s="2">
        <f>(3786+3793+3821*2)/4</f>
        <v>3805.25</v>
      </c>
      <c r="F2712" s="2">
        <f t="shared" si="439"/>
        <v>3663.4150000000004</v>
      </c>
      <c r="G2712" s="3">
        <v>1</v>
      </c>
      <c r="H2712" t="s">
        <v>27</v>
      </c>
      <c r="I2712" t="s">
        <v>27</v>
      </c>
      <c r="J2712">
        <v>5582</v>
      </c>
      <c r="K2712">
        <v>15000</v>
      </c>
      <c r="L2712" s="2">
        <v>27.324375</v>
      </c>
      <c r="M2712" s="5">
        <v>191.71699999999996</v>
      </c>
      <c r="N2712" s="1">
        <v>299.41419999999999</v>
      </c>
      <c r="O2712" s="2">
        <v>-0.7</v>
      </c>
      <c r="P2712">
        <v>274</v>
      </c>
    </row>
    <row r="2713" spans="1:16" x14ac:dyDescent="0.35">
      <c r="A2713" s="4">
        <v>45778</v>
      </c>
      <c r="B2713" t="s">
        <v>19</v>
      </c>
      <c r="C2713" t="s">
        <v>15</v>
      </c>
      <c r="D2713">
        <v>1</v>
      </c>
      <c r="E2713" s="2">
        <f>(3825+3800*2+3625)/4</f>
        <v>3762.5</v>
      </c>
      <c r="F2713" s="2">
        <f t="shared" si="439"/>
        <v>3663.4150000000004</v>
      </c>
      <c r="G2713" s="3">
        <v>1</v>
      </c>
      <c r="H2713" t="s">
        <v>27</v>
      </c>
      <c r="I2713" t="s">
        <v>27</v>
      </c>
      <c r="J2713">
        <v>5582</v>
      </c>
      <c r="K2713">
        <v>15000</v>
      </c>
      <c r="L2713" s="2">
        <v>27.324375</v>
      </c>
      <c r="M2713" s="5">
        <v>191.71699999999996</v>
      </c>
      <c r="N2713" s="1">
        <v>299.41419999999999</v>
      </c>
      <c r="O2713" s="2">
        <v>-0.7</v>
      </c>
      <c r="P2713">
        <v>274</v>
      </c>
    </row>
    <row r="2714" spans="1:16" x14ac:dyDescent="0.35">
      <c r="A2714" s="4">
        <v>45778</v>
      </c>
      <c r="B2714" t="s">
        <v>20</v>
      </c>
      <c r="C2714" t="s">
        <v>10</v>
      </c>
      <c r="D2714">
        <v>1</v>
      </c>
      <c r="E2714" s="2">
        <v>3425</v>
      </c>
      <c r="F2714" s="2">
        <f>(3318.13+3311.88+3250+3210.38)/4</f>
        <v>3272.5974999999999</v>
      </c>
      <c r="G2714" s="3">
        <v>1</v>
      </c>
      <c r="H2714" t="s">
        <v>27</v>
      </c>
      <c r="I2714" t="s">
        <v>27</v>
      </c>
      <c r="J2714">
        <v>5582</v>
      </c>
      <c r="K2714">
        <v>15000</v>
      </c>
      <c r="L2714" s="2">
        <v>27.324375</v>
      </c>
      <c r="M2714" s="5">
        <v>191.71699999999996</v>
      </c>
      <c r="N2714" s="1">
        <v>299.41419999999999</v>
      </c>
      <c r="O2714" s="2">
        <v>-0.7</v>
      </c>
      <c r="P2714">
        <v>274</v>
      </c>
    </row>
    <row r="2715" spans="1:16" x14ac:dyDescent="0.35">
      <c r="A2715" s="4">
        <v>45778</v>
      </c>
      <c r="B2715" t="s">
        <v>20</v>
      </c>
      <c r="C2715" t="s">
        <v>11</v>
      </c>
      <c r="D2715">
        <v>1</v>
      </c>
      <c r="E2715" s="2">
        <v>3200</v>
      </c>
      <c r="F2715" s="2">
        <f t="shared" ref="F2715:F2719" si="440">(3318.13+3311.88+3250+3210.38)/4</f>
        <v>3272.5974999999999</v>
      </c>
      <c r="G2715" s="3">
        <v>1</v>
      </c>
      <c r="H2715" t="s">
        <v>27</v>
      </c>
      <c r="I2715" t="s">
        <v>27</v>
      </c>
      <c r="J2715">
        <v>5582</v>
      </c>
      <c r="K2715">
        <v>15000</v>
      </c>
      <c r="L2715" s="2">
        <v>27.324375</v>
      </c>
      <c r="M2715" s="5">
        <v>191.71699999999996</v>
      </c>
      <c r="N2715" s="1">
        <v>299.41419999999999</v>
      </c>
      <c r="O2715" s="2">
        <v>-0.7</v>
      </c>
      <c r="P2715">
        <v>274</v>
      </c>
    </row>
    <row r="2716" spans="1:16" x14ac:dyDescent="0.35">
      <c r="A2716" s="4">
        <v>45778</v>
      </c>
      <c r="B2716" t="s">
        <v>20</v>
      </c>
      <c r="C2716" t="s">
        <v>12</v>
      </c>
      <c r="D2716">
        <v>1</v>
      </c>
      <c r="E2716" s="2">
        <v>2495</v>
      </c>
      <c r="F2716" s="2">
        <f t="shared" si="440"/>
        <v>3272.5974999999999</v>
      </c>
      <c r="G2716" s="3">
        <v>1</v>
      </c>
      <c r="H2716" t="s">
        <v>27</v>
      </c>
      <c r="I2716" t="s">
        <v>27</v>
      </c>
      <c r="J2716">
        <v>5582</v>
      </c>
      <c r="K2716">
        <v>15000</v>
      </c>
      <c r="L2716" s="2">
        <v>27.324375</v>
      </c>
      <c r="M2716" s="5">
        <v>191.71699999999996</v>
      </c>
      <c r="N2716" s="1">
        <v>299.41419999999999</v>
      </c>
      <c r="O2716" s="2">
        <v>-0.7</v>
      </c>
      <c r="P2716">
        <v>274</v>
      </c>
    </row>
    <row r="2717" spans="1:16" x14ac:dyDescent="0.35">
      <c r="A2717" s="4">
        <v>45778</v>
      </c>
      <c r="B2717" t="s">
        <v>20</v>
      </c>
      <c r="C2717" t="s">
        <v>13</v>
      </c>
      <c r="D2717">
        <v>1</v>
      </c>
      <c r="E2717" s="2">
        <f>(3550+3475+3575+3600)/4</f>
        <v>3550</v>
      </c>
      <c r="F2717" s="2">
        <f t="shared" si="440"/>
        <v>3272.5974999999999</v>
      </c>
      <c r="G2717" s="3">
        <v>1</v>
      </c>
      <c r="H2717" t="s">
        <v>27</v>
      </c>
      <c r="I2717" t="s">
        <v>27</v>
      </c>
      <c r="J2717">
        <v>5582</v>
      </c>
      <c r="K2717">
        <v>15000</v>
      </c>
      <c r="L2717" s="2">
        <v>27.324375</v>
      </c>
      <c r="M2717" s="5">
        <v>191.71699999999996</v>
      </c>
      <c r="N2717" s="1">
        <v>299.41419999999999</v>
      </c>
      <c r="O2717" s="2">
        <v>-0.7</v>
      </c>
      <c r="P2717">
        <v>274</v>
      </c>
    </row>
    <row r="2718" spans="1:16" x14ac:dyDescent="0.35">
      <c r="A2718" s="4">
        <v>45778</v>
      </c>
      <c r="B2718" t="s">
        <v>20</v>
      </c>
      <c r="C2718" t="s">
        <v>14</v>
      </c>
      <c r="D2718">
        <v>1</v>
      </c>
      <c r="E2718" s="2">
        <f>(3500*2+3338+3430)/4</f>
        <v>3442</v>
      </c>
      <c r="F2718" s="2">
        <f t="shared" si="440"/>
        <v>3272.5974999999999</v>
      </c>
      <c r="G2718" s="3">
        <v>1</v>
      </c>
      <c r="H2718" t="s">
        <v>27</v>
      </c>
      <c r="I2718" t="s">
        <v>27</v>
      </c>
      <c r="J2718">
        <v>5582</v>
      </c>
      <c r="K2718">
        <v>15000</v>
      </c>
      <c r="L2718" s="2">
        <v>27.324375</v>
      </c>
      <c r="M2718" s="5">
        <v>191.71699999999996</v>
      </c>
      <c r="N2718" s="1">
        <v>299.41419999999999</v>
      </c>
      <c r="O2718" s="2">
        <v>-0.7</v>
      </c>
      <c r="P2718">
        <v>274</v>
      </c>
    </row>
    <row r="2719" spans="1:16" x14ac:dyDescent="0.35">
      <c r="A2719" s="4">
        <v>45778</v>
      </c>
      <c r="B2719" t="s">
        <v>20</v>
      </c>
      <c r="C2719" t="s">
        <v>15</v>
      </c>
      <c r="D2719">
        <v>1</v>
      </c>
      <c r="E2719" s="2">
        <f>(3300+3375+3525+3550)/4</f>
        <v>3437.5</v>
      </c>
      <c r="F2719" s="2">
        <f t="shared" si="440"/>
        <v>3272.5974999999999</v>
      </c>
      <c r="G2719" s="3">
        <v>1</v>
      </c>
      <c r="H2719" t="s">
        <v>27</v>
      </c>
      <c r="I2719" t="s">
        <v>27</v>
      </c>
      <c r="J2719">
        <v>5582</v>
      </c>
      <c r="K2719">
        <v>15000</v>
      </c>
      <c r="L2719" s="2">
        <v>27.324375</v>
      </c>
      <c r="M2719" s="5">
        <v>191.71699999999996</v>
      </c>
      <c r="N2719" s="1">
        <v>299.41419999999999</v>
      </c>
      <c r="O2719" s="2">
        <v>-0.7</v>
      </c>
      <c r="P2719">
        <v>274</v>
      </c>
    </row>
    <row r="2720" spans="1:16" x14ac:dyDescent="0.35">
      <c r="A2720" s="4">
        <v>45778</v>
      </c>
      <c r="B2720" t="s">
        <v>21</v>
      </c>
      <c r="C2720" t="s">
        <v>10</v>
      </c>
      <c r="D2720">
        <v>1</v>
      </c>
      <c r="E2720" s="2">
        <v>3300</v>
      </c>
      <c r="F2720" s="2">
        <f>(3174.5*2+3126.63+3045.38)/4</f>
        <v>3130.2525000000005</v>
      </c>
      <c r="G2720" s="3">
        <v>1</v>
      </c>
      <c r="H2720" t="s">
        <v>27</v>
      </c>
      <c r="I2720" t="s">
        <v>27</v>
      </c>
      <c r="J2720">
        <v>5582</v>
      </c>
      <c r="K2720">
        <v>15000</v>
      </c>
      <c r="L2720" s="2">
        <v>27.324375</v>
      </c>
      <c r="M2720" s="5">
        <v>191.71699999999996</v>
      </c>
      <c r="N2720" s="1">
        <v>299.41419999999999</v>
      </c>
      <c r="O2720" s="2">
        <v>-0.7</v>
      </c>
      <c r="P2720">
        <v>274</v>
      </c>
    </row>
    <row r="2721" spans="1:16" x14ac:dyDescent="0.35">
      <c r="A2721" s="4">
        <v>45778</v>
      </c>
      <c r="B2721" t="s">
        <v>21</v>
      </c>
      <c r="C2721" t="s">
        <v>11</v>
      </c>
      <c r="D2721">
        <v>1</v>
      </c>
      <c r="E2721" s="2">
        <v>3000</v>
      </c>
      <c r="F2721" s="2">
        <f t="shared" ref="F2721:F2725" si="441">(3174.5*2+3126.63+3045.38)/4</f>
        <v>3130.2525000000005</v>
      </c>
      <c r="G2721" s="3">
        <v>1</v>
      </c>
      <c r="H2721" t="s">
        <v>27</v>
      </c>
      <c r="I2721" t="s">
        <v>27</v>
      </c>
      <c r="J2721">
        <v>5582</v>
      </c>
      <c r="K2721">
        <v>15000</v>
      </c>
      <c r="L2721" s="2">
        <v>27.324375</v>
      </c>
      <c r="M2721" s="5">
        <v>191.71699999999996</v>
      </c>
      <c r="N2721" s="1">
        <v>299.41419999999999</v>
      </c>
      <c r="O2721" s="2">
        <v>-0.7</v>
      </c>
      <c r="P2721">
        <v>274</v>
      </c>
    </row>
    <row r="2722" spans="1:16" x14ac:dyDescent="0.35">
      <c r="A2722" s="4">
        <v>45778</v>
      </c>
      <c r="B2722" t="s">
        <v>21</v>
      </c>
      <c r="C2722" t="s">
        <v>12</v>
      </c>
      <c r="D2722">
        <v>1</v>
      </c>
      <c r="E2722" s="2">
        <v>2300</v>
      </c>
      <c r="F2722" s="2">
        <f t="shared" si="441"/>
        <v>3130.2525000000005</v>
      </c>
      <c r="G2722" s="3">
        <v>1</v>
      </c>
      <c r="H2722" t="s">
        <v>27</v>
      </c>
      <c r="I2722" t="s">
        <v>27</v>
      </c>
      <c r="J2722">
        <v>5582</v>
      </c>
      <c r="K2722">
        <v>15000</v>
      </c>
      <c r="L2722" s="2">
        <v>27.324375</v>
      </c>
      <c r="M2722" s="5">
        <v>191.71699999999996</v>
      </c>
      <c r="N2722" s="1">
        <v>299.41419999999999</v>
      </c>
      <c r="O2722" s="2">
        <v>-0.7</v>
      </c>
      <c r="P2722">
        <v>274</v>
      </c>
    </row>
    <row r="2723" spans="1:16" x14ac:dyDescent="0.35">
      <c r="A2723" s="4">
        <v>45778</v>
      </c>
      <c r="B2723" t="s">
        <v>21</v>
      </c>
      <c r="C2723" t="s">
        <v>13</v>
      </c>
      <c r="D2723">
        <v>1</v>
      </c>
      <c r="E2723" s="2">
        <f>(3475+3450+3350+3325)/4</f>
        <v>3400</v>
      </c>
      <c r="F2723" s="2">
        <f t="shared" si="441"/>
        <v>3130.2525000000005</v>
      </c>
      <c r="G2723" s="3">
        <v>1</v>
      </c>
      <c r="H2723" t="s">
        <v>27</v>
      </c>
      <c r="I2723" t="s">
        <v>27</v>
      </c>
      <c r="J2723">
        <v>5582</v>
      </c>
      <c r="K2723">
        <v>15000</v>
      </c>
      <c r="L2723" s="2">
        <v>27.324375</v>
      </c>
      <c r="M2723" s="5">
        <v>191.71699999999996</v>
      </c>
      <c r="N2723" s="1">
        <v>299.41419999999999</v>
      </c>
      <c r="O2723" s="2">
        <v>-0.7</v>
      </c>
      <c r="P2723">
        <v>274</v>
      </c>
    </row>
    <row r="2724" spans="1:16" x14ac:dyDescent="0.35">
      <c r="A2724" s="4">
        <v>45778</v>
      </c>
      <c r="B2724" t="s">
        <v>21</v>
      </c>
      <c r="C2724" t="s">
        <v>14</v>
      </c>
      <c r="D2724">
        <v>1</v>
      </c>
      <c r="E2724" s="2">
        <f>(3250+3388+3444+3471)/4</f>
        <v>3388.25</v>
      </c>
      <c r="F2724" s="2">
        <f t="shared" si="441"/>
        <v>3130.2525000000005</v>
      </c>
      <c r="G2724" s="3">
        <v>1</v>
      </c>
      <c r="H2724" t="s">
        <v>27</v>
      </c>
      <c r="I2724" t="s">
        <v>27</v>
      </c>
      <c r="J2724">
        <v>5582</v>
      </c>
      <c r="K2724">
        <v>15000</v>
      </c>
      <c r="L2724" s="2">
        <v>27.324375</v>
      </c>
      <c r="M2724" s="5">
        <v>191.71699999999996</v>
      </c>
      <c r="N2724" s="1">
        <v>299.41419999999999</v>
      </c>
      <c r="O2724" s="2">
        <v>-0.7</v>
      </c>
      <c r="P2724">
        <v>274</v>
      </c>
    </row>
    <row r="2725" spans="1:16" x14ac:dyDescent="0.35">
      <c r="A2725" s="4">
        <v>45778</v>
      </c>
      <c r="B2725" t="s">
        <v>21</v>
      </c>
      <c r="C2725" t="s">
        <v>15</v>
      </c>
      <c r="D2725">
        <v>1</v>
      </c>
      <c r="E2725" s="2">
        <f>(3250+3325+3450+3500)/4</f>
        <v>3381.25</v>
      </c>
      <c r="F2725" s="2">
        <f t="shared" si="441"/>
        <v>3130.2525000000005</v>
      </c>
      <c r="G2725" s="3">
        <v>1</v>
      </c>
      <c r="H2725" t="s">
        <v>27</v>
      </c>
      <c r="I2725" t="s">
        <v>27</v>
      </c>
      <c r="J2725">
        <v>5582</v>
      </c>
      <c r="K2725">
        <v>15000</v>
      </c>
      <c r="L2725" s="2">
        <v>27.324375</v>
      </c>
      <c r="M2725" s="5">
        <v>191.71699999999996</v>
      </c>
      <c r="N2725" s="1">
        <v>299.41419999999999</v>
      </c>
      <c r="O2725" s="2">
        <v>-0.7</v>
      </c>
      <c r="P2725">
        <v>274</v>
      </c>
    </row>
    <row r="2726" spans="1:16" x14ac:dyDescent="0.35">
      <c r="A2726" s="4">
        <v>45778</v>
      </c>
      <c r="B2726" t="s">
        <v>22</v>
      </c>
      <c r="C2726" t="s">
        <v>10</v>
      </c>
      <c r="D2726">
        <v>0</v>
      </c>
      <c r="E2726" s="2" t="s">
        <v>27</v>
      </c>
      <c r="F2726" s="2">
        <f t="shared" ref="F2726:F2729" si="442">(2950+2980+3150*2)/4</f>
        <v>3057.5</v>
      </c>
      <c r="G2726" s="3">
        <v>1</v>
      </c>
      <c r="H2726" t="s">
        <v>27</v>
      </c>
      <c r="I2726" t="s">
        <v>27</v>
      </c>
      <c r="J2726">
        <v>5582</v>
      </c>
      <c r="K2726">
        <v>15000</v>
      </c>
      <c r="L2726" s="2">
        <v>27.324375</v>
      </c>
      <c r="M2726" s="5">
        <v>191.71699999999996</v>
      </c>
      <c r="N2726" s="1">
        <v>299.41419999999999</v>
      </c>
      <c r="O2726" s="2">
        <v>-0.7</v>
      </c>
      <c r="P2726">
        <v>274</v>
      </c>
    </row>
    <row r="2727" spans="1:16" x14ac:dyDescent="0.35">
      <c r="A2727" s="4">
        <v>45778</v>
      </c>
      <c r="B2727" t="s">
        <v>22</v>
      </c>
      <c r="C2727" t="s">
        <v>11</v>
      </c>
      <c r="D2727">
        <v>0</v>
      </c>
      <c r="E2727" s="2" t="s">
        <v>27</v>
      </c>
      <c r="F2727" s="2">
        <f t="shared" si="442"/>
        <v>3057.5</v>
      </c>
      <c r="G2727" s="3">
        <v>1</v>
      </c>
      <c r="H2727" t="s">
        <v>27</v>
      </c>
      <c r="I2727" t="s">
        <v>27</v>
      </c>
      <c r="J2727">
        <v>5582</v>
      </c>
      <c r="K2727">
        <v>15000</v>
      </c>
      <c r="L2727" s="2">
        <v>27.324375</v>
      </c>
      <c r="M2727" s="5">
        <v>191.71699999999996</v>
      </c>
      <c r="N2727" s="1">
        <v>299.41419999999999</v>
      </c>
      <c r="O2727" s="2">
        <v>-0.7</v>
      </c>
      <c r="P2727">
        <v>274</v>
      </c>
    </row>
    <row r="2728" spans="1:16" x14ac:dyDescent="0.35">
      <c r="A2728" s="4">
        <v>45778</v>
      </c>
      <c r="B2728" t="s">
        <v>22</v>
      </c>
      <c r="C2728" t="s">
        <v>12</v>
      </c>
      <c r="D2728">
        <v>0</v>
      </c>
      <c r="E2728" s="2" t="s">
        <v>27</v>
      </c>
      <c r="F2728" s="2">
        <f t="shared" si="442"/>
        <v>3057.5</v>
      </c>
      <c r="G2728" s="3">
        <v>1</v>
      </c>
      <c r="H2728" t="s">
        <v>27</v>
      </c>
      <c r="I2728" t="s">
        <v>27</v>
      </c>
      <c r="J2728">
        <v>5582</v>
      </c>
      <c r="K2728">
        <v>15000</v>
      </c>
      <c r="L2728" s="2">
        <v>27.324375</v>
      </c>
      <c r="M2728" s="5">
        <v>191.71699999999996</v>
      </c>
      <c r="N2728" s="1">
        <v>299.41419999999999</v>
      </c>
      <c r="O2728" s="2">
        <v>-0.7</v>
      </c>
      <c r="P2728">
        <v>274</v>
      </c>
    </row>
    <row r="2729" spans="1:16" x14ac:dyDescent="0.35">
      <c r="A2729" s="4">
        <v>45778</v>
      </c>
      <c r="B2729" t="s">
        <v>22</v>
      </c>
      <c r="C2729" t="s">
        <v>13</v>
      </c>
      <c r="D2729">
        <v>0</v>
      </c>
      <c r="E2729" s="2" t="s">
        <v>27</v>
      </c>
      <c r="F2729" s="2">
        <f t="shared" si="442"/>
        <v>3057.5</v>
      </c>
      <c r="G2729" s="3">
        <v>1</v>
      </c>
      <c r="H2729" t="s">
        <v>27</v>
      </c>
      <c r="I2729" t="s">
        <v>27</v>
      </c>
      <c r="J2729">
        <v>5582</v>
      </c>
      <c r="K2729">
        <v>15000</v>
      </c>
      <c r="L2729" s="2">
        <v>27.324375</v>
      </c>
      <c r="M2729" s="5">
        <v>191.71699999999996</v>
      </c>
      <c r="N2729" s="1">
        <v>299.41419999999999</v>
      </c>
      <c r="O2729" s="2">
        <v>-0.7</v>
      </c>
      <c r="P2729">
        <v>274</v>
      </c>
    </row>
    <row r="2730" spans="1:16" x14ac:dyDescent="0.35">
      <c r="A2730" s="4">
        <v>45778</v>
      </c>
      <c r="B2730" t="s">
        <v>22</v>
      </c>
      <c r="C2730" t="s">
        <v>14</v>
      </c>
      <c r="D2730">
        <v>1</v>
      </c>
      <c r="E2730" s="2">
        <f>(2950+2980+3150*2)/4</f>
        <v>3057.5</v>
      </c>
      <c r="F2730" s="2">
        <f>(2950+2980+3150*2)/4</f>
        <v>3057.5</v>
      </c>
      <c r="G2730" s="3">
        <v>1</v>
      </c>
      <c r="H2730" t="s">
        <v>27</v>
      </c>
      <c r="I2730" t="s">
        <v>27</v>
      </c>
      <c r="J2730">
        <v>5582</v>
      </c>
      <c r="K2730">
        <v>15000</v>
      </c>
      <c r="L2730" s="2">
        <v>27.324375</v>
      </c>
      <c r="M2730" s="5">
        <v>191.71699999999996</v>
      </c>
      <c r="N2730" s="1">
        <v>299.41419999999999</v>
      </c>
      <c r="O2730" s="2">
        <v>-0.7</v>
      </c>
      <c r="P2730">
        <v>274</v>
      </c>
    </row>
    <row r="2731" spans="1:16" x14ac:dyDescent="0.35">
      <c r="A2731" s="4">
        <v>45778</v>
      </c>
      <c r="B2731" t="s">
        <v>22</v>
      </c>
      <c r="C2731" t="s">
        <v>15</v>
      </c>
      <c r="D2731">
        <v>0</v>
      </c>
      <c r="E2731" s="2" t="s">
        <v>27</v>
      </c>
      <c r="F2731" s="2">
        <f>(2950+2980+3150*2)/4</f>
        <v>3057.5</v>
      </c>
      <c r="G2731" s="3">
        <v>1</v>
      </c>
      <c r="H2731" t="s">
        <v>27</v>
      </c>
      <c r="I2731" t="s">
        <v>27</v>
      </c>
      <c r="J2731">
        <v>5582</v>
      </c>
      <c r="K2731">
        <v>15000</v>
      </c>
      <c r="L2731" s="2">
        <v>27.324375</v>
      </c>
      <c r="M2731" s="5">
        <v>191.71699999999996</v>
      </c>
      <c r="N2731" s="1">
        <v>299.41419999999999</v>
      </c>
      <c r="O2731" s="2">
        <v>-0.7</v>
      </c>
      <c r="P2731">
        <v>274</v>
      </c>
    </row>
    <row r="2732" spans="1:16" x14ac:dyDescent="0.35">
      <c r="A2732" s="4">
        <v>45809</v>
      </c>
      <c r="B2732" t="s">
        <v>16</v>
      </c>
      <c r="C2732" t="s">
        <v>10</v>
      </c>
      <c r="D2732">
        <v>1</v>
      </c>
      <c r="E2732" s="2">
        <v>4350</v>
      </c>
      <c r="F2732" s="2">
        <f>(4472.5+4453.75+4435+4553.75)/4</f>
        <v>4478.75</v>
      </c>
      <c r="G2732" s="3">
        <v>1</v>
      </c>
      <c r="H2732" t="s">
        <v>27</v>
      </c>
      <c r="I2732" t="s">
        <v>27</v>
      </c>
      <c r="J2732">
        <v>20560</v>
      </c>
      <c r="K2732">
        <v>15000</v>
      </c>
      <c r="L2732" s="2">
        <v>26.9</v>
      </c>
      <c r="M2732" s="5">
        <v>170.3</v>
      </c>
      <c r="N2732" s="1">
        <v>301.12</v>
      </c>
      <c r="O2732">
        <v>-0.6</v>
      </c>
      <c r="P2732">
        <v>305</v>
      </c>
    </row>
    <row r="2733" spans="1:16" x14ac:dyDescent="0.35">
      <c r="A2733" s="4">
        <v>45809</v>
      </c>
      <c r="B2733" t="s">
        <v>16</v>
      </c>
      <c r="C2733" t="s">
        <v>11</v>
      </c>
      <c r="D2733">
        <v>0</v>
      </c>
      <c r="E2733" s="2" t="s">
        <v>27</v>
      </c>
      <c r="F2733" s="2">
        <f t="shared" ref="F2733:F2737" si="443">(4472.5+4453.75+4435+4553.75)/4</f>
        <v>4478.75</v>
      </c>
      <c r="G2733" s="3">
        <v>1</v>
      </c>
      <c r="H2733" t="s">
        <v>27</v>
      </c>
      <c r="I2733" t="s">
        <v>27</v>
      </c>
      <c r="J2733">
        <v>20560</v>
      </c>
      <c r="K2733">
        <v>15000</v>
      </c>
      <c r="L2733" s="2">
        <v>26.9</v>
      </c>
      <c r="M2733" s="5">
        <v>170.3</v>
      </c>
      <c r="N2733" s="1">
        <v>301.12</v>
      </c>
      <c r="O2733">
        <v>-0.6</v>
      </c>
      <c r="P2733">
        <v>305</v>
      </c>
    </row>
    <row r="2734" spans="1:16" x14ac:dyDescent="0.35">
      <c r="A2734" s="4">
        <v>45809</v>
      </c>
      <c r="B2734" t="s">
        <v>16</v>
      </c>
      <c r="C2734" t="s">
        <v>12</v>
      </c>
      <c r="D2734">
        <v>1</v>
      </c>
      <c r="E2734" s="2">
        <v>4490</v>
      </c>
      <c r="F2734" s="2">
        <f t="shared" si="443"/>
        <v>4478.75</v>
      </c>
      <c r="G2734" s="3">
        <v>1</v>
      </c>
      <c r="H2734" t="s">
        <v>27</v>
      </c>
      <c r="I2734" t="s">
        <v>27</v>
      </c>
      <c r="J2734">
        <v>20560</v>
      </c>
      <c r="K2734">
        <v>15000</v>
      </c>
      <c r="L2734" s="2">
        <v>26.9</v>
      </c>
      <c r="M2734" s="5">
        <v>170.3</v>
      </c>
      <c r="N2734" s="1">
        <v>301.12</v>
      </c>
      <c r="O2734">
        <v>-0.6</v>
      </c>
      <c r="P2734">
        <v>305</v>
      </c>
    </row>
    <row r="2735" spans="1:16" x14ac:dyDescent="0.35">
      <c r="A2735" s="4">
        <v>45809</v>
      </c>
      <c r="B2735" t="s">
        <v>16</v>
      </c>
      <c r="C2735" t="s">
        <v>13</v>
      </c>
      <c r="D2735">
        <v>1</v>
      </c>
      <c r="E2735" s="2">
        <f>(4600*2+4700+4550)/4</f>
        <v>4612.5</v>
      </c>
      <c r="F2735" s="2">
        <f t="shared" si="443"/>
        <v>4478.75</v>
      </c>
      <c r="G2735" s="3">
        <v>1</v>
      </c>
      <c r="H2735" t="s">
        <v>27</v>
      </c>
      <c r="I2735" t="s">
        <v>27</v>
      </c>
      <c r="J2735">
        <v>20560</v>
      </c>
      <c r="K2735">
        <v>15000</v>
      </c>
      <c r="L2735" s="2">
        <v>26.9</v>
      </c>
      <c r="M2735" s="5">
        <v>170.3</v>
      </c>
      <c r="N2735" s="1">
        <v>301.12</v>
      </c>
      <c r="O2735">
        <v>-0.6</v>
      </c>
      <c r="P2735">
        <v>305</v>
      </c>
    </row>
    <row r="2736" spans="1:16" x14ac:dyDescent="0.35">
      <c r="A2736" s="4">
        <v>45809</v>
      </c>
      <c r="B2736" t="s">
        <v>16</v>
      </c>
      <c r="C2736" t="s">
        <v>14</v>
      </c>
      <c r="D2736">
        <v>1</v>
      </c>
      <c r="E2736" s="2">
        <f>(4525+4350+4475+4500)/4</f>
        <v>4462.5</v>
      </c>
      <c r="F2736" s="2">
        <f t="shared" si="443"/>
        <v>4478.75</v>
      </c>
      <c r="G2736" s="3">
        <v>1</v>
      </c>
      <c r="H2736" t="s">
        <v>27</v>
      </c>
      <c r="I2736" t="s">
        <v>27</v>
      </c>
      <c r="J2736">
        <v>20560</v>
      </c>
      <c r="K2736">
        <v>15000</v>
      </c>
      <c r="L2736" s="2">
        <v>26.9</v>
      </c>
      <c r="M2736" s="5">
        <v>170.3</v>
      </c>
      <c r="N2736" s="1">
        <v>301.12</v>
      </c>
      <c r="O2736">
        <v>-0.6</v>
      </c>
      <c r="P2736">
        <v>305</v>
      </c>
    </row>
    <row r="2737" spans="1:16" x14ac:dyDescent="0.35">
      <c r="A2737" s="4">
        <v>45809</v>
      </c>
      <c r="B2737" t="s">
        <v>16</v>
      </c>
      <c r="C2737" t="s">
        <v>15</v>
      </c>
      <c r="D2737">
        <v>0</v>
      </c>
      <c r="E2737" s="2" t="s">
        <v>27</v>
      </c>
      <c r="F2737" s="2">
        <f t="shared" si="443"/>
        <v>4478.75</v>
      </c>
      <c r="G2737" s="3">
        <v>1</v>
      </c>
      <c r="H2737" t="s">
        <v>27</v>
      </c>
      <c r="I2737" t="s">
        <v>27</v>
      </c>
      <c r="J2737">
        <v>20560</v>
      </c>
      <c r="K2737">
        <v>15000</v>
      </c>
      <c r="L2737" s="2">
        <v>26.9</v>
      </c>
      <c r="M2737" s="5">
        <v>170.3</v>
      </c>
      <c r="N2737" s="1">
        <v>301.12</v>
      </c>
      <c r="O2737">
        <v>-0.6</v>
      </c>
      <c r="P2737">
        <v>305</v>
      </c>
    </row>
    <row r="2738" spans="1:16" x14ac:dyDescent="0.35">
      <c r="A2738" s="4">
        <v>45809</v>
      </c>
      <c r="B2738" t="s">
        <v>17</v>
      </c>
      <c r="C2738" t="s">
        <v>10</v>
      </c>
      <c r="D2738">
        <v>1</v>
      </c>
      <c r="E2738" s="2">
        <v>3800</v>
      </c>
      <c r="F2738" s="2">
        <f>(4070.6+3989+3994+3995.6)/4</f>
        <v>4012.3</v>
      </c>
      <c r="G2738" s="3">
        <v>1</v>
      </c>
      <c r="H2738" t="s">
        <v>27</v>
      </c>
      <c r="I2738" t="s">
        <v>27</v>
      </c>
      <c r="J2738">
        <v>20560</v>
      </c>
      <c r="K2738">
        <v>15000</v>
      </c>
      <c r="L2738" s="2">
        <v>26.9</v>
      </c>
      <c r="M2738" s="5">
        <v>170.3</v>
      </c>
      <c r="N2738" s="1">
        <v>301.12</v>
      </c>
      <c r="O2738">
        <v>-0.6</v>
      </c>
      <c r="P2738">
        <v>305</v>
      </c>
    </row>
    <row r="2739" spans="1:16" x14ac:dyDescent="0.35">
      <c r="A2739" s="4">
        <v>45809</v>
      </c>
      <c r="B2739" t="s">
        <v>17</v>
      </c>
      <c r="C2739" t="s">
        <v>11</v>
      </c>
      <c r="D2739">
        <v>1</v>
      </c>
      <c r="E2739" s="2">
        <v>4025</v>
      </c>
      <c r="F2739" s="2">
        <f t="shared" ref="F2739:F2743" si="444">(4070.6+3989+3994+3995.6)/4</f>
        <v>4012.3</v>
      </c>
      <c r="G2739" s="3">
        <v>1</v>
      </c>
      <c r="H2739" t="s">
        <v>27</v>
      </c>
      <c r="I2739" t="s">
        <v>27</v>
      </c>
      <c r="J2739">
        <v>20560</v>
      </c>
      <c r="K2739">
        <v>15000</v>
      </c>
      <c r="L2739" s="2">
        <v>26.9</v>
      </c>
      <c r="M2739" s="5">
        <v>170.3</v>
      </c>
      <c r="N2739" s="1">
        <v>301.12</v>
      </c>
      <c r="O2739">
        <v>-0.6</v>
      </c>
      <c r="P2739">
        <v>305</v>
      </c>
    </row>
    <row r="2740" spans="1:16" x14ac:dyDescent="0.35">
      <c r="A2740" s="4">
        <v>45809</v>
      </c>
      <c r="B2740" t="s">
        <v>17</v>
      </c>
      <c r="C2740" t="s">
        <v>12</v>
      </c>
      <c r="D2740">
        <v>1</v>
      </c>
      <c r="E2740" s="2">
        <v>4070</v>
      </c>
      <c r="F2740" s="2">
        <f t="shared" si="444"/>
        <v>4012.3</v>
      </c>
      <c r="G2740" s="3">
        <v>1</v>
      </c>
      <c r="H2740" t="s">
        <v>27</v>
      </c>
      <c r="I2740" t="s">
        <v>27</v>
      </c>
      <c r="J2740">
        <v>20560</v>
      </c>
      <c r="K2740">
        <v>15000</v>
      </c>
      <c r="L2740" s="2">
        <v>26.9</v>
      </c>
      <c r="M2740" s="5">
        <v>170.3</v>
      </c>
      <c r="N2740" s="1">
        <v>301.12</v>
      </c>
      <c r="O2740">
        <v>-0.6</v>
      </c>
      <c r="P2740">
        <v>305</v>
      </c>
    </row>
    <row r="2741" spans="1:16" x14ac:dyDescent="0.35">
      <c r="A2741" s="4">
        <v>45809</v>
      </c>
      <c r="B2741" t="s">
        <v>17</v>
      </c>
      <c r="C2741" t="s">
        <v>13</v>
      </c>
      <c r="D2741">
        <v>1</v>
      </c>
      <c r="E2741" s="2">
        <f>(4250+4175+4100+4125)/4</f>
        <v>4162.5</v>
      </c>
      <c r="F2741" s="2">
        <f t="shared" si="444"/>
        <v>4012.3</v>
      </c>
      <c r="G2741" s="3">
        <v>1</v>
      </c>
      <c r="H2741" t="s">
        <v>27</v>
      </c>
      <c r="I2741" t="s">
        <v>27</v>
      </c>
      <c r="J2741">
        <v>20560</v>
      </c>
      <c r="K2741">
        <v>15000</v>
      </c>
      <c r="L2741" s="2">
        <v>26.9</v>
      </c>
      <c r="M2741" s="5">
        <v>170.3</v>
      </c>
      <c r="N2741" s="1">
        <v>301.12</v>
      </c>
      <c r="O2741">
        <v>-0.6</v>
      </c>
      <c r="P2741">
        <v>305</v>
      </c>
    </row>
    <row r="2742" spans="1:16" x14ac:dyDescent="0.35">
      <c r="A2742" s="4">
        <v>45809</v>
      </c>
      <c r="B2742" t="s">
        <v>17</v>
      </c>
      <c r="C2742" t="s">
        <v>14</v>
      </c>
      <c r="D2742">
        <v>1</v>
      </c>
      <c r="E2742" s="2">
        <f>(3983+4000+3950+4083)/4</f>
        <v>4004</v>
      </c>
      <c r="F2742" s="2">
        <f t="shared" si="444"/>
        <v>4012.3</v>
      </c>
      <c r="G2742" s="3">
        <v>1</v>
      </c>
      <c r="H2742" t="s">
        <v>27</v>
      </c>
      <c r="I2742" t="s">
        <v>27</v>
      </c>
      <c r="J2742">
        <v>20560</v>
      </c>
      <c r="K2742">
        <v>15000</v>
      </c>
      <c r="L2742" s="2">
        <v>26.9</v>
      </c>
      <c r="M2742" s="5">
        <v>170.3</v>
      </c>
      <c r="N2742" s="1">
        <v>301.12</v>
      </c>
      <c r="O2742">
        <v>-0.6</v>
      </c>
      <c r="P2742">
        <v>305</v>
      </c>
    </row>
    <row r="2743" spans="1:16" x14ac:dyDescent="0.35">
      <c r="A2743" s="4">
        <v>45809</v>
      </c>
      <c r="B2743" t="s">
        <v>17</v>
      </c>
      <c r="C2743" t="s">
        <v>15</v>
      </c>
      <c r="D2743">
        <v>0</v>
      </c>
      <c r="E2743" s="2" t="s">
        <v>27</v>
      </c>
      <c r="F2743" s="2">
        <f t="shared" si="444"/>
        <v>4012.3</v>
      </c>
      <c r="G2743" s="3">
        <v>1</v>
      </c>
      <c r="H2743" t="s">
        <v>27</v>
      </c>
      <c r="I2743" t="s">
        <v>27</v>
      </c>
      <c r="J2743">
        <v>20560</v>
      </c>
      <c r="K2743">
        <v>15000</v>
      </c>
      <c r="L2743" s="2">
        <v>26.9</v>
      </c>
      <c r="M2743" s="5">
        <v>170.3</v>
      </c>
      <c r="N2743" s="1">
        <v>301.12</v>
      </c>
      <c r="O2743">
        <v>-0.6</v>
      </c>
      <c r="P2743">
        <v>305</v>
      </c>
    </row>
    <row r="2744" spans="1:16" x14ac:dyDescent="0.35">
      <c r="A2744" s="4">
        <v>45809</v>
      </c>
      <c r="B2744" t="s">
        <v>18</v>
      </c>
      <c r="C2744" t="s">
        <v>10</v>
      </c>
      <c r="D2744">
        <v>1</v>
      </c>
      <c r="E2744" s="2">
        <v>3650</v>
      </c>
      <c r="F2744" s="2">
        <f>(3748.38+3766+3762.88+3789)/4</f>
        <v>3766.5650000000001</v>
      </c>
      <c r="G2744" s="3">
        <v>1</v>
      </c>
      <c r="H2744" t="s">
        <v>27</v>
      </c>
      <c r="I2744" t="s">
        <v>27</v>
      </c>
      <c r="J2744">
        <v>20560</v>
      </c>
      <c r="K2744">
        <v>15000</v>
      </c>
      <c r="L2744" s="2">
        <v>26.9</v>
      </c>
      <c r="M2744" s="5">
        <v>170.3</v>
      </c>
      <c r="N2744" s="1">
        <v>301.12</v>
      </c>
      <c r="O2744">
        <v>-0.6</v>
      </c>
      <c r="P2744">
        <v>305</v>
      </c>
    </row>
    <row r="2745" spans="1:16" x14ac:dyDescent="0.35">
      <c r="A2745" s="4">
        <v>45809</v>
      </c>
      <c r="B2745" t="s">
        <v>18</v>
      </c>
      <c r="C2745" t="s">
        <v>11</v>
      </c>
      <c r="D2745">
        <v>1</v>
      </c>
      <c r="E2745" s="2">
        <f>(3750+3800+3900+4000)/4</f>
        <v>3862.5</v>
      </c>
      <c r="F2745" s="2">
        <f t="shared" ref="F2745:F2749" si="445">(3748.38+3766+3762.88+3789)/4</f>
        <v>3766.5650000000001</v>
      </c>
      <c r="G2745" s="3">
        <v>1</v>
      </c>
      <c r="H2745" t="s">
        <v>27</v>
      </c>
      <c r="I2745" t="s">
        <v>27</v>
      </c>
      <c r="J2745">
        <v>20560</v>
      </c>
      <c r="K2745">
        <v>15000</v>
      </c>
      <c r="L2745" s="2">
        <v>26.9</v>
      </c>
      <c r="M2745" s="5">
        <v>170.3</v>
      </c>
      <c r="N2745" s="1">
        <v>301.12</v>
      </c>
      <c r="O2745">
        <v>-0.6</v>
      </c>
      <c r="P2745">
        <v>305</v>
      </c>
    </row>
    <row r="2746" spans="1:16" x14ac:dyDescent="0.35">
      <c r="A2746" s="4">
        <v>45809</v>
      </c>
      <c r="B2746" t="s">
        <v>18</v>
      </c>
      <c r="C2746" t="s">
        <v>12</v>
      </c>
      <c r="D2746">
        <v>1</v>
      </c>
      <c r="E2746" s="2">
        <v>3695</v>
      </c>
      <c r="F2746" s="2">
        <f t="shared" si="445"/>
        <v>3766.5650000000001</v>
      </c>
      <c r="G2746" s="3">
        <v>1</v>
      </c>
      <c r="H2746" t="s">
        <v>27</v>
      </c>
      <c r="I2746" t="s">
        <v>27</v>
      </c>
      <c r="J2746">
        <v>20560</v>
      </c>
      <c r="K2746">
        <v>15000</v>
      </c>
      <c r="L2746" s="2">
        <v>26.9</v>
      </c>
      <c r="M2746" s="5">
        <v>170.3</v>
      </c>
      <c r="N2746" s="1">
        <v>301.12</v>
      </c>
      <c r="O2746">
        <v>-0.6</v>
      </c>
      <c r="P2746">
        <v>305</v>
      </c>
    </row>
    <row r="2747" spans="1:16" x14ac:dyDescent="0.35">
      <c r="A2747" s="4">
        <v>45809</v>
      </c>
      <c r="B2747" t="s">
        <v>18</v>
      </c>
      <c r="C2747" t="s">
        <v>13</v>
      </c>
      <c r="D2747">
        <v>1</v>
      </c>
      <c r="E2747" s="2">
        <f>(3875+3900+3950*2)/4</f>
        <v>3918.75</v>
      </c>
      <c r="F2747" s="2">
        <f t="shared" si="445"/>
        <v>3766.5650000000001</v>
      </c>
      <c r="G2747" s="3">
        <v>1</v>
      </c>
      <c r="H2747" t="s">
        <v>27</v>
      </c>
      <c r="I2747" t="s">
        <v>27</v>
      </c>
      <c r="J2747">
        <v>20560</v>
      </c>
      <c r="K2747">
        <v>15000</v>
      </c>
      <c r="L2747" s="2">
        <v>26.9</v>
      </c>
      <c r="M2747" s="5">
        <v>170.3</v>
      </c>
      <c r="N2747" s="1">
        <v>301.12</v>
      </c>
      <c r="O2747">
        <v>-0.6</v>
      </c>
      <c r="P2747">
        <v>305</v>
      </c>
    </row>
    <row r="2748" spans="1:16" x14ac:dyDescent="0.35">
      <c r="A2748" s="4">
        <v>45809</v>
      </c>
      <c r="B2748" t="s">
        <v>18</v>
      </c>
      <c r="C2748" t="s">
        <v>14</v>
      </c>
      <c r="D2748">
        <v>1</v>
      </c>
      <c r="E2748" s="2">
        <f>(3767+3833+3783+3817)/4</f>
        <v>3800</v>
      </c>
      <c r="F2748" s="2">
        <f t="shared" si="445"/>
        <v>3766.5650000000001</v>
      </c>
      <c r="G2748" s="3">
        <v>1</v>
      </c>
      <c r="H2748" t="s">
        <v>27</v>
      </c>
      <c r="I2748" t="s">
        <v>27</v>
      </c>
      <c r="J2748">
        <v>20560</v>
      </c>
      <c r="K2748">
        <v>15000</v>
      </c>
      <c r="L2748" s="2">
        <v>26.9</v>
      </c>
      <c r="M2748" s="5">
        <v>170.3</v>
      </c>
      <c r="N2748" s="1">
        <v>301.12</v>
      </c>
      <c r="O2748">
        <v>-0.6</v>
      </c>
      <c r="P2748">
        <v>305</v>
      </c>
    </row>
    <row r="2749" spans="1:16" x14ac:dyDescent="0.35">
      <c r="A2749" s="4">
        <v>45809</v>
      </c>
      <c r="B2749" t="s">
        <v>18</v>
      </c>
      <c r="C2749" t="s">
        <v>15</v>
      </c>
      <c r="D2749">
        <v>1</v>
      </c>
      <c r="E2749" s="2">
        <v>3800</v>
      </c>
      <c r="F2749" s="2">
        <f t="shared" si="445"/>
        <v>3766.5650000000001</v>
      </c>
      <c r="G2749" s="3">
        <v>1</v>
      </c>
      <c r="H2749" t="s">
        <v>27</v>
      </c>
      <c r="I2749" t="s">
        <v>27</v>
      </c>
      <c r="J2749">
        <v>20560</v>
      </c>
      <c r="K2749">
        <v>15000</v>
      </c>
      <c r="L2749" s="2">
        <v>26.9</v>
      </c>
      <c r="M2749" s="5">
        <v>170.3</v>
      </c>
      <c r="N2749" s="1">
        <v>301.12</v>
      </c>
      <c r="O2749">
        <v>-0.6</v>
      </c>
      <c r="P2749">
        <v>305</v>
      </c>
    </row>
    <row r="2750" spans="1:16" x14ac:dyDescent="0.35">
      <c r="A2750" s="4">
        <v>45809</v>
      </c>
      <c r="B2750" t="s">
        <v>19</v>
      </c>
      <c r="C2750" t="s">
        <v>10</v>
      </c>
      <c r="D2750">
        <v>1</v>
      </c>
      <c r="E2750" s="2">
        <v>3500</v>
      </c>
      <c r="F2750" s="2">
        <f>(3604.44+3586.89+3613.56+3628.78)/4</f>
        <v>3608.4175</v>
      </c>
      <c r="G2750" s="3">
        <v>1</v>
      </c>
      <c r="H2750" t="s">
        <v>27</v>
      </c>
      <c r="I2750" t="s">
        <v>27</v>
      </c>
      <c r="J2750">
        <v>20560</v>
      </c>
      <c r="K2750">
        <v>15000</v>
      </c>
      <c r="L2750" s="2">
        <v>26.9</v>
      </c>
      <c r="M2750" s="5">
        <v>170.3</v>
      </c>
      <c r="N2750" s="1">
        <v>301.12</v>
      </c>
      <c r="O2750">
        <v>-0.6</v>
      </c>
      <c r="P2750">
        <v>305</v>
      </c>
    </row>
    <row r="2751" spans="1:16" x14ac:dyDescent="0.35">
      <c r="A2751" s="4">
        <v>45809</v>
      </c>
      <c r="B2751" t="s">
        <v>19</v>
      </c>
      <c r="C2751" t="s">
        <v>11</v>
      </c>
      <c r="D2751">
        <v>1</v>
      </c>
      <c r="E2751" s="2">
        <f>(3650+3600+3800+3700)/4</f>
        <v>3687.5</v>
      </c>
      <c r="F2751" s="2">
        <f t="shared" ref="F2751:F2755" si="446">(3604.44+3586.89+3613.56+3628.78)/4</f>
        <v>3608.4175</v>
      </c>
      <c r="G2751" s="3">
        <v>1</v>
      </c>
      <c r="H2751" t="s">
        <v>27</v>
      </c>
      <c r="I2751" t="s">
        <v>27</v>
      </c>
      <c r="J2751">
        <v>20560</v>
      </c>
      <c r="K2751">
        <v>15000</v>
      </c>
      <c r="L2751" s="2">
        <v>26.9</v>
      </c>
      <c r="M2751" s="5">
        <v>170.3</v>
      </c>
      <c r="N2751" s="1">
        <v>301.12</v>
      </c>
      <c r="O2751">
        <v>-0.6</v>
      </c>
      <c r="P2751">
        <v>305</v>
      </c>
    </row>
    <row r="2752" spans="1:16" x14ac:dyDescent="0.35">
      <c r="A2752" s="4">
        <v>45809</v>
      </c>
      <c r="B2752" t="s">
        <v>19</v>
      </c>
      <c r="C2752" t="s">
        <v>12</v>
      </c>
      <c r="D2752">
        <v>1</v>
      </c>
      <c r="E2752" s="2">
        <v>3490</v>
      </c>
      <c r="F2752" s="2">
        <f t="shared" si="446"/>
        <v>3608.4175</v>
      </c>
      <c r="G2752" s="3">
        <v>1</v>
      </c>
      <c r="H2752" t="s">
        <v>27</v>
      </c>
      <c r="I2752" t="s">
        <v>27</v>
      </c>
      <c r="J2752">
        <v>20560</v>
      </c>
      <c r="K2752">
        <v>15000</v>
      </c>
      <c r="L2752" s="2">
        <v>26.9</v>
      </c>
      <c r="M2752" s="5">
        <v>170.3</v>
      </c>
      <c r="N2752" s="1">
        <v>301.12</v>
      </c>
      <c r="O2752">
        <v>-0.6</v>
      </c>
      <c r="P2752">
        <v>305</v>
      </c>
    </row>
    <row r="2753" spans="1:16" x14ac:dyDescent="0.35">
      <c r="A2753" s="4">
        <v>45809</v>
      </c>
      <c r="B2753" t="s">
        <v>19</v>
      </c>
      <c r="C2753" t="s">
        <v>13</v>
      </c>
      <c r="D2753">
        <v>1</v>
      </c>
      <c r="E2753" s="2">
        <f>(3700+3750*2+3775)/4</f>
        <v>3743.75</v>
      </c>
      <c r="F2753" s="2">
        <f t="shared" si="446"/>
        <v>3608.4175</v>
      </c>
      <c r="G2753" s="3">
        <v>1</v>
      </c>
      <c r="H2753" t="s">
        <v>27</v>
      </c>
      <c r="I2753" t="s">
        <v>27</v>
      </c>
      <c r="J2753">
        <v>20560</v>
      </c>
      <c r="K2753">
        <v>15000</v>
      </c>
      <c r="L2753" s="2">
        <v>26.9</v>
      </c>
      <c r="M2753" s="5">
        <v>170.3</v>
      </c>
      <c r="N2753" s="1">
        <v>301.12</v>
      </c>
      <c r="O2753">
        <v>-0.6</v>
      </c>
      <c r="P2753">
        <v>305</v>
      </c>
    </row>
    <row r="2754" spans="1:16" x14ac:dyDescent="0.35">
      <c r="A2754" s="4">
        <v>45809</v>
      </c>
      <c r="B2754" t="s">
        <v>19</v>
      </c>
      <c r="C2754" t="s">
        <v>14</v>
      </c>
      <c r="D2754">
        <v>1</v>
      </c>
      <c r="E2754" s="2">
        <f>(3650+3667+3657+3744)/4</f>
        <v>3679.5</v>
      </c>
      <c r="F2754" s="2">
        <f t="shared" si="446"/>
        <v>3608.4175</v>
      </c>
      <c r="G2754" s="3">
        <v>1</v>
      </c>
      <c r="H2754" t="s">
        <v>27</v>
      </c>
      <c r="I2754" t="s">
        <v>27</v>
      </c>
      <c r="J2754">
        <v>20560</v>
      </c>
      <c r="K2754">
        <v>15000</v>
      </c>
      <c r="L2754" s="2">
        <v>26.9</v>
      </c>
      <c r="M2754" s="5">
        <v>170.3</v>
      </c>
      <c r="N2754" s="1">
        <v>301.12</v>
      </c>
      <c r="O2754">
        <v>-0.6</v>
      </c>
      <c r="P2754">
        <v>305</v>
      </c>
    </row>
    <row r="2755" spans="1:16" x14ac:dyDescent="0.35">
      <c r="A2755" s="4">
        <v>45809</v>
      </c>
      <c r="B2755" t="s">
        <v>19</v>
      </c>
      <c r="C2755" t="s">
        <v>15</v>
      </c>
      <c r="D2755">
        <v>1</v>
      </c>
      <c r="E2755" s="2">
        <f>(3675+3625*3)/4</f>
        <v>3637.5</v>
      </c>
      <c r="F2755" s="2">
        <f t="shared" si="446"/>
        <v>3608.4175</v>
      </c>
      <c r="G2755" s="3">
        <v>1</v>
      </c>
      <c r="H2755" t="s">
        <v>27</v>
      </c>
      <c r="I2755" t="s">
        <v>27</v>
      </c>
      <c r="J2755">
        <v>20560</v>
      </c>
      <c r="K2755">
        <v>15000</v>
      </c>
      <c r="L2755" s="2">
        <v>26.9</v>
      </c>
      <c r="M2755" s="5">
        <v>170.3</v>
      </c>
      <c r="N2755" s="1">
        <v>301.12</v>
      </c>
      <c r="O2755">
        <v>-0.6</v>
      </c>
      <c r="P2755">
        <v>305</v>
      </c>
    </row>
    <row r="2756" spans="1:16" x14ac:dyDescent="0.35">
      <c r="A2756" s="4">
        <v>45809</v>
      </c>
      <c r="B2756" t="s">
        <v>20</v>
      </c>
      <c r="C2756" t="s">
        <v>10</v>
      </c>
      <c r="D2756">
        <v>1</v>
      </c>
      <c r="E2756" s="2">
        <f>(3400+3250*3)/4</f>
        <v>3287.5</v>
      </c>
      <c r="F2756" s="2">
        <f>(3159.38+3144.38+3157.25+3235.38)/4</f>
        <v>3174.0974999999999</v>
      </c>
      <c r="G2756" s="3">
        <v>1</v>
      </c>
      <c r="H2756" t="s">
        <v>27</v>
      </c>
      <c r="I2756" t="s">
        <v>27</v>
      </c>
      <c r="J2756">
        <v>20560</v>
      </c>
      <c r="K2756">
        <v>15000</v>
      </c>
      <c r="L2756" s="2">
        <v>26.9</v>
      </c>
      <c r="M2756" s="5">
        <v>170.3</v>
      </c>
      <c r="N2756" s="1">
        <v>301.12</v>
      </c>
      <c r="O2756">
        <v>-0.6</v>
      </c>
      <c r="P2756">
        <v>305</v>
      </c>
    </row>
    <row r="2757" spans="1:16" x14ac:dyDescent="0.35">
      <c r="A2757" s="4">
        <v>45809</v>
      </c>
      <c r="B2757" t="s">
        <v>20</v>
      </c>
      <c r="C2757" t="s">
        <v>11</v>
      </c>
      <c r="D2757">
        <v>1</v>
      </c>
      <c r="E2757" s="2">
        <v>3125</v>
      </c>
      <c r="F2757" s="2">
        <f t="shared" ref="F2757:F2761" si="447">(3159.38+3144.38+3157.25+3235.38)/4</f>
        <v>3174.0974999999999</v>
      </c>
      <c r="G2757" s="3">
        <v>1</v>
      </c>
      <c r="H2757" t="s">
        <v>27</v>
      </c>
      <c r="I2757" t="s">
        <v>27</v>
      </c>
      <c r="J2757">
        <v>20560</v>
      </c>
      <c r="K2757">
        <v>15000</v>
      </c>
      <c r="L2757" s="2">
        <v>26.9</v>
      </c>
      <c r="M2757" s="5">
        <v>170.3</v>
      </c>
      <c r="N2757" s="1">
        <v>301.12</v>
      </c>
      <c r="O2757">
        <v>-0.6</v>
      </c>
      <c r="P2757">
        <v>305</v>
      </c>
    </row>
    <row r="2758" spans="1:16" x14ac:dyDescent="0.35">
      <c r="A2758" s="4">
        <v>45809</v>
      </c>
      <c r="B2758" t="s">
        <v>20</v>
      </c>
      <c r="C2758" t="s">
        <v>12</v>
      </c>
      <c r="D2758">
        <v>1</v>
      </c>
      <c r="E2758" s="2">
        <f>(2495*2+2670+2765)/4</f>
        <v>2606.25</v>
      </c>
      <c r="F2758" s="2">
        <f t="shared" si="447"/>
        <v>3174.0974999999999</v>
      </c>
      <c r="G2758" s="3">
        <v>1</v>
      </c>
      <c r="H2758" t="s">
        <v>27</v>
      </c>
      <c r="I2758" t="s">
        <v>27</v>
      </c>
      <c r="J2758">
        <v>20560</v>
      </c>
      <c r="K2758">
        <v>15000</v>
      </c>
      <c r="L2758" s="2">
        <v>26.9</v>
      </c>
      <c r="M2758" s="5">
        <v>170.3</v>
      </c>
      <c r="N2758" s="1">
        <v>301.12</v>
      </c>
      <c r="O2758">
        <v>-0.6</v>
      </c>
      <c r="P2758">
        <v>305</v>
      </c>
    </row>
    <row r="2759" spans="1:16" x14ac:dyDescent="0.35">
      <c r="A2759" s="4">
        <v>45809</v>
      </c>
      <c r="B2759" t="s">
        <v>20</v>
      </c>
      <c r="C2759" t="s">
        <v>13</v>
      </c>
      <c r="D2759">
        <v>1</v>
      </c>
      <c r="E2759" s="2">
        <f>(3375*2+3400+3550)/4</f>
        <v>3425</v>
      </c>
      <c r="F2759" s="2">
        <f t="shared" si="447"/>
        <v>3174.0974999999999</v>
      </c>
      <c r="G2759" s="3">
        <v>1</v>
      </c>
      <c r="H2759" t="s">
        <v>27</v>
      </c>
      <c r="I2759" t="s">
        <v>27</v>
      </c>
      <c r="J2759">
        <v>20560</v>
      </c>
      <c r="K2759">
        <v>15000</v>
      </c>
      <c r="L2759" s="2">
        <v>26.9</v>
      </c>
      <c r="M2759" s="5">
        <v>170.3</v>
      </c>
      <c r="N2759" s="1">
        <v>301.12</v>
      </c>
      <c r="O2759">
        <v>-0.6</v>
      </c>
      <c r="P2759">
        <v>305</v>
      </c>
    </row>
    <row r="2760" spans="1:16" x14ac:dyDescent="0.35">
      <c r="A2760" s="4">
        <v>45809</v>
      </c>
      <c r="B2760" t="s">
        <v>20</v>
      </c>
      <c r="C2760" t="s">
        <v>14</v>
      </c>
      <c r="D2760">
        <v>1</v>
      </c>
      <c r="E2760" s="2">
        <f>(3210*2+3288+3338)/4</f>
        <v>3261.5</v>
      </c>
      <c r="F2760" s="2">
        <f t="shared" si="447"/>
        <v>3174.0974999999999</v>
      </c>
      <c r="G2760" s="3">
        <v>1</v>
      </c>
      <c r="H2760" t="s">
        <v>27</v>
      </c>
      <c r="I2760" t="s">
        <v>27</v>
      </c>
      <c r="J2760">
        <v>20560</v>
      </c>
      <c r="K2760">
        <v>15000</v>
      </c>
      <c r="L2760" s="2">
        <v>26.9</v>
      </c>
      <c r="M2760" s="5">
        <v>170.3</v>
      </c>
      <c r="N2760" s="1">
        <v>301.12</v>
      </c>
      <c r="O2760">
        <v>-0.6</v>
      </c>
      <c r="P2760">
        <v>305</v>
      </c>
    </row>
    <row r="2761" spans="1:16" x14ac:dyDescent="0.35">
      <c r="A2761" s="4">
        <v>45809</v>
      </c>
      <c r="B2761" t="s">
        <v>20</v>
      </c>
      <c r="C2761" t="s">
        <v>15</v>
      </c>
      <c r="D2761">
        <v>1</v>
      </c>
      <c r="E2761" s="2">
        <f>(3350+3075+3250+3275)/4</f>
        <v>3237.5</v>
      </c>
      <c r="F2761" s="2">
        <f t="shared" si="447"/>
        <v>3174.0974999999999</v>
      </c>
      <c r="G2761" s="3">
        <v>1</v>
      </c>
      <c r="H2761" t="s">
        <v>27</v>
      </c>
      <c r="I2761" t="s">
        <v>27</v>
      </c>
      <c r="J2761">
        <v>20560</v>
      </c>
      <c r="K2761">
        <v>15000</v>
      </c>
      <c r="L2761" s="2">
        <v>26.9</v>
      </c>
      <c r="M2761" s="5">
        <v>170.3</v>
      </c>
      <c r="N2761" s="1">
        <v>301.12</v>
      </c>
      <c r="O2761">
        <v>-0.6</v>
      </c>
      <c r="P2761">
        <v>305</v>
      </c>
    </row>
    <row r="2762" spans="1:16" x14ac:dyDescent="0.35">
      <c r="A2762" s="4">
        <v>45809</v>
      </c>
      <c r="B2762" t="s">
        <v>21</v>
      </c>
      <c r="C2762" t="s">
        <v>10</v>
      </c>
      <c r="D2762">
        <v>1</v>
      </c>
      <c r="E2762" s="2">
        <v>3125</v>
      </c>
      <c r="F2762" s="2">
        <f>(3082.88+3003.88+3014.13+3036.75)/4</f>
        <v>3034.41</v>
      </c>
      <c r="G2762" s="3">
        <v>1</v>
      </c>
      <c r="H2762" t="s">
        <v>27</v>
      </c>
      <c r="I2762" t="s">
        <v>27</v>
      </c>
      <c r="J2762">
        <v>20560</v>
      </c>
      <c r="K2762">
        <v>15000</v>
      </c>
      <c r="L2762" s="2">
        <v>26.9</v>
      </c>
      <c r="M2762" s="5">
        <v>170.3</v>
      </c>
      <c r="N2762" s="1">
        <v>301.12</v>
      </c>
      <c r="O2762">
        <v>-0.6</v>
      </c>
      <c r="P2762">
        <v>305</v>
      </c>
    </row>
    <row r="2763" spans="1:16" x14ac:dyDescent="0.35">
      <c r="A2763" s="4">
        <v>45809</v>
      </c>
      <c r="B2763" t="s">
        <v>21</v>
      </c>
      <c r="C2763" t="s">
        <v>11</v>
      </c>
      <c r="D2763">
        <v>1</v>
      </c>
      <c r="E2763" s="2">
        <v>2925</v>
      </c>
      <c r="F2763" s="2">
        <f t="shared" ref="F2763:F2767" si="448">(3082.88+3003.88+3014.13+3036.75)/4</f>
        <v>3034.41</v>
      </c>
      <c r="G2763" s="3">
        <v>1</v>
      </c>
      <c r="H2763" t="s">
        <v>27</v>
      </c>
      <c r="I2763" t="s">
        <v>27</v>
      </c>
      <c r="J2763">
        <v>20560</v>
      </c>
      <c r="K2763">
        <v>15000</v>
      </c>
      <c r="L2763" s="2">
        <v>26.9</v>
      </c>
      <c r="M2763" s="5">
        <v>170.3</v>
      </c>
      <c r="N2763" s="1">
        <v>301.12</v>
      </c>
      <c r="O2763">
        <v>-0.6</v>
      </c>
      <c r="P2763">
        <v>305</v>
      </c>
    </row>
    <row r="2764" spans="1:16" x14ac:dyDescent="0.35">
      <c r="A2764" s="4">
        <v>45809</v>
      </c>
      <c r="B2764" t="s">
        <v>21</v>
      </c>
      <c r="C2764" t="s">
        <v>12</v>
      </c>
      <c r="D2764">
        <v>1</v>
      </c>
      <c r="E2764" s="2">
        <v>2425</v>
      </c>
      <c r="F2764" s="2">
        <f t="shared" si="448"/>
        <v>3034.41</v>
      </c>
      <c r="G2764" s="3">
        <v>1</v>
      </c>
      <c r="H2764" t="s">
        <v>27</v>
      </c>
      <c r="I2764" t="s">
        <v>27</v>
      </c>
      <c r="J2764">
        <v>20560</v>
      </c>
      <c r="K2764">
        <v>15000</v>
      </c>
      <c r="L2764" s="2">
        <v>26.9</v>
      </c>
      <c r="M2764" s="5">
        <v>170.3</v>
      </c>
      <c r="N2764" s="1">
        <v>301.12</v>
      </c>
      <c r="O2764">
        <v>-0.6</v>
      </c>
      <c r="P2764">
        <v>305</v>
      </c>
    </row>
    <row r="2765" spans="1:16" x14ac:dyDescent="0.35">
      <c r="A2765" s="4">
        <v>45809</v>
      </c>
      <c r="B2765" t="s">
        <v>21</v>
      </c>
      <c r="C2765" t="s">
        <v>13</v>
      </c>
      <c r="D2765">
        <v>1</v>
      </c>
      <c r="E2765" s="2">
        <f>(3350+3275+3200+3250)/4</f>
        <v>3268.75</v>
      </c>
      <c r="F2765" s="2">
        <f t="shared" si="448"/>
        <v>3034.41</v>
      </c>
      <c r="G2765" s="3">
        <v>1</v>
      </c>
      <c r="H2765" t="s">
        <v>27</v>
      </c>
      <c r="I2765" t="s">
        <v>27</v>
      </c>
      <c r="J2765">
        <v>20560</v>
      </c>
      <c r="K2765">
        <v>15000</v>
      </c>
      <c r="L2765" s="2">
        <v>26.9</v>
      </c>
      <c r="M2765" s="5">
        <v>170.3</v>
      </c>
      <c r="N2765" s="1">
        <v>301.12</v>
      </c>
      <c r="O2765">
        <v>-0.6</v>
      </c>
      <c r="P2765">
        <v>305</v>
      </c>
    </row>
    <row r="2766" spans="1:16" x14ac:dyDescent="0.35">
      <c r="A2766" s="4">
        <v>45809</v>
      </c>
      <c r="B2766" t="s">
        <v>21</v>
      </c>
      <c r="C2766" t="s">
        <v>14</v>
      </c>
      <c r="D2766">
        <v>1</v>
      </c>
      <c r="E2766" s="2">
        <f>(3194+3113+3206+3313)/4</f>
        <v>3206.5</v>
      </c>
      <c r="F2766" s="2">
        <f t="shared" si="448"/>
        <v>3034.41</v>
      </c>
      <c r="G2766" s="3">
        <v>1</v>
      </c>
      <c r="H2766" t="s">
        <v>27</v>
      </c>
      <c r="I2766" t="s">
        <v>27</v>
      </c>
      <c r="J2766">
        <v>20560</v>
      </c>
      <c r="K2766">
        <v>15000</v>
      </c>
      <c r="L2766" s="2">
        <v>26.9</v>
      </c>
      <c r="M2766" s="5">
        <v>170.3</v>
      </c>
      <c r="N2766" s="1">
        <v>301.12</v>
      </c>
      <c r="O2766">
        <v>-0.6</v>
      </c>
      <c r="P2766">
        <v>305</v>
      </c>
    </row>
    <row r="2767" spans="1:16" x14ac:dyDescent="0.35">
      <c r="A2767" s="4">
        <v>45809</v>
      </c>
      <c r="B2767" t="s">
        <v>21</v>
      </c>
      <c r="C2767" t="s">
        <v>15</v>
      </c>
      <c r="D2767">
        <v>1</v>
      </c>
      <c r="E2767" s="2">
        <f>(3000+3150+3200+3300)/4</f>
        <v>3162.5</v>
      </c>
      <c r="F2767" s="2">
        <f t="shared" si="448"/>
        <v>3034.41</v>
      </c>
      <c r="G2767" s="3">
        <v>1</v>
      </c>
      <c r="H2767" t="s">
        <v>27</v>
      </c>
      <c r="I2767" t="s">
        <v>27</v>
      </c>
      <c r="J2767">
        <v>20560</v>
      </c>
      <c r="K2767">
        <v>15000</v>
      </c>
      <c r="L2767" s="2">
        <v>26.9</v>
      </c>
      <c r="M2767" s="5">
        <v>170.3</v>
      </c>
      <c r="N2767" s="1">
        <v>301.12</v>
      </c>
      <c r="O2767">
        <v>-0.6</v>
      </c>
      <c r="P2767">
        <v>305</v>
      </c>
    </row>
    <row r="2768" spans="1:16" x14ac:dyDescent="0.35">
      <c r="A2768" s="4">
        <v>45809</v>
      </c>
      <c r="B2768" t="s">
        <v>22</v>
      </c>
      <c r="C2768" t="s">
        <v>10</v>
      </c>
      <c r="D2768">
        <v>0</v>
      </c>
      <c r="E2768" s="2" t="s">
        <v>27</v>
      </c>
      <c r="F2768" s="2">
        <f t="shared" ref="F2768:F2771" si="449">(2800+2825+2880+3000)/4</f>
        <v>2876.25</v>
      </c>
      <c r="G2768" s="3">
        <v>1</v>
      </c>
      <c r="H2768" t="s">
        <v>27</v>
      </c>
      <c r="I2768" t="s">
        <v>27</v>
      </c>
      <c r="J2768">
        <v>20560</v>
      </c>
      <c r="K2768">
        <v>15000</v>
      </c>
      <c r="L2768" s="2">
        <v>26.9</v>
      </c>
      <c r="M2768" s="5">
        <v>170.3</v>
      </c>
      <c r="N2768" s="1">
        <v>301.12</v>
      </c>
      <c r="O2768">
        <v>-0.6</v>
      </c>
      <c r="P2768">
        <v>305</v>
      </c>
    </row>
    <row r="2769" spans="1:16" x14ac:dyDescent="0.35">
      <c r="A2769" s="4">
        <v>45809</v>
      </c>
      <c r="B2769" t="s">
        <v>22</v>
      </c>
      <c r="C2769" t="s">
        <v>11</v>
      </c>
      <c r="D2769">
        <v>0</v>
      </c>
      <c r="E2769" s="2" t="s">
        <v>27</v>
      </c>
      <c r="F2769" s="2">
        <f t="shared" si="449"/>
        <v>2876.25</v>
      </c>
      <c r="G2769" s="3">
        <v>1</v>
      </c>
      <c r="H2769" t="s">
        <v>27</v>
      </c>
      <c r="I2769" t="s">
        <v>27</v>
      </c>
      <c r="J2769">
        <v>20560</v>
      </c>
      <c r="K2769">
        <v>15000</v>
      </c>
      <c r="L2769" s="2">
        <v>26.9</v>
      </c>
      <c r="M2769" s="5">
        <v>170.3</v>
      </c>
      <c r="N2769" s="1">
        <v>301.12</v>
      </c>
      <c r="O2769">
        <v>-0.6</v>
      </c>
      <c r="P2769">
        <v>305</v>
      </c>
    </row>
    <row r="2770" spans="1:16" x14ac:dyDescent="0.35">
      <c r="A2770" s="4">
        <v>45809</v>
      </c>
      <c r="B2770" t="s">
        <v>22</v>
      </c>
      <c r="C2770" t="s">
        <v>12</v>
      </c>
      <c r="D2770">
        <v>0</v>
      </c>
      <c r="E2770" s="2" t="s">
        <v>27</v>
      </c>
      <c r="F2770" s="2">
        <f t="shared" si="449"/>
        <v>2876.25</v>
      </c>
      <c r="G2770" s="3">
        <v>1</v>
      </c>
      <c r="H2770" t="s">
        <v>27</v>
      </c>
      <c r="I2770" t="s">
        <v>27</v>
      </c>
      <c r="J2770">
        <v>20560</v>
      </c>
      <c r="K2770">
        <v>15000</v>
      </c>
      <c r="L2770" s="2">
        <v>26.9</v>
      </c>
      <c r="M2770" s="5">
        <v>170.3</v>
      </c>
      <c r="N2770" s="1">
        <v>301.12</v>
      </c>
      <c r="O2770">
        <v>-0.6</v>
      </c>
      <c r="P2770">
        <v>305</v>
      </c>
    </row>
    <row r="2771" spans="1:16" x14ac:dyDescent="0.35">
      <c r="A2771" s="4">
        <v>45809</v>
      </c>
      <c r="B2771" t="s">
        <v>22</v>
      </c>
      <c r="C2771" t="s">
        <v>13</v>
      </c>
      <c r="D2771">
        <v>0</v>
      </c>
      <c r="E2771" s="2" t="s">
        <v>27</v>
      </c>
      <c r="F2771" s="2">
        <f t="shared" si="449"/>
        <v>2876.25</v>
      </c>
      <c r="G2771" s="3">
        <v>1</v>
      </c>
      <c r="H2771" t="s">
        <v>27</v>
      </c>
      <c r="I2771" t="s">
        <v>27</v>
      </c>
      <c r="J2771">
        <v>20560</v>
      </c>
      <c r="K2771">
        <v>15000</v>
      </c>
      <c r="L2771" s="2">
        <v>26.9</v>
      </c>
      <c r="M2771" s="5">
        <v>170.3</v>
      </c>
      <c r="N2771" s="1">
        <v>301.12</v>
      </c>
      <c r="O2771">
        <v>-0.6</v>
      </c>
      <c r="P2771">
        <v>305</v>
      </c>
    </row>
    <row r="2772" spans="1:16" x14ac:dyDescent="0.35">
      <c r="A2772" s="4">
        <v>45809</v>
      </c>
      <c r="B2772" t="s">
        <v>22</v>
      </c>
      <c r="C2772" t="s">
        <v>14</v>
      </c>
      <c r="D2772">
        <v>1</v>
      </c>
      <c r="E2772" s="2">
        <f>(2800+2825+2880+3000)/4</f>
        <v>2876.25</v>
      </c>
      <c r="F2772" s="2">
        <f>(2800+2825+2880+3000)/4</f>
        <v>2876.25</v>
      </c>
      <c r="G2772" s="3">
        <v>1</v>
      </c>
      <c r="H2772" t="s">
        <v>27</v>
      </c>
      <c r="I2772" t="s">
        <v>27</v>
      </c>
      <c r="J2772">
        <v>20560</v>
      </c>
      <c r="K2772">
        <v>15000</v>
      </c>
      <c r="L2772" s="2">
        <v>26.9</v>
      </c>
      <c r="M2772" s="5">
        <v>170.3</v>
      </c>
      <c r="N2772" s="1">
        <v>301.12</v>
      </c>
      <c r="O2772">
        <v>-0.6</v>
      </c>
      <c r="P2772">
        <v>305</v>
      </c>
    </row>
    <row r="2773" spans="1:16" x14ac:dyDescent="0.35">
      <c r="A2773" s="4">
        <v>45809</v>
      </c>
      <c r="B2773" t="s">
        <v>22</v>
      </c>
      <c r="C2773" t="s">
        <v>15</v>
      </c>
      <c r="D2773">
        <v>0</v>
      </c>
      <c r="E2773" s="2" t="s">
        <v>27</v>
      </c>
      <c r="F2773" s="2">
        <f>(2800+2825+2880+3000)/4</f>
        <v>2876.25</v>
      </c>
      <c r="G2773" s="3">
        <v>1</v>
      </c>
      <c r="H2773" t="s">
        <v>27</v>
      </c>
      <c r="I2773" t="s">
        <v>27</v>
      </c>
      <c r="J2773">
        <v>20560</v>
      </c>
      <c r="K2773">
        <v>15000</v>
      </c>
      <c r="L2773" s="2">
        <v>26.9</v>
      </c>
      <c r="M2773" s="5">
        <v>170.3</v>
      </c>
      <c r="N2773" s="1">
        <v>301.12</v>
      </c>
      <c r="O2773">
        <v>-0.6</v>
      </c>
      <c r="P2773">
        <v>305</v>
      </c>
    </row>
    <row r="2774" spans="1:16" x14ac:dyDescent="0.35">
      <c r="A2774" s="4">
        <v>45839</v>
      </c>
      <c r="B2774" t="s">
        <v>16</v>
      </c>
      <c r="C2774" t="s">
        <v>10</v>
      </c>
      <c r="D2774">
        <v>1</v>
      </c>
      <c r="E2774" s="2">
        <v>4500</v>
      </c>
      <c r="F2774" s="2">
        <f>(4497.5+4528.75+4535+4516.25+4528.75)/5</f>
        <v>4521.25</v>
      </c>
      <c r="G2774" s="3">
        <v>1</v>
      </c>
      <c r="H2774" t="s">
        <v>27</v>
      </c>
      <c r="I2774" t="s">
        <v>27</v>
      </c>
      <c r="J2774">
        <v>35106</v>
      </c>
      <c r="K2774">
        <v>15000</v>
      </c>
      <c r="L2774" s="2">
        <v>27</v>
      </c>
      <c r="M2774" s="5">
        <v>148.30000000000001</v>
      </c>
      <c r="N2774" s="1">
        <v>301.12</v>
      </c>
      <c r="O2774">
        <v>-0.3</v>
      </c>
      <c r="P2774">
        <v>305</v>
      </c>
    </row>
    <row r="2775" spans="1:16" x14ac:dyDescent="0.35">
      <c r="A2775" s="4">
        <v>45839</v>
      </c>
      <c r="B2775" t="s">
        <v>16</v>
      </c>
      <c r="C2775" t="s">
        <v>11</v>
      </c>
      <c r="D2775">
        <v>0</v>
      </c>
      <c r="E2775" s="2" t="s">
        <v>27</v>
      </c>
      <c r="F2775" s="2">
        <f t="shared" ref="F2775:F2779" si="450">(4497.5+4528.75+4535+4516.25+4528.75)/5</f>
        <v>4521.25</v>
      </c>
      <c r="G2775" s="3">
        <v>1</v>
      </c>
      <c r="H2775" t="s">
        <v>27</v>
      </c>
      <c r="I2775" t="s">
        <v>27</v>
      </c>
      <c r="J2775">
        <v>35106</v>
      </c>
      <c r="K2775">
        <v>15000</v>
      </c>
      <c r="L2775" s="2">
        <v>27</v>
      </c>
      <c r="M2775" s="5">
        <v>148.30000000000001</v>
      </c>
      <c r="N2775" s="1">
        <v>301.12</v>
      </c>
      <c r="O2775">
        <v>-0.3</v>
      </c>
      <c r="P2775">
        <v>305</v>
      </c>
    </row>
    <row r="2776" spans="1:16" x14ac:dyDescent="0.35">
      <c r="A2776" s="4">
        <v>45839</v>
      </c>
      <c r="B2776" t="s">
        <v>16</v>
      </c>
      <c r="C2776" t="s">
        <v>12</v>
      </c>
      <c r="D2776">
        <v>1</v>
      </c>
      <c r="E2776" s="2">
        <v>4490</v>
      </c>
      <c r="F2776" s="2">
        <f t="shared" si="450"/>
        <v>4521.25</v>
      </c>
      <c r="G2776" s="3">
        <v>1</v>
      </c>
      <c r="H2776" t="s">
        <v>27</v>
      </c>
      <c r="I2776" t="s">
        <v>27</v>
      </c>
      <c r="J2776">
        <v>35106</v>
      </c>
      <c r="K2776">
        <v>15000</v>
      </c>
      <c r="L2776" s="2">
        <v>27</v>
      </c>
      <c r="M2776" s="5">
        <v>148.30000000000001</v>
      </c>
      <c r="N2776" s="1">
        <v>301.12</v>
      </c>
      <c r="O2776">
        <v>-0.3</v>
      </c>
      <c r="P2776">
        <v>305</v>
      </c>
    </row>
    <row r="2777" spans="1:16" x14ac:dyDescent="0.35">
      <c r="A2777" s="4">
        <v>45839</v>
      </c>
      <c r="B2777" t="s">
        <v>16</v>
      </c>
      <c r="C2777" t="s">
        <v>13</v>
      </c>
      <c r="D2777">
        <v>1</v>
      </c>
      <c r="E2777" s="2">
        <f>(4600+4550+4600+4450)/4</f>
        <v>4550</v>
      </c>
      <c r="F2777" s="2">
        <f t="shared" si="450"/>
        <v>4521.25</v>
      </c>
      <c r="G2777" s="3">
        <v>1</v>
      </c>
      <c r="H2777" t="s">
        <v>27</v>
      </c>
      <c r="I2777" t="s">
        <v>27</v>
      </c>
      <c r="J2777">
        <v>35106</v>
      </c>
      <c r="K2777">
        <v>15000</v>
      </c>
      <c r="L2777" s="2">
        <v>27</v>
      </c>
      <c r="M2777" s="5">
        <v>148.30000000000001</v>
      </c>
      <c r="N2777" s="1">
        <v>301.12</v>
      </c>
      <c r="O2777">
        <v>-0.3</v>
      </c>
      <c r="P2777">
        <v>305</v>
      </c>
    </row>
    <row r="2778" spans="1:16" x14ac:dyDescent="0.35">
      <c r="A2778" s="4">
        <v>45839</v>
      </c>
      <c r="B2778" t="s">
        <v>16</v>
      </c>
      <c r="C2778" t="s">
        <v>14</v>
      </c>
      <c r="D2778">
        <v>1</v>
      </c>
      <c r="E2778" s="2">
        <f>(4550*2+4525*2)/4</f>
        <v>4537.5</v>
      </c>
      <c r="F2778" s="2">
        <f t="shared" si="450"/>
        <v>4521.25</v>
      </c>
      <c r="G2778" s="3">
        <v>1</v>
      </c>
      <c r="H2778" t="s">
        <v>27</v>
      </c>
      <c r="I2778" t="s">
        <v>27</v>
      </c>
      <c r="J2778">
        <v>35106</v>
      </c>
      <c r="K2778">
        <v>15000</v>
      </c>
      <c r="L2778" s="2">
        <v>27</v>
      </c>
      <c r="M2778" s="5">
        <v>148.30000000000001</v>
      </c>
      <c r="N2778" s="1">
        <v>301.12</v>
      </c>
      <c r="O2778">
        <v>-0.3</v>
      </c>
      <c r="P2778">
        <v>305</v>
      </c>
    </row>
    <row r="2779" spans="1:16" x14ac:dyDescent="0.35">
      <c r="A2779" s="4">
        <v>45839</v>
      </c>
      <c r="B2779" t="s">
        <v>16</v>
      </c>
      <c r="C2779" t="s">
        <v>15</v>
      </c>
      <c r="D2779">
        <v>0</v>
      </c>
      <c r="E2779" s="2" t="s">
        <v>27</v>
      </c>
      <c r="F2779" s="2">
        <f t="shared" si="450"/>
        <v>4521.25</v>
      </c>
      <c r="G2779" s="3">
        <v>1</v>
      </c>
      <c r="H2779" t="s">
        <v>27</v>
      </c>
      <c r="I2779" t="s">
        <v>27</v>
      </c>
      <c r="J2779">
        <v>35106</v>
      </c>
      <c r="K2779">
        <v>15000</v>
      </c>
      <c r="L2779" s="2">
        <v>27</v>
      </c>
      <c r="M2779" s="5">
        <v>148.30000000000001</v>
      </c>
      <c r="N2779" s="1">
        <v>301.12</v>
      </c>
      <c r="O2779">
        <v>-0.3</v>
      </c>
      <c r="P2779">
        <v>305</v>
      </c>
    </row>
    <row r="2780" spans="1:16" x14ac:dyDescent="0.35">
      <c r="A2780" s="4">
        <v>45839</v>
      </c>
      <c r="B2780" t="s">
        <v>17</v>
      </c>
      <c r="C2780" t="s">
        <v>10</v>
      </c>
      <c r="D2780">
        <v>1</v>
      </c>
      <c r="E2780" s="2">
        <v>3875</v>
      </c>
      <c r="F2780" s="2">
        <f>(4039+3977.4+3997.4+4017.4+4010.6)/5</f>
        <v>4008.3599999999997</v>
      </c>
      <c r="G2780" s="3">
        <v>1</v>
      </c>
      <c r="H2780" t="s">
        <v>27</v>
      </c>
      <c r="I2780" t="s">
        <v>27</v>
      </c>
      <c r="J2780">
        <v>35106</v>
      </c>
      <c r="K2780">
        <v>15000</v>
      </c>
      <c r="L2780" s="2">
        <v>27</v>
      </c>
      <c r="M2780" s="5">
        <v>148.30000000000001</v>
      </c>
      <c r="N2780" s="1">
        <v>301.12</v>
      </c>
      <c r="O2780">
        <v>-0.3</v>
      </c>
      <c r="P2780">
        <v>305</v>
      </c>
    </row>
    <row r="2781" spans="1:16" x14ac:dyDescent="0.35">
      <c r="A2781" s="4">
        <v>45839</v>
      </c>
      <c r="B2781" t="s">
        <v>17</v>
      </c>
      <c r="C2781" t="s">
        <v>11</v>
      </c>
      <c r="D2781">
        <v>1</v>
      </c>
      <c r="E2781" s="2">
        <f>(4000+3900+4000+4000)/4</f>
        <v>3975</v>
      </c>
      <c r="F2781" s="2">
        <f t="shared" ref="F2781:F2785" si="451">(4039+3977.4+3997.4+4017.4+4010.6)/5</f>
        <v>4008.3599999999997</v>
      </c>
      <c r="G2781" s="3">
        <v>1</v>
      </c>
      <c r="H2781" t="s">
        <v>27</v>
      </c>
      <c r="I2781" t="s">
        <v>27</v>
      </c>
      <c r="J2781">
        <v>35106</v>
      </c>
      <c r="K2781">
        <v>15000</v>
      </c>
      <c r="L2781" s="2">
        <v>27</v>
      </c>
      <c r="M2781" s="5">
        <v>148.30000000000001</v>
      </c>
      <c r="N2781" s="1">
        <v>301.12</v>
      </c>
      <c r="O2781">
        <v>-0.3</v>
      </c>
      <c r="P2781">
        <v>305</v>
      </c>
    </row>
    <row r="2782" spans="1:16" x14ac:dyDescent="0.35">
      <c r="A2782" s="4">
        <v>45839</v>
      </c>
      <c r="B2782" t="s">
        <v>17</v>
      </c>
      <c r="C2782" t="s">
        <v>12</v>
      </c>
      <c r="D2782">
        <v>1</v>
      </c>
      <c r="E2782" s="2">
        <v>4070</v>
      </c>
      <c r="F2782" s="2">
        <f t="shared" si="451"/>
        <v>4008.3599999999997</v>
      </c>
      <c r="G2782" s="3">
        <v>1</v>
      </c>
      <c r="H2782" t="s">
        <v>27</v>
      </c>
      <c r="I2782" t="s">
        <v>27</v>
      </c>
      <c r="J2782">
        <v>35106</v>
      </c>
      <c r="K2782">
        <v>15000</v>
      </c>
      <c r="L2782" s="2">
        <v>27</v>
      </c>
      <c r="M2782" s="5">
        <v>148.30000000000001</v>
      </c>
      <c r="N2782" s="1">
        <v>301.12</v>
      </c>
      <c r="O2782">
        <v>-0.3</v>
      </c>
      <c r="P2782">
        <v>305</v>
      </c>
    </row>
    <row r="2783" spans="1:16" x14ac:dyDescent="0.35">
      <c r="A2783" s="4">
        <v>45839</v>
      </c>
      <c r="B2783" t="s">
        <v>17</v>
      </c>
      <c r="C2783" t="s">
        <v>13</v>
      </c>
      <c r="D2783">
        <v>1</v>
      </c>
      <c r="E2783" s="2">
        <f>(4050+4175+4000+4050)/4</f>
        <v>4068.75</v>
      </c>
      <c r="F2783" s="2">
        <f t="shared" si="451"/>
        <v>4008.3599999999997</v>
      </c>
      <c r="G2783" s="3">
        <v>1</v>
      </c>
      <c r="H2783" t="s">
        <v>27</v>
      </c>
      <c r="I2783" t="s">
        <v>27</v>
      </c>
      <c r="J2783">
        <v>35106</v>
      </c>
      <c r="K2783">
        <v>15000</v>
      </c>
      <c r="L2783" s="2">
        <v>27</v>
      </c>
      <c r="M2783" s="5">
        <v>148.30000000000001</v>
      </c>
      <c r="N2783" s="1">
        <v>301.12</v>
      </c>
      <c r="O2783">
        <v>-0.3</v>
      </c>
      <c r="P2783">
        <v>305</v>
      </c>
    </row>
    <row r="2784" spans="1:16" x14ac:dyDescent="0.35">
      <c r="A2784" s="4">
        <v>45839</v>
      </c>
      <c r="B2784" t="s">
        <v>17</v>
      </c>
      <c r="C2784" t="s">
        <v>14</v>
      </c>
      <c r="D2784">
        <v>1</v>
      </c>
      <c r="E2784" s="2">
        <f>(4033+4100+4067+3967)/4</f>
        <v>4041.75</v>
      </c>
      <c r="F2784" s="2">
        <f t="shared" si="451"/>
        <v>4008.3599999999997</v>
      </c>
      <c r="G2784" s="3">
        <v>1</v>
      </c>
      <c r="H2784" t="s">
        <v>27</v>
      </c>
      <c r="I2784" t="s">
        <v>27</v>
      </c>
      <c r="J2784">
        <v>35106</v>
      </c>
      <c r="K2784">
        <v>15000</v>
      </c>
      <c r="L2784" s="2">
        <v>27</v>
      </c>
      <c r="M2784" s="5">
        <v>148.30000000000001</v>
      </c>
      <c r="N2784" s="1">
        <v>301.12</v>
      </c>
      <c r="O2784">
        <v>-0.3</v>
      </c>
      <c r="P2784">
        <v>305</v>
      </c>
    </row>
    <row r="2785" spans="1:16" x14ac:dyDescent="0.35">
      <c r="A2785" s="4">
        <v>45839</v>
      </c>
      <c r="B2785" t="s">
        <v>17</v>
      </c>
      <c r="C2785" t="s">
        <v>15</v>
      </c>
      <c r="D2785">
        <v>0</v>
      </c>
      <c r="E2785" s="2" t="s">
        <v>27</v>
      </c>
      <c r="F2785" s="2">
        <f t="shared" si="451"/>
        <v>4008.3599999999997</v>
      </c>
      <c r="G2785" s="3">
        <v>1</v>
      </c>
      <c r="H2785" t="s">
        <v>27</v>
      </c>
      <c r="I2785" t="s">
        <v>27</v>
      </c>
      <c r="J2785">
        <v>35106</v>
      </c>
      <c r="K2785">
        <v>15000</v>
      </c>
      <c r="L2785" s="2">
        <v>27</v>
      </c>
      <c r="M2785" s="5">
        <v>148.30000000000001</v>
      </c>
      <c r="N2785" s="1">
        <v>301.12</v>
      </c>
      <c r="O2785">
        <v>-0.3</v>
      </c>
      <c r="P2785">
        <v>305</v>
      </c>
    </row>
    <row r="2786" spans="1:16" x14ac:dyDescent="0.35">
      <c r="A2786" s="4">
        <v>45839</v>
      </c>
      <c r="B2786" t="s">
        <v>18</v>
      </c>
      <c r="C2786" t="s">
        <v>10</v>
      </c>
      <c r="D2786">
        <v>1</v>
      </c>
      <c r="E2786" s="2">
        <f>(3780+3750*2+3800)/4</f>
        <v>3770</v>
      </c>
      <c r="F2786" s="2">
        <f>(3761.88+3790.63+3773.5+3719.5+3763.5)/5</f>
        <v>3761.8020000000006</v>
      </c>
      <c r="G2786" s="3">
        <v>1</v>
      </c>
      <c r="H2786" t="s">
        <v>27</v>
      </c>
      <c r="I2786" t="s">
        <v>27</v>
      </c>
      <c r="J2786">
        <v>35106</v>
      </c>
      <c r="K2786">
        <v>15000</v>
      </c>
      <c r="L2786" s="2">
        <v>27</v>
      </c>
      <c r="M2786" s="5">
        <v>148.30000000000001</v>
      </c>
      <c r="N2786" s="1">
        <v>301.12</v>
      </c>
      <c r="O2786">
        <v>-0.3</v>
      </c>
      <c r="P2786">
        <v>305</v>
      </c>
    </row>
    <row r="2787" spans="1:16" x14ac:dyDescent="0.35">
      <c r="A2787" s="4">
        <v>45839</v>
      </c>
      <c r="B2787" t="s">
        <v>18</v>
      </c>
      <c r="C2787" t="s">
        <v>11</v>
      </c>
      <c r="D2787">
        <v>1</v>
      </c>
      <c r="E2787" s="2">
        <f>(3800+3700+3750+3850)/4</f>
        <v>3775</v>
      </c>
      <c r="F2787" s="2">
        <f t="shared" ref="F2787:F2791" si="452">(3761.88+3790.63+3773.5+3719.5+3763.5)/5</f>
        <v>3761.8020000000006</v>
      </c>
      <c r="G2787" s="3">
        <v>1</v>
      </c>
      <c r="H2787" t="s">
        <v>27</v>
      </c>
      <c r="I2787" t="s">
        <v>27</v>
      </c>
      <c r="J2787">
        <v>35106</v>
      </c>
      <c r="K2787">
        <v>15000</v>
      </c>
      <c r="L2787" s="2">
        <v>27</v>
      </c>
      <c r="M2787" s="5">
        <v>148.30000000000001</v>
      </c>
      <c r="N2787" s="1">
        <v>301.12</v>
      </c>
      <c r="O2787">
        <v>-0.3</v>
      </c>
      <c r="P2787">
        <v>305</v>
      </c>
    </row>
    <row r="2788" spans="1:16" x14ac:dyDescent="0.35">
      <c r="A2788" s="4">
        <v>45839</v>
      </c>
      <c r="B2788" t="s">
        <v>18</v>
      </c>
      <c r="C2788" t="s">
        <v>12</v>
      </c>
      <c r="D2788">
        <v>1</v>
      </c>
      <c r="E2788" s="2">
        <v>3695</v>
      </c>
      <c r="F2788" s="2">
        <f t="shared" si="452"/>
        <v>3761.8020000000006</v>
      </c>
      <c r="G2788" s="3">
        <v>1</v>
      </c>
      <c r="H2788" t="s">
        <v>27</v>
      </c>
      <c r="I2788" t="s">
        <v>27</v>
      </c>
      <c r="J2788">
        <v>35106</v>
      </c>
      <c r="K2788">
        <v>15000</v>
      </c>
      <c r="L2788" s="2">
        <v>27</v>
      </c>
      <c r="M2788" s="5">
        <v>148.30000000000001</v>
      </c>
      <c r="N2788" s="1">
        <v>301.12</v>
      </c>
      <c r="O2788">
        <v>-0.3</v>
      </c>
      <c r="P2788">
        <v>305</v>
      </c>
    </row>
    <row r="2789" spans="1:16" x14ac:dyDescent="0.35">
      <c r="A2789" s="4">
        <v>45839</v>
      </c>
      <c r="B2789" t="s">
        <v>18</v>
      </c>
      <c r="C2789" t="s">
        <v>13</v>
      </c>
      <c r="D2789">
        <v>1</v>
      </c>
      <c r="E2789" s="2">
        <f>(3900+3750+3850*2)/4</f>
        <v>3837.5</v>
      </c>
      <c r="F2789" s="2">
        <f t="shared" si="452"/>
        <v>3761.8020000000006</v>
      </c>
      <c r="G2789" s="3">
        <v>1</v>
      </c>
      <c r="H2789" t="s">
        <v>27</v>
      </c>
      <c r="I2789" t="s">
        <v>27</v>
      </c>
      <c r="J2789">
        <v>35106</v>
      </c>
      <c r="K2789">
        <v>15000</v>
      </c>
      <c r="L2789" s="2">
        <v>27</v>
      </c>
      <c r="M2789" s="5">
        <v>148.30000000000001</v>
      </c>
      <c r="N2789" s="1">
        <v>301.12</v>
      </c>
      <c r="O2789">
        <v>-0.3</v>
      </c>
      <c r="P2789">
        <v>305</v>
      </c>
    </row>
    <row r="2790" spans="1:16" x14ac:dyDescent="0.35">
      <c r="A2790" s="4">
        <v>45839</v>
      </c>
      <c r="B2790" t="s">
        <v>18</v>
      </c>
      <c r="C2790" t="s">
        <v>14</v>
      </c>
      <c r="D2790">
        <v>1</v>
      </c>
      <c r="E2790" s="2">
        <f>(3863*2+3813+3850)/4</f>
        <v>3847.25</v>
      </c>
      <c r="F2790" s="2">
        <f t="shared" si="452"/>
        <v>3761.8020000000006</v>
      </c>
      <c r="G2790" s="3">
        <v>1</v>
      </c>
      <c r="H2790" t="s">
        <v>27</v>
      </c>
      <c r="I2790" t="s">
        <v>27</v>
      </c>
      <c r="J2790">
        <v>35106</v>
      </c>
      <c r="K2790">
        <v>15000</v>
      </c>
      <c r="L2790" s="2">
        <v>27</v>
      </c>
      <c r="M2790" s="5">
        <v>148.30000000000001</v>
      </c>
      <c r="N2790" s="1">
        <v>301.12</v>
      </c>
      <c r="O2790">
        <v>-0.3</v>
      </c>
      <c r="P2790">
        <v>305</v>
      </c>
    </row>
    <row r="2791" spans="1:16" x14ac:dyDescent="0.35">
      <c r="A2791" s="4">
        <v>45839</v>
      </c>
      <c r="B2791" t="s">
        <v>18</v>
      </c>
      <c r="C2791" t="s">
        <v>15</v>
      </c>
      <c r="D2791">
        <v>1</v>
      </c>
      <c r="E2791" s="2">
        <v>3750</v>
      </c>
      <c r="F2791" s="2">
        <f t="shared" si="452"/>
        <v>3761.8020000000006</v>
      </c>
      <c r="G2791" s="3">
        <v>1</v>
      </c>
      <c r="H2791" t="s">
        <v>27</v>
      </c>
      <c r="I2791" t="s">
        <v>27</v>
      </c>
      <c r="J2791">
        <v>35106</v>
      </c>
      <c r="K2791">
        <v>15000</v>
      </c>
      <c r="L2791" s="2">
        <v>27</v>
      </c>
      <c r="M2791" s="5">
        <v>148.30000000000001</v>
      </c>
      <c r="N2791" s="1">
        <v>301.12</v>
      </c>
      <c r="O2791">
        <v>-0.3</v>
      </c>
      <c r="P2791">
        <v>305</v>
      </c>
    </row>
    <row r="2792" spans="1:16" x14ac:dyDescent="0.35">
      <c r="A2792" s="4">
        <v>45839</v>
      </c>
      <c r="B2792" t="s">
        <v>19</v>
      </c>
      <c r="C2792" t="s">
        <v>10</v>
      </c>
      <c r="D2792">
        <v>1</v>
      </c>
      <c r="E2792" s="2">
        <f>(3670+3600+3700+3650)/4</f>
        <v>3655</v>
      </c>
      <c r="F2792" s="2">
        <f>(3633.44+3594.56+3617.33+3636.22+3631.78)/5</f>
        <v>3622.6659999999997</v>
      </c>
      <c r="G2792" s="3">
        <v>1</v>
      </c>
      <c r="H2792" t="s">
        <v>27</v>
      </c>
      <c r="I2792" t="s">
        <v>27</v>
      </c>
      <c r="J2792">
        <v>35106</v>
      </c>
      <c r="K2792">
        <v>15000</v>
      </c>
      <c r="L2792" s="2">
        <v>27</v>
      </c>
      <c r="M2792" s="5">
        <v>148.30000000000001</v>
      </c>
      <c r="N2792" s="1">
        <v>301.12</v>
      </c>
      <c r="O2792">
        <v>-0.3</v>
      </c>
      <c r="P2792">
        <v>305</v>
      </c>
    </row>
    <row r="2793" spans="1:16" x14ac:dyDescent="0.35">
      <c r="A2793" s="4">
        <v>45839</v>
      </c>
      <c r="B2793" t="s">
        <v>19</v>
      </c>
      <c r="C2793" t="s">
        <v>11</v>
      </c>
      <c r="D2793">
        <v>1</v>
      </c>
      <c r="E2793" s="2">
        <f>(3700+3600*2+3650)/4</f>
        <v>3637.5</v>
      </c>
      <c r="F2793" s="2">
        <f t="shared" ref="F2793:F2797" si="453">(3633.44+3594.56+3617.33+3636.22+3631.78)/5</f>
        <v>3622.6659999999997</v>
      </c>
      <c r="G2793" s="3">
        <v>1</v>
      </c>
      <c r="H2793" t="s">
        <v>27</v>
      </c>
      <c r="I2793" t="s">
        <v>27</v>
      </c>
      <c r="J2793">
        <v>35106</v>
      </c>
      <c r="K2793">
        <v>15000</v>
      </c>
      <c r="L2793" s="2">
        <v>27</v>
      </c>
      <c r="M2793" s="5">
        <v>148.30000000000001</v>
      </c>
      <c r="N2793" s="1">
        <v>301.12</v>
      </c>
      <c r="O2793">
        <v>-0.3</v>
      </c>
      <c r="P2793">
        <v>305</v>
      </c>
    </row>
    <row r="2794" spans="1:16" x14ac:dyDescent="0.35">
      <c r="A2794" s="4">
        <v>45839</v>
      </c>
      <c r="B2794" t="s">
        <v>19</v>
      </c>
      <c r="C2794" t="s">
        <v>12</v>
      </c>
      <c r="D2794">
        <v>1</v>
      </c>
      <c r="E2794" s="2">
        <v>3490</v>
      </c>
      <c r="F2794" s="2">
        <f t="shared" si="453"/>
        <v>3622.6659999999997</v>
      </c>
      <c r="G2794" s="3">
        <v>1</v>
      </c>
      <c r="H2794" t="s">
        <v>27</v>
      </c>
      <c r="I2794" t="s">
        <v>27</v>
      </c>
      <c r="J2794">
        <v>35106</v>
      </c>
      <c r="K2794">
        <v>15000</v>
      </c>
      <c r="L2794" s="2">
        <v>27</v>
      </c>
      <c r="M2794" s="5">
        <v>148.30000000000001</v>
      </c>
      <c r="N2794" s="1">
        <v>301.12</v>
      </c>
      <c r="O2794">
        <v>-0.3</v>
      </c>
      <c r="P2794">
        <v>305</v>
      </c>
    </row>
    <row r="2795" spans="1:16" x14ac:dyDescent="0.35">
      <c r="A2795" s="4">
        <v>45839</v>
      </c>
      <c r="B2795" t="s">
        <v>19</v>
      </c>
      <c r="C2795" t="s">
        <v>13</v>
      </c>
      <c r="D2795">
        <v>1</v>
      </c>
      <c r="E2795" s="2">
        <f>(3775+3725+3700*2)/4</f>
        <v>3725</v>
      </c>
      <c r="F2795" s="2">
        <f t="shared" si="453"/>
        <v>3622.6659999999997</v>
      </c>
      <c r="G2795" s="3">
        <v>1</v>
      </c>
      <c r="H2795" t="s">
        <v>27</v>
      </c>
      <c r="I2795" t="s">
        <v>27</v>
      </c>
      <c r="J2795">
        <v>35106</v>
      </c>
      <c r="K2795">
        <v>15000</v>
      </c>
      <c r="L2795" s="2">
        <v>27</v>
      </c>
      <c r="M2795" s="5">
        <v>148.30000000000001</v>
      </c>
      <c r="N2795" s="1">
        <v>301.12</v>
      </c>
      <c r="O2795">
        <v>-0.3</v>
      </c>
      <c r="P2795">
        <v>305</v>
      </c>
    </row>
    <row r="2796" spans="1:16" x14ac:dyDescent="0.35">
      <c r="A2796" s="4">
        <v>45839</v>
      </c>
      <c r="B2796" t="s">
        <v>19</v>
      </c>
      <c r="C2796" t="s">
        <v>14</v>
      </c>
      <c r="D2796">
        <v>1</v>
      </c>
      <c r="E2796" s="2">
        <f>(3721+3736*2+3721)/4</f>
        <v>3728.5</v>
      </c>
      <c r="F2796" s="2">
        <f t="shared" si="453"/>
        <v>3622.6659999999997</v>
      </c>
      <c r="G2796" s="3">
        <v>1</v>
      </c>
      <c r="H2796" t="s">
        <v>27</v>
      </c>
      <c r="I2796" t="s">
        <v>27</v>
      </c>
      <c r="J2796">
        <v>35106</v>
      </c>
      <c r="K2796">
        <v>15000</v>
      </c>
      <c r="L2796" s="2">
        <v>27</v>
      </c>
      <c r="M2796" s="5">
        <v>148.30000000000001</v>
      </c>
      <c r="N2796" s="1">
        <v>301.12</v>
      </c>
      <c r="O2796">
        <v>-0.3</v>
      </c>
      <c r="P2796">
        <v>305</v>
      </c>
    </row>
    <row r="2797" spans="1:16" x14ac:dyDescent="0.35">
      <c r="A2797" s="4">
        <v>45839</v>
      </c>
      <c r="B2797" t="s">
        <v>19</v>
      </c>
      <c r="C2797" t="s">
        <v>15</v>
      </c>
      <c r="D2797">
        <v>1</v>
      </c>
      <c r="E2797" s="2">
        <v>3637.5</v>
      </c>
      <c r="F2797" s="2">
        <f t="shared" si="453"/>
        <v>3622.6659999999997</v>
      </c>
      <c r="G2797" s="3">
        <v>1</v>
      </c>
      <c r="H2797" t="s">
        <v>27</v>
      </c>
      <c r="I2797" t="s">
        <v>27</v>
      </c>
      <c r="J2797">
        <v>35106</v>
      </c>
      <c r="K2797">
        <v>15000</v>
      </c>
      <c r="L2797" s="2">
        <v>27</v>
      </c>
      <c r="M2797" s="5">
        <v>148.30000000000001</v>
      </c>
      <c r="N2797" s="1">
        <v>301.12</v>
      </c>
      <c r="O2797">
        <v>-0.3</v>
      </c>
      <c r="P2797">
        <v>305</v>
      </c>
    </row>
    <row r="2798" spans="1:16" x14ac:dyDescent="0.35">
      <c r="A2798" s="4">
        <v>45839</v>
      </c>
      <c r="B2798" t="s">
        <v>20</v>
      </c>
      <c r="C2798" t="s">
        <v>10</v>
      </c>
      <c r="D2798">
        <v>1</v>
      </c>
      <c r="E2798" s="2">
        <f>(3200+3300+3250+3300)/4</f>
        <v>3262.5</v>
      </c>
      <c r="F2798" s="2">
        <f>(3210.5+3169.13+3175.63+3183.5+3202.25)/5</f>
        <v>3188.2020000000002</v>
      </c>
      <c r="G2798" s="3">
        <v>1</v>
      </c>
      <c r="H2798" t="s">
        <v>27</v>
      </c>
      <c r="I2798" t="s">
        <v>27</v>
      </c>
      <c r="J2798">
        <v>35106</v>
      </c>
      <c r="K2798">
        <v>15000</v>
      </c>
      <c r="L2798" s="2">
        <v>27</v>
      </c>
      <c r="M2798" s="5">
        <v>148.30000000000001</v>
      </c>
      <c r="N2798" s="1">
        <v>301.12</v>
      </c>
      <c r="O2798">
        <v>-0.3</v>
      </c>
      <c r="P2798">
        <v>305</v>
      </c>
    </row>
    <row r="2799" spans="1:16" x14ac:dyDescent="0.35">
      <c r="A2799" s="4">
        <v>45839</v>
      </c>
      <c r="B2799" t="s">
        <v>20</v>
      </c>
      <c r="C2799" t="s">
        <v>11</v>
      </c>
      <c r="D2799">
        <v>1</v>
      </c>
      <c r="E2799" s="2">
        <v>3050</v>
      </c>
      <c r="F2799" s="2">
        <f t="shared" ref="F2799:F2803" si="454">(3210.5+3169.13+3175.63+3183.5+3202.25)/5</f>
        <v>3188.2020000000002</v>
      </c>
      <c r="G2799" s="3">
        <v>1</v>
      </c>
      <c r="H2799" t="s">
        <v>27</v>
      </c>
      <c r="I2799" t="s">
        <v>27</v>
      </c>
      <c r="J2799">
        <v>35106</v>
      </c>
      <c r="K2799">
        <v>15000</v>
      </c>
      <c r="L2799" s="2">
        <v>27</v>
      </c>
      <c r="M2799" s="5">
        <v>148.30000000000001</v>
      </c>
      <c r="N2799" s="1">
        <v>301.12</v>
      </c>
      <c r="O2799">
        <v>-0.3</v>
      </c>
      <c r="P2799">
        <v>305</v>
      </c>
    </row>
    <row r="2800" spans="1:16" x14ac:dyDescent="0.35">
      <c r="A2800" s="4">
        <v>45839</v>
      </c>
      <c r="B2800" t="s">
        <v>20</v>
      </c>
      <c r="C2800" t="s">
        <v>12</v>
      </c>
      <c r="D2800">
        <v>1</v>
      </c>
      <c r="E2800" s="2">
        <v>2880</v>
      </c>
      <c r="F2800" s="2">
        <f t="shared" si="454"/>
        <v>3188.2020000000002</v>
      </c>
      <c r="G2800" s="3">
        <v>1</v>
      </c>
      <c r="H2800" t="s">
        <v>27</v>
      </c>
      <c r="I2800" t="s">
        <v>27</v>
      </c>
      <c r="J2800">
        <v>35106</v>
      </c>
      <c r="K2800">
        <v>15000</v>
      </c>
      <c r="L2800" s="2">
        <v>27</v>
      </c>
      <c r="M2800" s="5">
        <v>148.30000000000001</v>
      </c>
      <c r="N2800" s="1">
        <v>301.12</v>
      </c>
      <c r="O2800">
        <v>-0.3</v>
      </c>
      <c r="P2800">
        <v>305</v>
      </c>
    </row>
    <row r="2801" spans="1:16" x14ac:dyDescent="0.35">
      <c r="A2801" s="4">
        <v>45839</v>
      </c>
      <c r="B2801" t="s">
        <v>20</v>
      </c>
      <c r="C2801" t="s">
        <v>13</v>
      </c>
      <c r="D2801">
        <v>1</v>
      </c>
      <c r="E2801" s="2">
        <f>(3300*2+3325+3375)/4</f>
        <v>3325</v>
      </c>
      <c r="F2801" s="2">
        <f t="shared" si="454"/>
        <v>3188.2020000000002</v>
      </c>
      <c r="G2801" s="3">
        <v>1</v>
      </c>
      <c r="H2801" t="s">
        <v>27</v>
      </c>
      <c r="I2801" t="s">
        <v>27</v>
      </c>
      <c r="J2801">
        <v>35106</v>
      </c>
      <c r="K2801">
        <v>15000</v>
      </c>
      <c r="L2801" s="2">
        <v>27</v>
      </c>
      <c r="M2801" s="5">
        <v>148.30000000000001</v>
      </c>
      <c r="N2801" s="1">
        <v>301.12</v>
      </c>
      <c r="O2801">
        <v>-0.3</v>
      </c>
      <c r="P2801">
        <v>305</v>
      </c>
    </row>
    <row r="2802" spans="1:16" x14ac:dyDescent="0.35">
      <c r="A2802" s="4">
        <v>45839</v>
      </c>
      <c r="B2802" t="s">
        <v>20</v>
      </c>
      <c r="C2802" t="s">
        <v>14</v>
      </c>
      <c r="D2802">
        <v>1</v>
      </c>
      <c r="E2802" s="2">
        <f>(3288*2+3275+3263)/4</f>
        <v>3278.5</v>
      </c>
      <c r="F2802" s="2">
        <f t="shared" si="454"/>
        <v>3188.2020000000002</v>
      </c>
      <c r="G2802" s="3">
        <v>1</v>
      </c>
      <c r="H2802" t="s">
        <v>27</v>
      </c>
      <c r="I2802" t="s">
        <v>27</v>
      </c>
      <c r="J2802">
        <v>35106</v>
      </c>
      <c r="K2802">
        <v>15000</v>
      </c>
      <c r="L2802" s="2">
        <v>27</v>
      </c>
      <c r="M2802" s="5">
        <v>148.30000000000001</v>
      </c>
      <c r="N2802" s="1">
        <v>301.12</v>
      </c>
      <c r="O2802">
        <v>-0.3</v>
      </c>
      <c r="P2802">
        <v>305</v>
      </c>
    </row>
    <row r="2803" spans="1:16" x14ac:dyDescent="0.35">
      <c r="A2803" s="4">
        <v>45839</v>
      </c>
      <c r="B2803" t="s">
        <v>20</v>
      </c>
      <c r="C2803" t="s">
        <v>15</v>
      </c>
      <c r="D2803">
        <v>1</v>
      </c>
      <c r="E2803" s="2">
        <f>(3275*3+3300)/4</f>
        <v>3281.25</v>
      </c>
      <c r="F2803" s="2">
        <f t="shared" si="454"/>
        <v>3188.2020000000002</v>
      </c>
      <c r="G2803" s="3">
        <v>1</v>
      </c>
      <c r="H2803" t="s">
        <v>27</v>
      </c>
      <c r="I2803" t="s">
        <v>27</v>
      </c>
      <c r="J2803">
        <v>35106</v>
      </c>
      <c r="K2803">
        <v>15000</v>
      </c>
      <c r="L2803" s="2">
        <v>27</v>
      </c>
      <c r="M2803" s="5">
        <v>148.30000000000001</v>
      </c>
      <c r="N2803" s="1">
        <v>301.12</v>
      </c>
      <c r="O2803">
        <v>-0.3</v>
      </c>
      <c r="P2803">
        <v>305</v>
      </c>
    </row>
    <row r="2804" spans="1:16" x14ac:dyDescent="0.35">
      <c r="A2804" s="4">
        <v>45839</v>
      </c>
      <c r="B2804" t="s">
        <v>21</v>
      </c>
      <c r="C2804" t="s">
        <v>10</v>
      </c>
      <c r="D2804">
        <v>1</v>
      </c>
      <c r="E2804" s="2">
        <v>3000</v>
      </c>
      <c r="F2804" s="2">
        <f>(3082.88+3043.75+3066.38+3055.5+3070.75)/5</f>
        <v>3063.8519999999999</v>
      </c>
      <c r="G2804" s="3">
        <v>1</v>
      </c>
      <c r="H2804" t="s">
        <v>27</v>
      </c>
      <c r="I2804" t="s">
        <v>27</v>
      </c>
      <c r="J2804">
        <v>35106</v>
      </c>
      <c r="K2804">
        <v>15000</v>
      </c>
      <c r="L2804" s="2">
        <v>27</v>
      </c>
      <c r="M2804" s="5">
        <v>148.30000000000001</v>
      </c>
      <c r="N2804" s="1">
        <v>301.12</v>
      </c>
      <c r="O2804">
        <v>-0.3</v>
      </c>
      <c r="P2804">
        <v>305</v>
      </c>
    </row>
    <row r="2805" spans="1:16" x14ac:dyDescent="0.35">
      <c r="A2805" s="4">
        <v>45839</v>
      </c>
      <c r="B2805" t="s">
        <v>21</v>
      </c>
      <c r="C2805" t="s">
        <v>11</v>
      </c>
      <c r="D2805">
        <v>1</v>
      </c>
      <c r="E2805" s="2">
        <v>2950</v>
      </c>
      <c r="F2805" s="2">
        <f t="shared" ref="F2805:F2809" si="455">(3082.88+3043.75+3066.38+3055.5+3070.75)/5</f>
        <v>3063.8519999999999</v>
      </c>
      <c r="G2805" s="3">
        <v>1</v>
      </c>
      <c r="H2805" t="s">
        <v>27</v>
      </c>
      <c r="I2805" t="s">
        <v>27</v>
      </c>
      <c r="J2805">
        <v>35106</v>
      </c>
      <c r="K2805">
        <v>15000</v>
      </c>
      <c r="L2805" s="2">
        <v>27</v>
      </c>
      <c r="M2805" s="5">
        <v>148.30000000000001</v>
      </c>
      <c r="N2805" s="1">
        <v>301.12</v>
      </c>
      <c r="O2805">
        <v>-0.3</v>
      </c>
      <c r="P2805">
        <v>305</v>
      </c>
    </row>
    <row r="2806" spans="1:16" x14ac:dyDescent="0.35">
      <c r="A2806" s="4">
        <v>45839</v>
      </c>
      <c r="B2806" t="s">
        <v>21</v>
      </c>
      <c r="C2806" t="s">
        <v>12</v>
      </c>
      <c r="D2806">
        <v>1</v>
      </c>
      <c r="E2806" s="2">
        <v>2800</v>
      </c>
      <c r="F2806" s="2">
        <f t="shared" si="455"/>
        <v>3063.8519999999999</v>
      </c>
      <c r="G2806" s="3">
        <v>1</v>
      </c>
      <c r="H2806" t="s">
        <v>27</v>
      </c>
      <c r="I2806" t="s">
        <v>27</v>
      </c>
      <c r="J2806">
        <v>35106</v>
      </c>
      <c r="K2806">
        <v>15000</v>
      </c>
      <c r="L2806" s="2">
        <v>27</v>
      </c>
      <c r="M2806" s="5">
        <v>148.30000000000001</v>
      </c>
      <c r="N2806" s="1">
        <v>301.12</v>
      </c>
      <c r="O2806">
        <v>-0.3</v>
      </c>
      <c r="P2806">
        <v>305</v>
      </c>
    </row>
    <row r="2807" spans="1:16" x14ac:dyDescent="0.35">
      <c r="A2807" s="4">
        <v>45839</v>
      </c>
      <c r="B2807" t="s">
        <v>21</v>
      </c>
      <c r="C2807" t="s">
        <v>13</v>
      </c>
      <c r="D2807">
        <v>1</v>
      </c>
      <c r="E2807" s="2">
        <f>(3275+3200+3100+3175)/4</f>
        <v>3187.5</v>
      </c>
      <c r="F2807" s="2">
        <f t="shared" si="455"/>
        <v>3063.8519999999999</v>
      </c>
      <c r="G2807" s="3">
        <v>1</v>
      </c>
      <c r="H2807" t="s">
        <v>27</v>
      </c>
      <c r="I2807" t="s">
        <v>27</v>
      </c>
      <c r="J2807">
        <v>35106</v>
      </c>
      <c r="K2807">
        <v>15000</v>
      </c>
      <c r="L2807" s="2">
        <v>27</v>
      </c>
      <c r="M2807" s="5">
        <v>148.30000000000001</v>
      </c>
      <c r="N2807" s="1">
        <v>301.12</v>
      </c>
      <c r="O2807">
        <v>-0.3</v>
      </c>
      <c r="P2807">
        <v>305</v>
      </c>
    </row>
    <row r="2808" spans="1:16" x14ac:dyDescent="0.35">
      <c r="A2808" s="4">
        <v>45839</v>
      </c>
      <c r="B2808" t="s">
        <v>21</v>
      </c>
      <c r="C2808" t="s">
        <v>14</v>
      </c>
      <c r="D2808">
        <v>1</v>
      </c>
      <c r="E2808" s="2">
        <f>(3206+3200+3213+3200)/4</f>
        <v>3204.75</v>
      </c>
      <c r="F2808" s="2">
        <f t="shared" si="455"/>
        <v>3063.8519999999999</v>
      </c>
      <c r="G2808" s="3">
        <v>1</v>
      </c>
      <c r="H2808" t="s">
        <v>27</v>
      </c>
      <c r="I2808" t="s">
        <v>27</v>
      </c>
      <c r="J2808">
        <v>35106</v>
      </c>
      <c r="K2808">
        <v>15000</v>
      </c>
      <c r="L2808" s="2">
        <v>27</v>
      </c>
      <c r="M2808" s="5">
        <v>148.30000000000001</v>
      </c>
      <c r="N2808" s="1">
        <v>301.12</v>
      </c>
      <c r="O2808">
        <v>-0.3</v>
      </c>
      <c r="P2808">
        <v>305</v>
      </c>
    </row>
    <row r="2809" spans="1:16" x14ac:dyDescent="0.35">
      <c r="A2809" s="4">
        <v>45839</v>
      </c>
      <c r="B2809" t="s">
        <v>21</v>
      </c>
      <c r="C2809" t="s">
        <v>15</v>
      </c>
      <c r="D2809">
        <v>1</v>
      </c>
      <c r="E2809" s="2">
        <f>(3250*3+3225)/4</f>
        <v>3243.75</v>
      </c>
      <c r="F2809" s="2">
        <f t="shared" si="455"/>
        <v>3063.8519999999999</v>
      </c>
      <c r="G2809" s="3">
        <v>1</v>
      </c>
      <c r="H2809" t="s">
        <v>27</v>
      </c>
      <c r="I2809" t="s">
        <v>27</v>
      </c>
      <c r="J2809">
        <v>35106</v>
      </c>
      <c r="K2809">
        <v>15000</v>
      </c>
      <c r="L2809" s="2">
        <v>27</v>
      </c>
      <c r="M2809" s="5">
        <v>148.30000000000001</v>
      </c>
      <c r="N2809" s="1">
        <v>301.12</v>
      </c>
      <c r="O2809">
        <v>-0.3</v>
      </c>
      <c r="P2809">
        <v>305</v>
      </c>
    </row>
    <row r="2810" spans="1:16" x14ac:dyDescent="0.35">
      <c r="A2810" s="4">
        <v>45839</v>
      </c>
      <c r="B2810" t="s">
        <v>22</v>
      </c>
      <c r="C2810" t="s">
        <v>10</v>
      </c>
      <c r="D2810">
        <v>0</v>
      </c>
      <c r="E2810" s="2" t="s">
        <v>27</v>
      </c>
      <c r="F2810" s="2">
        <f>(2825+2913+2725)/3</f>
        <v>2821</v>
      </c>
      <c r="G2810" s="3">
        <v>1</v>
      </c>
      <c r="H2810" t="s">
        <v>27</v>
      </c>
      <c r="I2810" t="s">
        <v>27</v>
      </c>
      <c r="J2810">
        <v>35106</v>
      </c>
      <c r="K2810">
        <v>15000</v>
      </c>
      <c r="L2810" s="2">
        <v>27</v>
      </c>
      <c r="M2810" s="5">
        <v>148.30000000000001</v>
      </c>
      <c r="N2810" s="1">
        <v>301.12</v>
      </c>
      <c r="O2810">
        <v>-0.3</v>
      </c>
      <c r="P2810">
        <v>305</v>
      </c>
    </row>
    <row r="2811" spans="1:16" x14ac:dyDescent="0.35">
      <c r="A2811" s="4">
        <v>45839</v>
      </c>
      <c r="B2811" t="s">
        <v>22</v>
      </c>
      <c r="C2811" t="s">
        <v>11</v>
      </c>
      <c r="D2811">
        <v>0</v>
      </c>
      <c r="E2811" s="2" t="s">
        <v>27</v>
      </c>
      <c r="F2811" s="2">
        <f t="shared" ref="F2811:F2815" si="456">(2825+2913+2725)/3</f>
        <v>2821</v>
      </c>
      <c r="G2811" s="3">
        <v>1</v>
      </c>
      <c r="H2811" t="s">
        <v>27</v>
      </c>
      <c r="I2811" t="s">
        <v>27</v>
      </c>
      <c r="J2811">
        <v>35106</v>
      </c>
      <c r="K2811">
        <v>15000</v>
      </c>
      <c r="L2811" s="2">
        <v>27</v>
      </c>
      <c r="M2811" s="5">
        <v>148.30000000000001</v>
      </c>
      <c r="N2811" s="1">
        <v>301.12</v>
      </c>
      <c r="O2811">
        <v>-0.3</v>
      </c>
      <c r="P2811">
        <v>305</v>
      </c>
    </row>
    <row r="2812" spans="1:16" x14ac:dyDescent="0.35">
      <c r="A2812" s="4">
        <v>45839</v>
      </c>
      <c r="B2812" t="s">
        <v>22</v>
      </c>
      <c r="C2812" t="s">
        <v>12</v>
      </c>
      <c r="D2812">
        <v>0</v>
      </c>
      <c r="E2812" s="2" t="s">
        <v>27</v>
      </c>
      <c r="F2812" s="2">
        <f t="shared" si="456"/>
        <v>2821</v>
      </c>
      <c r="G2812" s="3">
        <v>1</v>
      </c>
      <c r="H2812" t="s">
        <v>27</v>
      </c>
      <c r="I2812" t="s">
        <v>27</v>
      </c>
      <c r="J2812">
        <v>35106</v>
      </c>
      <c r="K2812">
        <v>15000</v>
      </c>
      <c r="L2812" s="2">
        <v>27</v>
      </c>
      <c r="M2812" s="5">
        <v>148.30000000000001</v>
      </c>
      <c r="N2812" s="1">
        <v>301.12</v>
      </c>
      <c r="O2812">
        <v>-0.3</v>
      </c>
      <c r="P2812">
        <v>305</v>
      </c>
    </row>
    <row r="2813" spans="1:16" x14ac:dyDescent="0.35">
      <c r="A2813" s="4">
        <v>45839</v>
      </c>
      <c r="B2813" t="s">
        <v>22</v>
      </c>
      <c r="C2813" t="s">
        <v>13</v>
      </c>
      <c r="D2813">
        <v>0</v>
      </c>
      <c r="E2813" s="2" t="s">
        <v>27</v>
      </c>
      <c r="F2813" s="2">
        <f t="shared" si="456"/>
        <v>2821</v>
      </c>
      <c r="G2813" s="3">
        <v>1</v>
      </c>
      <c r="H2813" t="s">
        <v>27</v>
      </c>
      <c r="I2813" t="s">
        <v>27</v>
      </c>
      <c r="J2813">
        <v>35106</v>
      </c>
      <c r="K2813">
        <v>15000</v>
      </c>
      <c r="L2813" s="2">
        <v>27</v>
      </c>
      <c r="M2813" s="5">
        <v>148.30000000000001</v>
      </c>
      <c r="N2813" s="1">
        <v>301.12</v>
      </c>
      <c r="O2813">
        <v>-0.3</v>
      </c>
      <c r="P2813">
        <v>305</v>
      </c>
    </row>
    <row r="2814" spans="1:16" x14ac:dyDescent="0.35">
      <c r="A2814" s="4">
        <v>45839</v>
      </c>
      <c r="B2814" t="s">
        <v>22</v>
      </c>
      <c r="C2814" t="s">
        <v>14</v>
      </c>
      <c r="D2814">
        <v>1</v>
      </c>
      <c r="E2814" s="2">
        <f>(2825+2913+2725)/3</f>
        <v>2821</v>
      </c>
      <c r="F2814" s="2">
        <f t="shared" si="456"/>
        <v>2821</v>
      </c>
      <c r="G2814" s="3">
        <v>1</v>
      </c>
      <c r="H2814" t="s">
        <v>27</v>
      </c>
      <c r="I2814" t="s">
        <v>27</v>
      </c>
      <c r="J2814">
        <v>35106</v>
      </c>
      <c r="K2814">
        <v>15000</v>
      </c>
      <c r="L2814" s="2">
        <v>27</v>
      </c>
      <c r="M2814" s="5">
        <v>148.30000000000001</v>
      </c>
      <c r="N2814" s="1">
        <v>301.12</v>
      </c>
      <c r="O2814">
        <v>-0.3</v>
      </c>
      <c r="P2814">
        <v>305</v>
      </c>
    </row>
    <row r="2815" spans="1:16" x14ac:dyDescent="0.35">
      <c r="A2815" s="4">
        <v>45839</v>
      </c>
      <c r="B2815" t="s">
        <v>22</v>
      </c>
      <c r="C2815" t="s">
        <v>15</v>
      </c>
      <c r="D2815">
        <v>0</v>
      </c>
      <c r="E2815" s="2" t="s">
        <v>27</v>
      </c>
      <c r="F2815" s="2">
        <f t="shared" si="456"/>
        <v>2821</v>
      </c>
      <c r="G2815" s="3">
        <v>1</v>
      </c>
      <c r="H2815" t="s">
        <v>27</v>
      </c>
      <c r="I2815" t="s">
        <v>27</v>
      </c>
      <c r="J2815">
        <v>35106</v>
      </c>
      <c r="K2815">
        <v>15000</v>
      </c>
      <c r="L2815" s="2">
        <v>27</v>
      </c>
      <c r="M2815" s="5">
        <v>148.30000000000001</v>
      </c>
      <c r="N2815" s="1">
        <v>301.12</v>
      </c>
      <c r="O2815">
        <v>-0.3</v>
      </c>
      <c r="P2815">
        <v>305</v>
      </c>
    </row>
    <row r="2816" spans="1:16" x14ac:dyDescent="0.35">
      <c r="A2816" s="4">
        <v>45870</v>
      </c>
      <c r="B2816" t="s">
        <v>16</v>
      </c>
      <c r="C2816" t="s">
        <v>10</v>
      </c>
      <c r="D2816">
        <v>1</v>
      </c>
      <c r="E2816" s="2">
        <v>4500</v>
      </c>
      <c r="F2816" s="2">
        <f>(4691.25+4566.25*2+4560)/4</f>
        <v>4595.9375</v>
      </c>
      <c r="G2816" s="3">
        <v>1</v>
      </c>
      <c r="H2816" t="s">
        <v>27</v>
      </c>
      <c r="I2816" t="s">
        <v>27</v>
      </c>
      <c r="J2816">
        <v>39860</v>
      </c>
      <c r="K2816">
        <v>15000</v>
      </c>
      <c r="L2816" s="2">
        <v>26.8</v>
      </c>
      <c r="M2816" s="5">
        <v>135</v>
      </c>
      <c r="N2816" s="1">
        <v>301.12</v>
      </c>
      <c r="O2816">
        <v>1.2</v>
      </c>
      <c r="P2816">
        <v>299</v>
      </c>
    </row>
    <row r="2817" spans="1:16" x14ac:dyDescent="0.35">
      <c r="A2817" s="4">
        <v>45870</v>
      </c>
      <c r="B2817" t="s">
        <v>16</v>
      </c>
      <c r="C2817" t="s">
        <v>11</v>
      </c>
      <c r="D2817">
        <v>0</v>
      </c>
      <c r="E2817" s="2" t="s">
        <v>27</v>
      </c>
      <c r="F2817" s="2">
        <f t="shared" ref="F2817:F2821" si="457">(4691.25+4566.25*2+4560)/4</f>
        <v>4595.9375</v>
      </c>
      <c r="G2817" s="3">
        <v>1</v>
      </c>
      <c r="H2817" t="s">
        <v>27</v>
      </c>
      <c r="I2817" t="s">
        <v>27</v>
      </c>
      <c r="J2817">
        <v>39860</v>
      </c>
      <c r="K2817">
        <v>15000</v>
      </c>
      <c r="L2817" s="2">
        <v>26.8</v>
      </c>
      <c r="M2817" s="5">
        <v>135</v>
      </c>
      <c r="N2817" s="1">
        <v>301.12</v>
      </c>
      <c r="O2817">
        <v>1.2</v>
      </c>
      <c r="P2817">
        <v>299</v>
      </c>
    </row>
    <row r="2818" spans="1:16" x14ac:dyDescent="0.35">
      <c r="A2818" s="4">
        <v>45870</v>
      </c>
      <c r="B2818" t="s">
        <v>16</v>
      </c>
      <c r="C2818" t="s">
        <v>12</v>
      </c>
      <c r="D2818">
        <v>1</v>
      </c>
      <c r="E2818" s="2">
        <v>4490</v>
      </c>
      <c r="F2818" s="2">
        <f t="shared" si="457"/>
        <v>4595.9375</v>
      </c>
      <c r="G2818" s="3">
        <v>1</v>
      </c>
      <c r="H2818" t="s">
        <v>27</v>
      </c>
      <c r="I2818" t="s">
        <v>27</v>
      </c>
      <c r="J2818">
        <v>39860</v>
      </c>
      <c r="K2818">
        <v>15000</v>
      </c>
      <c r="L2818" s="2">
        <v>26.8</v>
      </c>
      <c r="M2818" s="5">
        <v>135</v>
      </c>
      <c r="N2818" s="1">
        <v>301.12</v>
      </c>
      <c r="O2818">
        <v>1.2</v>
      </c>
      <c r="P2818">
        <v>299</v>
      </c>
    </row>
    <row r="2819" spans="1:16" x14ac:dyDescent="0.35">
      <c r="A2819" s="4">
        <v>45870</v>
      </c>
      <c r="B2819" t="s">
        <v>16</v>
      </c>
      <c r="C2819" t="s">
        <v>13</v>
      </c>
      <c r="D2819">
        <v>1</v>
      </c>
      <c r="E2819" s="2">
        <f>(4725+4750*2+5250)/4</f>
        <v>4868.75</v>
      </c>
      <c r="F2819" s="2">
        <f t="shared" si="457"/>
        <v>4595.9375</v>
      </c>
      <c r="G2819" s="3">
        <v>1</v>
      </c>
      <c r="H2819" t="s">
        <v>27</v>
      </c>
      <c r="I2819" t="s">
        <v>27</v>
      </c>
      <c r="J2819">
        <v>39860</v>
      </c>
      <c r="K2819">
        <v>15000</v>
      </c>
      <c r="L2819" s="2">
        <v>26.8</v>
      </c>
      <c r="M2819" s="5">
        <v>135</v>
      </c>
      <c r="N2819" s="1">
        <v>301.12</v>
      </c>
      <c r="O2819">
        <v>1.2</v>
      </c>
      <c r="P2819">
        <v>299</v>
      </c>
    </row>
    <row r="2820" spans="1:16" x14ac:dyDescent="0.35">
      <c r="A2820" s="4">
        <v>45870</v>
      </c>
      <c r="B2820" t="s">
        <v>16</v>
      </c>
      <c r="C2820" t="s">
        <v>14</v>
      </c>
      <c r="D2820">
        <v>1</v>
      </c>
      <c r="E2820" s="2">
        <v>4525</v>
      </c>
      <c r="F2820" s="2">
        <f t="shared" si="457"/>
        <v>4595.9375</v>
      </c>
      <c r="G2820" s="3">
        <v>1</v>
      </c>
      <c r="H2820" t="s">
        <v>27</v>
      </c>
      <c r="I2820" t="s">
        <v>27</v>
      </c>
      <c r="J2820">
        <v>39860</v>
      </c>
      <c r="K2820">
        <v>15000</v>
      </c>
      <c r="L2820" s="2">
        <v>26.8</v>
      </c>
      <c r="M2820" s="5">
        <v>135</v>
      </c>
      <c r="N2820" s="1">
        <v>301.12</v>
      </c>
      <c r="O2820">
        <v>1.2</v>
      </c>
      <c r="P2820">
        <v>299</v>
      </c>
    </row>
    <row r="2821" spans="1:16" x14ac:dyDescent="0.35">
      <c r="A2821" s="4">
        <v>45870</v>
      </c>
      <c r="B2821" t="s">
        <v>16</v>
      </c>
      <c r="C2821" t="s">
        <v>15</v>
      </c>
      <c r="D2821">
        <v>0</v>
      </c>
      <c r="E2821" s="2" t="s">
        <v>27</v>
      </c>
      <c r="F2821" s="2">
        <f t="shared" si="457"/>
        <v>4595.9375</v>
      </c>
      <c r="G2821" s="3">
        <v>1</v>
      </c>
      <c r="H2821" t="s">
        <v>27</v>
      </c>
      <c r="I2821" t="s">
        <v>27</v>
      </c>
      <c r="J2821">
        <v>39860</v>
      </c>
      <c r="K2821">
        <v>15000</v>
      </c>
      <c r="L2821" s="2">
        <v>26.8</v>
      </c>
      <c r="M2821" s="5">
        <v>135</v>
      </c>
      <c r="N2821" s="1">
        <v>301.12</v>
      </c>
      <c r="O2821">
        <v>1.2</v>
      </c>
      <c r="P2821">
        <v>299</v>
      </c>
    </row>
    <row r="2822" spans="1:16" x14ac:dyDescent="0.35">
      <c r="A2822" s="4">
        <v>45870</v>
      </c>
      <c r="B2822" t="s">
        <v>17</v>
      </c>
      <c r="C2822" t="s">
        <v>10</v>
      </c>
      <c r="D2822">
        <v>1</v>
      </c>
      <c r="E2822" s="2">
        <v>3925</v>
      </c>
      <c r="F2822" s="2">
        <f>(4059+4090.6+4072.4+4117.4)/4</f>
        <v>4084.85</v>
      </c>
      <c r="G2822" s="3">
        <v>1</v>
      </c>
      <c r="H2822" t="s">
        <v>27</v>
      </c>
      <c r="I2822" t="s">
        <v>27</v>
      </c>
      <c r="J2822">
        <v>39860</v>
      </c>
      <c r="K2822">
        <v>15000</v>
      </c>
      <c r="L2822" s="2">
        <v>26.8</v>
      </c>
      <c r="M2822" s="5">
        <v>135</v>
      </c>
      <c r="N2822" s="1">
        <v>301.12</v>
      </c>
      <c r="O2822">
        <v>1.2</v>
      </c>
      <c r="P2822">
        <v>299</v>
      </c>
    </row>
    <row r="2823" spans="1:16" x14ac:dyDescent="0.35">
      <c r="A2823" s="4">
        <v>45870</v>
      </c>
      <c r="B2823" t="s">
        <v>17</v>
      </c>
      <c r="C2823" t="s">
        <v>11</v>
      </c>
      <c r="D2823">
        <v>1</v>
      </c>
      <c r="E2823" s="2">
        <v>4075</v>
      </c>
      <c r="F2823" s="2">
        <f t="shared" ref="F2823:F2827" si="458">(4059+4090.6+4072.4+4117.4)/4</f>
        <v>4084.85</v>
      </c>
      <c r="G2823" s="3">
        <v>1</v>
      </c>
      <c r="H2823" t="s">
        <v>27</v>
      </c>
      <c r="I2823" t="s">
        <v>27</v>
      </c>
      <c r="J2823">
        <v>39860</v>
      </c>
      <c r="K2823">
        <v>15000</v>
      </c>
      <c r="L2823" s="2">
        <v>26.8</v>
      </c>
      <c r="M2823" s="5">
        <v>135</v>
      </c>
      <c r="N2823" s="1">
        <v>301.12</v>
      </c>
      <c r="O2823">
        <v>1.2</v>
      </c>
      <c r="P2823">
        <v>299</v>
      </c>
    </row>
    <row r="2824" spans="1:16" x14ac:dyDescent="0.35">
      <c r="A2824" s="4">
        <v>45870</v>
      </c>
      <c r="B2824" t="s">
        <v>17</v>
      </c>
      <c r="C2824" t="s">
        <v>12</v>
      </c>
      <c r="D2824">
        <v>1</v>
      </c>
      <c r="E2824" s="2">
        <v>4070</v>
      </c>
      <c r="F2824" s="2">
        <f t="shared" si="458"/>
        <v>4084.85</v>
      </c>
      <c r="G2824" s="3">
        <v>1</v>
      </c>
      <c r="H2824" t="s">
        <v>27</v>
      </c>
      <c r="I2824" t="s">
        <v>27</v>
      </c>
      <c r="J2824">
        <v>39860</v>
      </c>
      <c r="K2824">
        <v>15000</v>
      </c>
      <c r="L2824" s="2">
        <v>26.8</v>
      </c>
      <c r="M2824" s="5">
        <v>135</v>
      </c>
      <c r="N2824" s="1">
        <v>301.12</v>
      </c>
      <c r="O2824">
        <v>1.2</v>
      </c>
      <c r="P2824">
        <v>299</v>
      </c>
    </row>
    <row r="2825" spans="1:16" x14ac:dyDescent="0.35">
      <c r="A2825" s="4">
        <v>45870</v>
      </c>
      <c r="B2825" t="s">
        <v>17</v>
      </c>
      <c r="C2825" t="s">
        <v>13</v>
      </c>
      <c r="D2825">
        <v>1</v>
      </c>
      <c r="E2825" s="2">
        <f>(4350+4225+4300+4075)/4</f>
        <v>4237.5</v>
      </c>
      <c r="F2825" s="2">
        <f t="shared" si="458"/>
        <v>4084.85</v>
      </c>
      <c r="G2825" s="3">
        <v>1</v>
      </c>
      <c r="H2825" t="s">
        <v>27</v>
      </c>
      <c r="I2825" t="s">
        <v>27</v>
      </c>
      <c r="J2825">
        <v>39860</v>
      </c>
      <c r="K2825">
        <v>15000</v>
      </c>
      <c r="L2825" s="2">
        <v>26.8</v>
      </c>
      <c r="M2825" s="5">
        <v>135</v>
      </c>
      <c r="N2825" s="1">
        <v>301.12</v>
      </c>
      <c r="O2825">
        <v>1.2</v>
      </c>
      <c r="P2825">
        <v>299</v>
      </c>
    </row>
    <row r="2826" spans="1:16" x14ac:dyDescent="0.35">
      <c r="A2826" s="4">
        <v>45870</v>
      </c>
      <c r="B2826" t="s">
        <v>17</v>
      </c>
      <c r="C2826" t="s">
        <v>14</v>
      </c>
      <c r="D2826">
        <v>1</v>
      </c>
      <c r="E2826" s="2">
        <f>(4100+4133+4067+4167)/4</f>
        <v>4116.75</v>
      </c>
      <c r="F2826" s="2">
        <f t="shared" si="458"/>
        <v>4084.85</v>
      </c>
      <c r="G2826" s="3">
        <v>1</v>
      </c>
      <c r="H2826" t="s">
        <v>27</v>
      </c>
      <c r="I2826" t="s">
        <v>27</v>
      </c>
      <c r="J2826">
        <v>39860</v>
      </c>
      <c r="K2826">
        <v>15000</v>
      </c>
      <c r="L2826" s="2">
        <v>26.8</v>
      </c>
      <c r="M2826" s="5">
        <v>135</v>
      </c>
      <c r="N2826" s="1">
        <v>301.12</v>
      </c>
      <c r="O2826">
        <v>1.2</v>
      </c>
      <c r="P2826">
        <v>299</v>
      </c>
    </row>
    <row r="2827" spans="1:16" x14ac:dyDescent="0.35">
      <c r="A2827" s="4">
        <v>45870</v>
      </c>
      <c r="B2827" t="s">
        <v>17</v>
      </c>
      <c r="C2827" t="s">
        <v>15</v>
      </c>
      <c r="D2827">
        <v>0</v>
      </c>
      <c r="E2827" s="2" t="s">
        <v>27</v>
      </c>
      <c r="F2827" s="2">
        <f t="shared" si="458"/>
        <v>4084.85</v>
      </c>
      <c r="G2827" s="3">
        <v>1</v>
      </c>
      <c r="H2827" t="s">
        <v>27</v>
      </c>
      <c r="I2827" t="s">
        <v>27</v>
      </c>
      <c r="J2827">
        <v>39860</v>
      </c>
      <c r="K2827">
        <v>15000</v>
      </c>
      <c r="L2827" s="2">
        <v>26.8</v>
      </c>
      <c r="M2827" s="5">
        <v>135</v>
      </c>
      <c r="N2827" s="1">
        <v>301.12</v>
      </c>
      <c r="O2827">
        <v>1.2</v>
      </c>
      <c r="P2827">
        <v>299</v>
      </c>
    </row>
    <row r="2828" spans="1:16" x14ac:dyDescent="0.35">
      <c r="A2828" s="4">
        <v>45870</v>
      </c>
      <c r="B2828" t="s">
        <v>18</v>
      </c>
      <c r="C2828" t="s">
        <v>10</v>
      </c>
      <c r="D2828">
        <v>1</v>
      </c>
      <c r="E2828" s="2">
        <v>3762.5</v>
      </c>
      <c r="F2828" s="2">
        <f>(3819+3788.38+3789+3810.25)/4</f>
        <v>3801.6575000000003</v>
      </c>
      <c r="G2828" s="3">
        <v>1</v>
      </c>
      <c r="H2828" t="s">
        <v>27</v>
      </c>
      <c r="I2828" t="s">
        <v>27</v>
      </c>
      <c r="J2828">
        <v>39860</v>
      </c>
      <c r="K2828">
        <v>15000</v>
      </c>
      <c r="L2828" s="2">
        <v>26.8</v>
      </c>
      <c r="M2828" s="5">
        <v>135</v>
      </c>
      <c r="N2828" s="1">
        <v>301.12</v>
      </c>
      <c r="O2828">
        <v>1.2</v>
      </c>
      <c r="P2828">
        <v>299</v>
      </c>
    </row>
    <row r="2829" spans="1:16" x14ac:dyDescent="0.35">
      <c r="A2829" s="4">
        <v>45870</v>
      </c>
      <c r="B2829" t="s">
        <v>18</v>
      </c>
      <c r="C2829" t="s">
        <v>11</v>
      </c>
      <c r="D2829">
        <v>1</v>
      </c>
      <c r="E2829" s="2">
        <v>3925</v>
      </c>
      <c r="F2829" s="2">
        <f t="shared" ref="F2829:F2833" si="459">(3819+3788.38+3789+3810.25)/4</f>
        <v>3801.6575000000003</v>
      </c>
      <c r="G2829" s="3">
        <v>1</v>
      </c>
      <c r="H2829" t="s">
        <v>27</v>
      </c>
      <c r="I2829" t="s">
        <v>27</v>
      </c>
      <c r="J2829">
        <v>39860</v>
      </c>
      <c r="K2829">
        <v>15000</v>
      </c>
      <c r="L2829" s="2">
        <v>26.8</v>
      </c>
      <c r="M2829" s="5">
        <v>135</v>
      </c>
      <c r="N2829" s="1">
        <v>301.12</v>
      </c>
      <c r="O2829">
        <v>1.2</v>
      </c>
      <c r="P2829">
        <v>299</v>
      </c>
    </row>
    <row r="2830" spans="1:16" x14ac:dyDescent="0.35">
      <c r="A2830" s="4">
        <v>45870</v>
      </c>
      <c r="B2830" t="s">
        <v>18</v>
      </c>
      <c r="C2830" t="s">
        <v>12</v>
      </c>
      <c r="D2830">
        <v>1</v>
      </c>
      <c r="E2830" s="2">
        <v>3695</v>
      </c>
      <c r="F2830" s="2">
        <f t="shared" si="459"/>
        <v>3801.6575000000003</v>
      </c>
      <c r="G2830" s="3">
        <v>1</v>
      </c>
      <c r="H2830" t="s">
        <v>27</v>
      </c>
      <c r="I2830" t="s">
        <v>27</v>
      </c>
      <c r="J2830">
        <v>39860</v>
      </c>
      <c r="K2830">
        <v>15000</v>
      </c>
      <c r="L2830" s="2">
        <v>26.8</v>
      </c>
      <c r="M2830" s="5">
        <v>135</v>
      </c>
      <c r="N2830" s="1">
        <v>301.12</v>
      </c>
      <c r="O2830">
        <v>1.2</v>
      </c>
      <c r="P2830">
        <v>299</v>
      </c>
    </row>
    <row r="2831" spans="1:16" x14ac:dyDescent="0.35">
      <c r="A2831" s="4">
        <v>45870</v>
      </c>
      <c r="B2831" t="s">
        <v>18</v>
      </c>
      <c r="C2831" t="s">
        <v>13</v>
      </c>
      <c r="D2831">
        <v>1</v>
      </c>
      <c r="E2831" s="2">
        <f>(3950+3875+3900+4000)/4</f>
        <v>3931.25</v>
      </c>
      <c r="F2831" s="2">
        <f t="shared" si="459"/>
        <v>3801.6575000000003</v>
      </c>
      <c r="G2831" s="3">
        <v>1</v>
      </c>
      <c r="H2831" t="s">
        <v>27</v>
      </c>
      <c r="I2831" t="s">
        <v>27</v>
      </c>
      <c r="J2831">
        <v>39860</v>
      </c>
      <c r="K2831">
        <v>15000</v>
      </c>
      <c r="L2831" s="2">
        <v>26.8</v>
      </c>
      <c r="M2831" s="5">
        <v>135</v>
      </c>
      <c r="N2831" s="1">
        <v>301.12</v>
      </c>
      <c r="O2831">
        <v>1.2</v>
      </c>
      <c r="P2831">
        <v>299</v>
      </c>
    </row>
    <row r="2832" spans="1:16" x14ac:dyDescent="0.35">
      <c r="A2832" s="4">
        <v>45870</v>
      </c>
      <c r="B2832" t="s">
        <v>18</v>
      </c>
      <c r="C2832" t="s">
        <v>14</v>
      </c>
      <c r="D2832">
        <v>1</v>
      </c>
      <c r="E2832" s="2">
        <f>(3862+3837+3812+3912)/4</f>
        <v>3855.75</v>
      </c>
      <c r="F2832" s="2">
        <f t="shared" si="459"/>
        <v>3801.6575000000003</v>
      </c>
      <c r="G2832" s="3">
        <v>1</v>
      </c>
      <c r="H2832" t="s">
        <v>27</v>
      </c>
      <c r="I2832" t="s">
        <v>27</v>
      </c>
      <c r="J2832">
        <v>39860</v>
      </c>
      <c r="K2832">
        <v>15000</v>
      </c>
      <c r="L2832" s="2">
        <v>26.8</v>
      </c>
      <c r="M2832" s="5">
        <v>135</v>
      </c>
      <c r="N2832" s="1">
        <v>301.12</v>
      </c>
      <c r="O2832">
        <v>1.2</v>
      </c>
      <c r="P2832">
        <v>299</v>
      </c>
    </row>
    <row r="2833" spans="1:16" x14ac:dyDescent="0.35">
      <c r="A2833" s="4">
        <v>45870</v>
      </c>
      <c r="B2833" t="s">
        <v>18</v>
      </c>
      <c r="C2833" t="s">
        <v>15</v>
      </c>
      <c r="D2833">
        <v>1</v>
      </c>
      <c r="E2833" s="2">
        <f>(3875+3850+3825+3825)/4</f>
        <v>3843.75</v>
      </c>
      <c r="F2833" s="2">
        <f t="shared" si="459"/>
        <v>3801.6575000000003</v>
      </c>
      <c r="G2833" s="3">
        <v>1</v>
      </c>
      <c r="H2833" t="s">
        <v>27</v>
      </c>
      <c r="I2833" t="s">
        <v>27</v>
      </c>
      <c r="J2833">
        <v>39860</v>
      </c>
      <c r="K2833">
        <v>15000</v>
      </c>
      <c r="L2833" s="2">
        <v>26.8</v>
      </c>
      <c r="M2833" s="5">
        <v>135</v>
      </c>
      <c r="N2833" s="1">
        <v>301.12</v>
      </c>
      <c r="O2833">
        <v>1.2</v>
      </c>
      <c r="P2833">
        <v>299</v>
      </c>
    </row>
    <row r="2834" spans="1:16" x14ac:dyDescent="0.35">
      <c r="A2834" s="4">
        <v>45870</v>
      </c>
      <c r="B2834" t="s">
        <v>19</v>
      </c>
      <c r="C2834" t="s">
        <v>10</v>
      </c>
      <c r="D2834">
        <v>1</v>
      </c>
      <c r="E2834" s="2">
        <v>3670</v>
      </c>
      <c r="F2834" s="2">
        <f>(3636.22+3648.22+3627.89+3641.22)/4</f>
        <v>3638.3874999999998</v>
      </c>
      <c r="G2834" s="3">
        <v>1</v>
      </c>
      <c r="H2834" t="s">
        <v>27</v>
      </c>
      <c r="I2834" t="s">
        <v>27</v>
      </c>
      <c r="J2834">
        <v>39860</v>
      </c>
      <c r="K2834">
        <v>15000</v>
      </c>
      <c r="L2834" s="2">
        <v>26.8</v>
      </c>
      <c r="M2834" s="5">
        <v>135</v>
      </c>
      <c r="N2834" s="1">
        <v>301.12</v>
      </c>
      <c r="O2834">
        <v>1.2</v>
      </c>
      <c r="P2834">
        <v>299</v>
      </c>
    </row>
    <row r="2835" spans="1:16" x14ac:dyDescent="0.35">
      <c r="A2835" s="4">
        <v>45870</v>
      </c>
      <c r="B2835" t="s">
        <v>19</v>
      </c>
      <c r="C2835" t="s">
        <v>11</v>
      </c>
      <c r="D2835">
        <v>1</v>
      </c>
      <c r="E2835" s="2">
        <v>3707.25</v>
      </c>
      <c r="F2835" s="2">
        <f t="shared" ref="F2835:F2839" si="460">(3636.22+3648.22+3627.89+3641.22)/4</f>
        <v>3638.3874999999998</v>
      </c>
      <c r="G2835" s="3">
        <v>1</v>
      </c>
      <c r="H2835" t="s">
        <v>27</v>
      </c>
      <c r="I2835" t="s">
        <v>27</v>
      </c>
      <c r="J2835">
        <v>39860</v>
      </c>
      <c r="K2835">
        <v>15000</v>
      </c>
      <c r="L2835" s="2">
        <v>26.8</v>
      </c>
      <c r="M2835" s="5">
        <v>135</v>
      </c>
      <c r="N2835" s="1">
        <v>301.12</v>
      </c>
      <c r="O2835">
        <v>1.2</v>
      </c>
      <c r="P2835">
        <v>299</v>
      </c>
    </row>
    <row r="2836" spans="1:16" x14ac:dyDescent="0.35">
      <c r="A2836" s="4">
        <v>45870</v>
      </c>
      <c r="B2836" t="s">
        <v>19</v>
      </c>
      <c r="C2836" t="s">
        <v>12</v>
      </c>
      <c r="D2836">
        <v>1</v>
      </c>
      <c r="E2836" s="2">
        <v>3490</v>
      </c>
      <c r="F2836" s="2">
        <f t="shared" si="460"/>
        <v>3638.3874999999998</v>
      </c>
      <c r="G2836" s="3">
        <v>1</v>
      </c>
      <c r="H2836" t="s">
        <v>27</v>
      </c>
      <c r="I2836" t="s">
        <v>27</v>
      </c>
      <c r="J2836">
        <v>39860</v>
      </c>
      <c r="K2836">
        <v>15000</v>
      </c>
      <c r="L2836" s="2">
        <v>26.8</v>
      </c>
      <c r="M2836" s="5">
        <v>135</v>
      </c>
      <c r="N2836" s="1">
        <v>301.12</v>
      </c>
      <c r="O2836">
        <v>1.2</v>
      </c>
      <c r="P2836">
        <v>299</v>
      </c>
    </row>
    <row r="2837" spans="1:16" x14ac:dyDescent="0.35">
      <c r="A2837" s="4">
        <v>45870</v>
      </c>
      <c r="B2837" t="s">
        <v>19</v>
      </c>
      <c r="C2837" t="s">
        <v>13</v>
      </c>
      <c r="D2837">
        <v>1</v>
      </c>
      <c r="E2837" s="2">
        <f>(3900+3725+3750*2)/4</f>
        <v>3781.25</v>
      </c>
      <c r="F2837" s="2">
        <f t="shared" si="460"/>
        <v>3638.3874999999998</v>
      </c>
      <c r="G2837" s="3">
        <v>1</v>
      </c>
      <c r="H2837" t="s">
        <v>27</v>
      </c>
      <c r="I2837" t="s">
        <v>27</v>
      </c>
      <c r="J2837">
        <v>39860</v>
      </c>
      <c r="K2837">
        <v>15000</v>
      </c>
      <c r="L2837" s="2">
        <v>26.8</v>
      </c>
      <c r="M2837" s="5">
        <v>135</v>
      </c>
      <c r="N2837" s="1">
        <v>301.12</v>
      </c>
      <c r="O2837">
        <v>1.2</v>
      </c>
      <c r="P2837">
        <v>299</v>
      </c>
    </row>
    <row r="2838" spans="1:16" x14ac:dyDescent="0.35">
      <c r="A2838" s="4">
        <v>45870</v>
      </c>
      <c r="B2838" t="s">
        <v>19</v>
      </c>
      <c r="C2838" t="s">
        <v>14</v>
      </c>
      <c r="D2838">
        <v>1</v>
      </c>
      <c r="E2838" s="2">
        <f>(3756+3744+3736+3731)/4</f>
        <v>3741.75</v>
      </c>
      <c r="F2838" s="2">
        <f t="shared" si="460"/>
        <v>3638.3874999999998</v>
      </c>
      <c r="G2838" s="3">
        <v>1</v>
      </c>
      <c r="H2838" t="s">
        <v>27</v>
      </c>
      <c r="I2838" t="s">
        <v>27</v>
      </c>
      <c r="J2838">
        <v>39860</v>
      </c>
      <c r="K2838">
        <v>15000</v>
      </c>
      <c r="L2838" s="2">
        <v>26.8</v>
      </c>
      <c r="M2838" s="5">
        <v>135</v>
      </c>
      <c r="N2838" s="1">
        <v>301.12</v>
      </c>
      <c r="O2838">
        <v>1.2</v>
      </c>
      <c r="P2838">
        <v>299</v>
      </c>
    </row>
    <row r="2839" spans="1:16" x14ac:dyDescent="0.35">
      <c r="A2839" s="4">
        <v>45870</v>
      </c>
      <c r="B2839" t="s">
        <v>19</v>
      </c>
      <c r="C2839" t="s">
        <v>15</v>
      </c>
      <c r="D2839">
        <v>1</v>
      </c>
      <c r="E2839" s="2">
        <f>(3700*3+3750)/4</f>
        <v>3712.5</v>
      </c>
      <c r="F2839" s="2">
        <f t="shared" si="460"/>
        <v>3638.3874999999998</v>
      </c>
      <c r="G2839" s="3">
        <v>1</v>
      </c>
      <c r="H2839" t="s">
        <v>27</v>
      </c>
      <c r="I2839" t="s">
        <v>27</v>
      </c>
      <c r="J2839">
        <v>39860</v>
      </c>
      <c r="K2839">
        <v>15000</v>
      </c>
      <c r="L2839" s="2">
        <v>26.8</v>
      </c>
      <c r="M2839" s="5">
        <v>135</v>
      </c>
      <c r="N2839" s="1">
        <v>301.12</v>
      </c>
      <c r="O2839">
        <v>1.2</v>
      </c>
      <c r="P2839">
        <v>299</v>
      </c>
    </row>
    <row r="2840" spans="1:16" x14ac:dyDescent="0.35">
      <c r="A2840" s="4">
        <v>45870</v>
      </c>
      <c r="B2840" t="s">
        <v>20</v>
      </c>
      <c r="C2840" t="s">
        <v>10</v>
      </c>
      <c r="D2840">
        <v>1</v>
      </c>
      <c r="E2840" s="2">
        <v>3193.75</v>
      </c>
      <c r="F2840" s="2">
        <f>(3200.63+3227.14+3224.29+3255.71)/4</f>
        <v>3226.9425000000001</v>
      </c>
      <c r="G2840" s="3">
        <v>1</v>
      </c>
      <c r="H2840" t="s">
        <v>27</v>
      </c>
      <c r="I2840" t="s">
        <v>27</v>
      </c>
      <c r="J2840">
        <v>39860</v>
      </c>
      <c r="K2840">
        <v>15000</v>
      </c>
      <c r="L2840" s="2">
        <v>26.8</v>
      </c>
      <c r="M2840" s="5">
        <v>135</v>
      </c>
      <c r="N2840" s="1">
        <v>301.12</v>
      </c>
      <c r="O2840">
        <v>1.2</v>
      </c>
      <c r="P2840">
        <v>299</v>
      </c>
    </row>
    <row r="2841" spans="1:16" x14ac:dyDescent="0.35">
      <c r="A2841" s="4">
        <v>45870</v>
      </c>
      <c r="B2841" t="s">
        <v>20</v>
      </c>
      <c r="C2841" t="s">
        <v>11</v>
      </c>
      <c r="D2841">
        <v>1</v>
      </c>
      <c r="E2841" s="2">
        <v>3100</v>
      </c>
      <c r="F2841" s="2">
        <f t="shared" ref="F2841:F2845" si="461">(3200.63+3227.14+3224.29+3255.71)/4</f>
        <v>3226.9425000000001</v>
      </c>
      <c r="G2841" s="3">
        <v>1</v>
      </c>
      <c r="H2841" t="s">
        <v>27</v>
      </c>
      <c r="I2841" t="s">
        <v>27</v>
      </c>
      <c r="J2841">
        <v>39860</v>
      </c>
      <c r="K2841">
        <v>15000</v>
      </c>
      <c r="L2841" s="2">
        <v>26.8</v>
      </c>
      <c r="M2841" s="5">
        <v>135</v>
      </c>
      <c r="N2841" s="1">
        <v>301.12</v>
      </c>
      <c r="O2841">
        <v>1.2</v>
      </c>
      <c r="P2841">
        <v>299</v>
      </c>
    </row>
    <row r="2842" spans="1:16" x14ac:dyDescent="0.35">
      <c r="A2842" s="4">
        <v>45870</v>
      </c>
      <c r="B2842" t="s">
        <v>20</v>
      </c>
      <c r="C2842" t="s">
        <v>12</v>
      </c>
      <c r="D2842">
        <v>1</v>
      </c>
      <c r="E2842" s="2">
        <v>3092.5</v>
      </c>
      <c r="F2842" s="2">
        <f t="shared" si="461"/>
        <v>3226.9425000000001</v>
      </c>
      <c r="G2842" s="3">
        <v>1</v>
      </c>
      <c r="H2842" t="s">
        <v>27</v>
      </c>
      <c r="I2842" t="s">
        <v>27</v>
      </c>
      <c r="J2842">
        <v>39860</v>
      </c>
      <c r="K2842">
        <v>15000</v>
      </c>
      <c r="L2842" s="2">
        <v>26.8</v>
      </c>
      <c r="M2842" s="5">
        <v>135</v>
      </c>
      <c r="N2842" s="1">
        <v>301.12</v>
      </c>
      <c r="O2842">
        <v>1.2</v>
      </c>
      <c r="P2842">
        <v>299</v>
      </c>
    </row>
    <row r="2843" spans="1:16" x14ac:dyDescent="0.35">
      <c r="A2843" s="4">
        <v>45870</v>
      </c>
      <c r="B2843" t="s">
        <v>20</v>
      </c>
      <c r="C2843" t="s">
        <v>13</v>
      </c>
      <c r="D2843">
        <v>1</v>
      </c>
      <c r="E2843" s="2">
        <f>(3325*2+3350+3275)/4</f>
        <v>3318.75</v>
      </c>
      <c r="F2843" s="2">
        <f t="shared" si="461"/>
        <v>3226.9425000000001</v>
      </c>
      <c r="G2843" s="3">
        <v>1</v>
      </c>
      <c r="H2843" t="s">
        <v>27</v>
      </c>
      <c r="I2843" t="s">
        <v>27</v>
      </c>
      <c r="J2843">
        <v>39860</v>
      </c>
      <c r="K2843">
        <v>15000</v>
      </c>
      <c r="L2843" s="2">
        <v>26.8</v>
      </c>
      <c r="M2843" s="5">
        <v>135</v>
      </c>
      <c r="N2843" s="1">
        <v>301.12</v>
      </c>
      <c r="O2843">
        <v>1.2</v>
      </c>
      <c r="P2843">
        <v>299</v>
      </c>
    </row>
    <row r="2844" spans="1:16" x14ac:dyDescent="0.35">
      <c r="A2844" s="4">
        <v>45870</v>
      </c>
      <c r="B2844" t="s">
        <v>20</v>
      </c>
      <c r="C2844" t="s">
        <v>14</v>
      </c>
      <c r="D2844">
        <v>1</v>
      </c>
      <c r="E2844" s="2">
        <f>(3320*2+3370+3320)/4</f>
        <v>3332.5</v>
      </c>
      <c r="F2844" s="2">
        <f t="shared" si="461"/>
        <v>3226.9425000000001</v>
      </c>
      <c r="G2844" s="3">
        <v>1</v>
      </c>
      <c r="H2844" t="s">
        <v>27</v>
      </c>
      <c r="I2844" t="s">
        <v>27</v>
      </c>
      <c r="J2844">
        <v>39860</v>
      </c>
      <c r="K2844">
        <v>15000</v>
      </c>
      <c r="L2844" s="2">
        <v>26.8</v>
      </c>
      <c r="M2844" s="5">
        <v>135</v>
      </c>
      <c r="N2844" s="1">
        <v>301.12</v>
      </c>
      <c r="O2844">
        <v>1.2</v>
      </c>
      <c r="P2844">
        <v>299</v>
      </c>
    </row>
    <row r="2845" spans="1:16" x14ac:dyDescent="0.35">
      <c r="A2845" s="4">
        <v>45870</v>
      </c>
      <c r="B2845" t="s">
        <v>20</v>
      </c>
      <c r="C2845" t="s">
        <v>15</v>
      </c>
      <c r="D2845">
        <v>1</v>
      </c>
      <c r="E2845" s="2">
        <f>(3275*3+3300)/4</f>
        <v>3281.25</v>
      </c>
      <c r="F2845" s="2">
        <f t="shared" si="461"/>
        <v>3226.9425000000001</v>
      </c>
      <c r="G2845" s="3">
        <v>1</v>
      </c>
      <c r="H2845" t="s">
        <v>27</v>
      </c>
      <c r="I2845" t="s">
        <v>27</v>
      </c>
      <c r="J2845">
        <v>39860</v>
      </c>
      <c r="K2845">
        <v>15000</v>
      </c>
      <c r="L2845" s="2">
        <v>26.8</v>
      </c>
      <c r="M2845" s="5">
        <v>135</v>
      </c>
      <c r="N2845" s="1">
        <v>301.12</v>
      </c>
      <c r="O2845">
        <v>1.2</v>
      </c>
      <c r="P2845">
        <v>299</v>
      </c>
    </row>
    <row r="2846" spans="1:16" x14ac:dyDescent="0.35">
      <c r="A2846" s="4">
        <v>45870</v>
      </c>
      <c r="B2846" t="s">
        <v>21</v>
      </c>
      <c r="C2846" t="s">
        <v>10</v>
      </c>
      <c r="D2846">
        <v>1</v>
      </c>
      <c r="E2846" s="2">
        <f>(3050+2900+3000*2)/4</f>
        <v>2987.5</v>
      </c>
      <c r="F2846" s="2">
        <f>(3107.14+3099.14+3074.14+3068.75)/4</f>
        <v>3087.2925</v>
      </c>
      <c r="G2846" s="3">
        <v>1</v>
      </c>
      <c r="H2846" t="s">
        <v>27</v>
      </c>
      <c r="I2846" t="s">
        <v>27</v>
      </c>
      <c r="J2846">
        <v>39860</v>
      </c>
      <c r="K2846">
        <v>15000</v>
      </c>
      <c r="L2846" s="2">
        <v>26.8</v>
      </c>
      <c r="M2846" s="5">
        <v>135</v>
      </c>
      <c r="N2846" s="1">
        <v>301.12</v>
      </c>
      <c r="O2846">
        <v>1.2</v>
      </c>
      <c r="P2846">
        <v>299</v>
      </c>
    </row>
    <row r="2847" spans="1:16" x14ac:dyDescent="0.35">
      <c r="A2847" s="4">
        <v>45870</v>
      </c>
      <c r="B2847" t="s">
        <v>21</v>
      </c>
      <c r="C2847" t="s">
        <v>11</v>
      </c>
      <c r="D2847">
        <v>1</v>
      </c>
      <c r="E2847" s="2">
        <v>2975</v>
      </c>
      <c r="F2847" s="2">
        <f t="shared" ref="F2847:F2851" si="462">(3107.14+3099.14+3074.14+3068.75)/4</f>
        <v>3087.2925</v>
      </c>
      <c r="G2847" s="3">
        <v>1</v>
      </c>
      <c r="H2847" t="s">
        <v>27</v>
      </c>
      <c r="I2847" t="s">
        <v>27</v>
      </c>
      <c r="J2847">
        <v>39860</v>
      </c>
      <c r="K2847">
        <v>15000</v>
      </c>
      <c r="L2847" s="2">
        <v>26.8</v>
      </c>
      <c r="M2847" s="5">
        <v>135</v>
      </c>
      <c r="N2847" s="1">
        <v>301.12</v>
      </c>
      <c r="O2847">
        <v>1.2</v>
      </c>
      <c r="P2847">
        <v>299</v>
      </c>
    </row>
    <row r="2848" spans="1:16" x14ac:dyDescent="0.35">
      <c r="A2848" s="4">
        <v>45870</v>
      </c>
      <c r="B2848" t="s">
        <v>21</v>
      </c>
      <c r="C2848" t="s">
        <v>12</v>
      </c>
      <c r="D2848">
        <v>1</v>
      </c>
      <c r="E2848" s="2">
        <v>3000</v>
      </c>
      <c r="F2848" s="2">
        <f t="shared" si="462"/>
        <v>3087.2925</v>
      </c>
      <c r="G2848" s="3">
        <v>1</v>
      </c>
      <c r="H2848" t="s">
        <v>27</v>
      </c>
      <c r="I2848" t="s">
        <v>27</v>
      </c>
      <c r="J2848">
        <v>39860</v>
      </c>
      <c r="K2848">
        <v>15000</v>
      </c>
      <c r="L2848" s="2">
        <v>26.8</v>
      </c>
      <c r="M2848" s="5">
        <v>135</v>
      </c>
      <c r="N2848" s="1">
        <v>301.12</v>
      </c>
      <c r="O2848">
        <v>1.2</v>
      </c>
      <c r="P2848">
        <v>299</v>
      </c>
    </row>
    <row r="2849" spans="1:16" x14ac:dyDescent="0.35">
      <c r="A2849" s="4">
        <v>45870</v>
      </c>
      <c r="B2849" t="s">
        <v>21</v>
      </c>
      <c r="C2849" t="s">
        <v>13</v>
      </c>
      <c r="D2849">
        <v>1</v>
      </c>
      <c r="E2849" s="2">
        <v>3150</v>
      </c>
      <c r="F2849" s="2">
        <f t="shared" si="462"/>
        <v>3087.2925</v>
      </c>
      <c r="G2849" s="3">
        <v>1</v>
      </c>
      <c r="H2849" t="s">
        <v>27</v>
      </c>
      <c r="I2849" t="s">
        <v>27</v>
      </c>
      <c r="J2849">
        <v>39860</v>
      </c>
      <c r="K2849">
        <v>15000</v>
      </c>
      <c r="L2849" s="2">
        <v>26.8</v>
      </c>
      <c r="M2849" s="5">
        <v>135</v>
      </c>
      <c r="N2849" s="1">
        <v>301.12</v>
      </c>
      <c r="O2849">
        <v>1.2</v>
      </c>
      <c r="P2849">
        <v>299</v>
      </c>
    </row>
    <row r="2850" spans="1:16" x14ac:dyDescent="0.35">
      <c r="A2850" s="4">
        <v>45870</v>
      </c>
      <c r="B2850" t="s">
        <v>21</v>
      </c>
      <c r="C2850" t="s">
        <v>14</v>
      </c>
      <c r="D2850">
        <v>1</v>
      </c>
      <c r="E2850" s="2">
        <f>(3225+3194+3169+3200)/4</f>
        <v>3197</v>
      </c>
      <c r="F2850" s="2">
        <f t="shared" si="462"/>
        <v>3087.2925</v>
      </c>
      <c r="G2850" s="3">
        <v>1</v>
      </c>
      <c r="H2850" t="s">
        <v>27</v>
      </c>
      <c r="I2850" t="s">
        <v>27</v>
      </c>
      <c r="J2850">
        <v>39860</v>
      </c>
      <c r="K2850">
        <v>15000</v>
      </c>
      <c r="L2850" s="2">
        <v>26.8</v>
      </c>
      <c r="M2850" s="5">
        <v>135</v>
      </c>
      <c r="N2850" s="1">
        <v>301.12</v>
      </c>
      <c r="O2850">
        <v>1.2</v>
      </c>
      <c r="P2850">
        <v>299</v>
      </c>
    </row>
    <row r="2851" spans="1:16" x14ac:dyDescent="0.35">
      <c r="A2851" s="4">
        <v>45870</v>
      </c>
      <c r="B2851" t="s">
        <v>21</v>
      </c>
      <c r="C2851" t="s">
        <v>15</v>
      </c>
      <c r="D2851">
        <v>1</v>
      </c>
      <c r="E2851" s="2">
        <f>(3200*3+3225)/4</f>
        <v>3206.25</v>
      </c>
      <c r="F2851" s="2">
        <f t="shared" si="462"/>
        <v>3087.2925</v>
      </c>
      <c r="G2851" s="3">
        <v>1</v>
      </c>
      <c r="H2851" t="s">
        <v>27</v>
      </c>
      <c r="I2851" t="s">
        <v>27</v>
      </c>
      <c r="J2851">
        <v>39860</v>
      </c>
      <c r="K2851">
        <v>15000</v>
      </c>
      <c r="L2851" s="2">
        <v>26.8</v>
      </c>
      <c r="M2851" s="5">
        <v>135</v>
      </c>
      <c r="N2851" s="1">
        <v>301.12</v>
      </c>
      <c r="O2851">
        <v>1.2</v>
      </c>
      <c r="P2851">
        <v>299</v>
      </c>
    </row>
    <row r="2852" spans="1:16" x14ac:dyDescent="0.35">
      <c r="A2852" s="4">
        <v>45870</v>
      </c>
      <c r="B2852" t="s">
        <v>22</v>
      </c>
      <c r="C2852" t="s">
        <v>10</v>
      </c>
      <c r="D2852">
        <v>0</v>
      </c>
      <c r="E2852" s="2" t="s">
        <v>27</v>
      </c>
      <c r="F2852" s="2">
        <f t="shared" ref="F2852:F2855" si="463">(2930+2890+2990+2970)/4</f>
        <v>2945</v>
      </c>
      <c r="G2852" s="3">
        <v>1</v>
      </c>
      <c r="H2852" t="s">
        <v>27</v>
      </c>
      <c r="I2852" t="s">
        <v>27</v>
      </c>
      <c r="J2852">
        <v>39860</v>
      </c>
      <c r="K2852">
        <v>15000</v>
      </c>
      <c r="L2852" s="2">
        <v>26.8</v>
      </c>
      <c r="M2852" s="5">
        <v>135</v>
      </c>
      <c r="N2852" s="1">
        <v>301.12</v>
      </c>
      <c r="O2852">
        <v>1.2</v>
      </c>
      <c r="P2852">
        <v>299</v>
      </c>
    </row>
    <row r="2853" spans="1:16" x14ac:dyDescent="0.35">
      <c r="A2853" s="4">
        <v>45870</v>
      </c>
      <c r="B2853" t="s">
        <v>22</v>
      </c>
      <c r="C2853" t="s">
        <v>11</v>
      </c>
      <c r="D2853">
        <v>0</v>
      </c>
      <c r="E2853" s="2" t="s">
        <v>27</v>
      </c>
      <c r="F2853" s="2">
        <f t="shared" si="463"/>
        <v>2945</v>
      </c>
      <c r="G2853" s="3">
        <v>1</v>
      </c>
      <c r="H2853" t="s">
        <v>27</v>
      </c>
      <c r="I2853" t="s">
        <v>27</v>
      </c>
      <c r="J2853">
        <v>39860</v>
      </c>
      <c r="K2853">
        <v>15000</v>
      </c>
      <c r="L2853" s="2">
        <v>26.8</v>
      </c>
      <c r="M2853" s="5">
        <v>135</v>
      </c>
      <c r="N2853" s="1">
        <v>301.12</v>
      </c>
      <c r="O2853">
        <v>1.2</v>
      </c>
      <c r="P2853">
        <v>299</v>
      </c>
    </row>
    <row r="2854" spans="1:16" x14ac:dyDescent="0.35">
      <c r="A2854" s="4">
        <v>45870</v>
      </c>
      <c r="B2854" t="s">
        <v>22</v>
      </c>
      <c r="C2854" t="s">
        <v>12</v>
      </c>
      <c r="D2854">
        <v>0</v>
      </c>
      <c r="E2854" s="2" t="s">
        <v>27</v>
      </c>
      <c r="F2854" s="2">
        <f t="shared" si="463"/>
        <v>2945</v>
      </c>
      <c r="G2854" s="3">
        <v>1</v>
      </c>
      <c r="H2854" t="s">
        <v>27</v>
      </c>
      <c r="I2854" t="s">
        <v>27</v>
      </c>
      <c r="J2854">
        <v>39860</v>
      </c>
      <c r="K2854">
        <v>15000</v>
      </c>
      <c r="L2854" s="2">
        <v>26.8</v>
      </c>
      <c r="M2854" s="5">
        <v>135</v>
      </c>
      <c r="N2854" s="1">
        <v>301.12</v>
      </c>
      <c r="O2854">
        <v>1.2</v>
      </c>
      <c r="P2854">
        <v>299</v>
      </c>
    </row>
    <row r="2855" spans="1:16" x14ac:dyDescent="0.35">
      <c r="A2855" s="4">
        <v>45870</v>
      </c>
      <c r="B2855" t="s">
        <v>22</v>
      </c>
      <c r="C2855" t="s">
        <v>13</v>
      </c>
      <c r="D2855">
        <v>0</v>
      </c>
      <c r="E2855" s="2" t="s">
        <v>27</v>
      </c>
      <c r="F2855" s="2">
        <f t="shared" si="463"/>
        <v>2945</v>
      </c>
      <c r="G2855" s="3">
        <v>1</v>
      </c>
      <c r="H2855" t="s">
        <v>27</v>
      </c>
      <c r="I2855" t="s">
        <v>27</v>
      </c>
      <c r="J2855">
        <v>39860</v>
      </c>
      <c r="K2855">
        <v>15000</v>
      </c>
      <c r="L2855" s="2">
        <v>26.8</v>
      </c>
      <c r="M2855" s="5">
        <v>135</v>
      </c>
      <c r="N2855" s="1">
        <v>301.12</v>
      </c>
      <c r="O2855">
        <v>1.2</v>
      </c>
      <c r="P2855">
        <v>299</v>
      </c>
    </row>
    <row r="2856" spans="1:16" x14ac:dyDescent="0.35">
      <c r="A2856" s="4">
        <v>45870</v>
      </c>
      <c r="B2856" t="s">
        <v>22</v>
      </c>
      <c r="C2856" t="s">
        <v>14</v>
      </c>
      <c r="D2856">
        <v>1</v>
      </c>
      <c r="E2856" s="2">
        <f>(2930+2890+2990+2970)/4</f>
        <v>2945</v>
      </c>
      <c r="F2856" s="2">
        <f>(2930+2890+2990+2970)/4</f>
        <v>2945</v>
      </c>
      <c r="G2856" s="3">
        <v>1</v>
      </c>
      <c r="H2856" t="s">
        <v>27</v>
      </c>
      <c r="I2856" t="s">
        <v>27</v>
      </c>
      <c r="J2856">
        <v>39860</v>
      </c>
      <c r="K2856">
        <v>15000</v>
      </c>
      <c r="L2856" s="2">
        <v>26.8</v>
      </c>
      <c r="M2856" s="5">
        <v>135</v>
      </c>
      <c r="N2856" s="1">
        <v>301.12</v>
      </c>
      <c r="O2856">
        <v>1.2</v>
      </c>
      <c r="P2856">
        <v>299</v>
      </c>
    </row>
    <row r="2857" spans="1:16" x14ac:dyDescent="0.35">
      <c r="A2857" s="4">
        <v>45870</v>
      </c>
      <c r="B2857" t="s">
        <v>22</v>
      </c>
      <c r="C2857" t="s">
        <v>15</v>
      </c>
      <c r="D2857">
        <v>0</v>
      </c>
      <c r="E2857" s="2" t="s">
        <v>27</v>
      </c>
      <c r="F2857" s="2">
        <f>(2930+2890+2990+2970)/4</f>
        <v>2945</v>
      </c>
      <c r="G2857" s="3">
        <v>1</v>
      </c>
      <c r="H2857" t="s">
        <v>27</v>
      </c>
      <c r="I2857" t="s">
        <v>27</v>
      </c>
      <c r="J2857">
        <v>39860</v>
      </c>
      <c r="K2857">
        <v>15000</v>
      </c>
      <c r="L2857" s="2">
        <v>26.8</v>
      </c>
      <c r="M2857" s="5">
        <v>135</v>
      </c>
      <c r="N2857" s="1">
        <v>301.12</v>
      </c>
      <c r="O2857">
        <v>1.2</v>
      </c>
      <c r="P2857">
        <v>299</v>
      </c>
    </row>
    <row r="2858" spans="1:16" x14ac:dyDescent="0.35">
      <c r="A2858" s="4">
        <v>45901</v>
      </c>
      <c r="B2858" t="s">
        <v>16</v>
      </c>
      <c r="C2858" t="s">
        <v>10</v>
      </c>
      <c r="D2858">
        <v>1</v>
      </c>
      <c r="E2858" s="2">
        <v>4500</v>
      </c>
      <c r="F2858" s="2">
        <f>(4566.25+4516.25)/2</f>
        <v>4541.25</v>
      </c>
      <c r="G2858" s="3">
        <v>1</v>
      </c>
      <c r="H2858" t="s">
        <v>27</v>
      </c>
      <c r="I2858" t="s">
        <v>27</v>
      </c>
      <c r="J2858">
        <v>31328</v>
      </c>
      <c r="K2858">
        <v>20000</v>
      </c>
      <c r="L2858" s="2">
        <v>26.7</v>
      </c>
      <c r="M2858" s="5">
        <v>213.3</v>
      </c>
      <c r="N2858" s="1">
        <v>302.03680000000003</v>
      </c>
      <c r="O2858">
        <v>2.4</v>
      </c>
      <c r="P2858">
        <v>299</v>
      </c>
    </row>
    <row r="2859" spans="1:16" x14ac:dyDescent="0.35">
      <c r="A2859" s="4">
        <v>45901</v>
      </c>
      <c r="B2859" t="s">
        <v>16</v>
      </c>
      <c r="C2859" t="s">
        <v>11</v>
      </c>
      <c r="D2859">
        <v>0</v>
      </c>
      <c r="E2859" s="2" t="s">
        <v>27</v>
      </c>
      <c r="F2859" s="2">
        <f t="shared" ref="F2859:F2863" si="464">(4566.25+4516.25)/2</f>
        <v>4541.25</v>
      </c>
      <c r="G2859" s="3">
        <v>1</v>
      </c>
      <c r="H2859" t="s">
        <v>27</v>
      </c>
      <c r="I2859" t="s">
        <v>27</v>
      </c>
      <c r="J2859">
        <v>31328</v>
      </c>
      <c r="K2859">
        <v>20000</v>
      </c>
      <c r="L2859" s="2">
        <v>26.7</v>
      </c>
      <c r="M2859" s="5">
        <v>213.3</v>
      </c>
      <c r="N2859" s="1">
        <v>302.03680000000003</v>
      </c>
      <c r="O2859">
        <v>2.4</v>
      </c>
      <c r="P2859">
        <v>299</v>
      </c>
    </row>
    <row r="2860" spans="1:16" x14ac:dyDescent="0.35">
      <c r="A2860" s="4">
        <v>45901</v>
      </c>
      <c r="B2860" t="s">
        <v>16</v>
      </c>
      <c r="C2860" t="s">
        <v>12</v>
      </c>
      <c r="D2860">
        <v>1</v>
      </c>
      <c r="E2860" s="2">
        <v>4490</v>
      </c>
      <c r="F2860" s="2">
        <f t="shared" si="464"/>
        <v>4541.25</v>
      </c>
      <c r="G2860" s="3">
        <v>1</v>
      </c>
      <c r="H2860" t="s">
        <v>27</v>
      </c>
      <c r="I2860" t="s">
        <v>27</v>
      </c>
      <c r="J2860">
        <v>31328</v>
      </c>
      <c r="K2860">
        <v>20000</v>
      </c>
      <c r="L2860" s="2">
        <v>26.7</v>
      </c>
      <c r="M2860" s="5">
        <v>213.3</v>
      </c>
      <c r="N2860" s="1">
        <v>302.03680000000003</v>
      </c>
      <c r="O2860">
        <v>2.4</v>
      </c>
      <c r="P2860">
        <v>299</v>
      </c>
    </row>
    <row r="2861" spans="1:16" x14ac:dyDescent="0.35">
      <c r="A2861" s="4">
        <v>45901</v>
      </c>
      <c r="B2861" t="s">
        <v>16</v>
      </c>
      <c r="C2861" t="s">
        <v>13</v>
      </c>
      <c r="D2861">
        <v>1</v>
      </c>
      <c r="E2861" s="2">
        <v>4650</v>
      </c>
      <c r="F2861" s="2">
        <f t="shared" si="464"/>
        <v>4541.25</v>
      </c>
      <c r="G2861" s="3">
        <v>1</v>
      </c>
      <c r="H2861" t="s">
        <v>27</v>
      </c>
      <c r="I2861" t="s">
        <v>27</v>
      </c>
      <c r="J2861">
        <v>31328</v>
      </c>
      <c r="K2861">
        <v>20000</v>
      </c>
      <c r="L2861" s="2">
        <v>26.7</v>
      </c>
      <c r="M2861" s="5">
        <v>213.3</v>
      </c>
      <c r="N2861" s="1">
        <v>302.03680000000003</v>
      </c>
      <c r="O2861">
        <v>2.4</v>
      </c>
      <c r="P2861">
        <v>299</v>
      </c>
    </row>
    <row r="2862" spans="1:16" x14ac:dyDescent="0.35">
      <c r="A2862" s="4">
        <v>45901</v>
      </c>
      <c r="B2862" t="s">
        <v>16</v>
      </c>
      <c r="C2862" t="s">
        <v>14</v>
      </c>
      <c r="D2862">
        <v>1</v>
      </c>
      <c r="E2862" s="2">
        <v>4525</v>
      </c>
      <c r="F2862" s="2">
        <f t="shared" si="464"/>
        <v>4541.25</v>
      </c>
      <c r="G2862" s="3">
        <v>1</v>
      </c>
      <c r="H2862" t="s">
        <v>27</v>
      </c>
      <c r="I2862" t="s">
        <v>27</v>
      </c>
      <c r="J2862">
        <v>31328</v>
      </c>
      <c r="K2862">
        <v>20000</v>
      </c>
      <c r="L2862" s="2">
        <v>26.7</v>
      </c>
      <c r="M2862" s="5">
        <v>213.3</v>
      </c>
      <c r="N2862" s="1">
        <v>302.03680000000003</v>
      </c>
      <c r="O2862">
        <v>2.4</v>
      </c>
      <c r="P2862">
        <v>299</v>
      </c>
    </row>
    <row r="2863" spans="1:16" x14ac:dyDescent="0.35">
      <c r="A2863" s="4">
        <v>45901</v>
      </c>
      <c r="B2863" t="s">
        <v>16</v>
      </c>
      <c r="C2863" t="s">
        <v>15</v>
      </c>
      <c r="D2863">
        <v>0</v>
      </c>
      <c r="E2863" s="2" t="s">
        <v>27</v>
      </c>
      <c r="F2863" s="2">
        <f t="shared" si="464"/>
        <v>4541.25</v>
      </c>
      <c r="G2863" s="3">
        <v>1</v>
      </c>
      <c r="H2863" t="s">
        <v>27</v>
      </c>
      <c r="I2863" t="s">
        <v>27</v>
      </c>
      <c r="J2863">
        <v>31328</v>
      </c>
      <c r="K2863">
        <v>20000</v>
      </c>
      <c r="L2863" s="2">
        <v>26.7</v>
      </c>
      <c r="M2863" s="5">
        <v>213.3</v>
      </c>
      <c r="N2863" s="1">
        <v>302.03680000000003</v>
      </c>
      <c r="O2863">
        <v>2.4</v>
      </c>
      <c r="P2863">
        <v>299</v>
      </c>
    </row>
    <row r="2864" spans="1:16" x14ac:dyDescent="0.35">
      <c r="A2864" s="4">
        <v>45901</v>
      </c>
      <c r="B2864" t="s">
        <v>17</v>
      </c>
      <c r="C2864" t="s">
        <v>10</v>
      </c>
      <c r="D2864">
        <v>1</v>
      </c>
      <c r="E2864" s="2">
        <v>3900</v>
      </c>
      <c r="F2864" s="2">
        <f>(4045+4079)/2</f>
        <v>4062</v>
      </c>
      <c r="G2864" s="3">
        <v>1</v>
      </c>
      <c r="H2864" t="s">
        <v>27</v>
      </c>
      <c r="I2864" t="s">
        <v>27</v>
      </c>
      <c r="J2864">
        <v>31328</v>
      </c>
      <c r="K2864">
        <v>20000</v>
      </c>
      <c r="L2864" s="2">
        <v>26.7</v>
      </c>
      <c r="M2864" s="5">
        <v>213.3</v>
      </c>
      <c r="N2864" s="1">
        <v>302.03680000000003</v>
      </c>
      <c r="O2864">
        <v>2.4</v>
      </c>
      <c r="P2864">
        <v>299</v>
      </c>
    </row>
    <row r="2865" spans="1:16" x14ac:dyDescent="0.35">
      <c r="A2865" s="4">
        <v>45901</v>
      </c>
      <c r="B2865" t="s">
        <v>17</v>
      </c>
      <c r="C2865" t="s">
        <v>11</v>
      </c>
      <c r="D2865">
        <v>1</v>
      </c>
      <c r="E2865" s="2">
        <v>4050</v>
      </c>
      <c r="F2865" s="2">
        <f t="shared" ref="F2865:F2869" si="465">(4045+4079)/2</f>
        <v>4062</v>
      </c>
      <c r="G2865" s="3">
        <v>1</v>
      </c>
      <c r="H2865" t="s">
        <v>27</v>
      </c>
      <c r="I2865" t="s">
        <v>27</v>
      </c>
      <c r="J2865">
        <v>31328</v>
      </c>
      <c r="K2865">
        <v>20000</v>
      </c>
      <c r="L2865" s="2">
        <v>26.7</v>
      </c>
      <c r="M2865" s="5">
        <v>213.3</v>
      </c>
      <c r="N2865" s="1">
        <v>302.03680000000003</v>
      </c>
      <c r="O2865">
        <v>2.4</v>
      </c>
      <c r="P2865">
        <v>299</v>
      </c>
    </row>
    <row r="2866" spans="1:16" x14ac:dyDescent="0.35">
      <c r="A2866" s="4">
        <v>45901</v>
      </c>
      <c r="B2866" t="s">
        <v>17</v>
      </c>
      <c r="C2866" t="s">
        <v>12</v>
      </c>
      <c r="D2866">
        <v>1</v>
      </c>
      <c r="E2866" s="2">
        <v>4070</v>
      </c>
      <c r="F2866" s="2">
        <f t="shared" si="465"/>
        <v>4062</v>
      </c>
      <c r="G2866" s="3">
        <v>1</v>
      </c>
      <c r="H2866" t="s">
        <v>27</v>
      </c>
      <c r="I2866" t="s">
        <v>27</v>
      </c>
      <c r="J2866">
        <v>31328</v>
      </c>
      <c r="K2866">
        <v>20000</v>
      </c>
      <c r="L2866" s="2">
        <v>26.7</v>
      </c>
      <c r="M2866" s="5">
        <v>213.3</v>
      </c>
      <c r="N2866" s="1">
        <v>302.03680000000003</v>
      </c>
      <c r="O2866">
        <v>2.4</v>
      </c>
      <c r="P2866">
        <v>299</v>
      </c>
    </row>
    <row r="2867" spans="1:16" x14ac:dyDescent="0.35">
      <c r="A2867" s="4">
        <v>45901</v>
      </c>
      <c r="B2867" t="s">
        <v>17</v>
      </c>
      <c r="C2867" t="s">
        <v>13</v>
      </c>
      <c r="D2867">
        <v>1</v>
      </c>
      <c r="E2867" s="2">
        <f>AVERAGE(4225,4280)</f>
        <v>4252.5</v>
      </c>
      <c r="F2867" s="2">
        <f t="shared" si="465"/>
        <v>4062</v>
      </c>
      <c r="G2867" s="3">
        <v>1</v>
      </c>
      <c r="H2867" t="s">
        <v>27</v>
      </c>
      <c r="I2867" t="s">
        <v>27</v>
      </c>
      <c r="J2867">
        <v>31328</v>
      </c>
      <c r="K2867">
        <v>20000</v>
      </c>
      <c r="L2867" s="2">
        <v>26.7</v>
      </c>
      <c r="M2867" s="5">
        <v>213.3</v>
      </c>
      <c r="N2867" s="1">
        <v>302.03680000000003</v>
      </c>
      <c r="O2867">
        <v>2.4</v>
      </c>
      <c r="P2867">
        <v>299</v>
      </c>
    </row>
    <row r="2868" spans="1:16" x14ac:dyDescent="0.35">
      <c r="A2868" s="4">
        <v>45901</v>
      </c>
      <c r="B2868" t="s">
        <v>17</v>
      </c>
      <c r="C2868" t="s">
        <v>14</v>
      </c>
      <c r="D2868">
        <v>1</v>
      </c>
      <c r="E2868" s="2">
        <v>4133.5</v>
      </c>
      <c r="F2868" s="2">
        <f t="shared" si="465"/>
        <v>4062</v>
      </c>
      <c r="G2868" s="3">
        <v>1</v>
      </c>
      <c r="H2868" t="s">
        <v>27</v>
      </c>
      <c r="I2868" t="s">
        <v>27</v>
      </c>
      <c r="J2868">
        <v>31328</v>
      </c>
      <c r="K2868">
        <v>20000</v>
      </c>
      <c r="L2868" s="2">
        <v>26.7</v>
      </c>
      <c r="M2868" s="5">
        <v>213.3</v>
      </c>
      <c r="N2868" s="1">
        <v>302.03680000000003</v>
      </c>
      <c r="O2868">
        <v>2.4</v>
      </c>
      <c r="P2868">
        <v>299</v>
      </c>
    </row>
    <row r="2869" spans="1:16" x14ac:dyDescent="0.35">
      <c r="A2869" s="4">
        <v>45901</v>
      </c>
      <c r="B2869" t="s">
        <v>17</v>
      </c>
      <c r="C2869" t="s">
        <v>15</v>
      </c>
      <c r="D2869">
        <v>0</v>
      </c>
      <c r="E2869" s="2" t="s">
        <v>27</v>
      </c>
      <c r="F2869" s="2">
        <f t="shared" si="465"/>
        <v>4062</v>
      </c>
      <c r="G2869" s="3">
        <v>1</v>
      </c>
      <c r="H2869" t="s">
        <v>27</v>
      </c>
      <c r="I2869" t="s">
        <v>27</v>
      </c>
      <c r="J2869">
        <v>31328</v>
      </c>
      <c r="K2869">
        <v>20000</v>
      </c>
      <c r="L2869" s="2">
        <v>26.7</v>
      </c>
      <c r="M2869" s="5">
        <v>213.3</v>
      </c>
      <c r="N2869" s="1">
        <v>302.03680000000003</v>
      </c>
      <c r="O2869">
        <v>2.4</v>
      </c>
      <c r="P2869">
        <v>299</v>
      </c>
    </row>
    <row r="2870" spans="1:16" x14ac:dyDescent="0.35">
      <c r="A2870" s="4">
        <v>45901</v>
      </c>
      <c r="B2870" t="s">
        <v>18</v>
      </c>
      <c r="C2870" t="s">
        <v>10</v>
      </c>
      <c r="D2870">
        <v>1</v>
      </c>
      <c r="E2870" s="2">
        <v>3767.5</v>
      </c>
      <c r="F2870" s="2">
        <f>(3813.13+3821.88)/2</f>
        <v>3817.5050000000001</v>
      </c>
      <c r="G2870" s="3">
        <v>1</v>
      </c>
      <c r="H2870" t="s">
        <v>27</v>
      </c>
      <c r="I2870" t="s">
        <v>27</v>
      </c>
      <c r="J2870">
        <v>31328</v>
      </c>
      <c r="K2870">
        <v>20000</v>
      </c>
      <c r="L2870" s="2">
        <v>26.7</v>
      </c>
      <c r="M2870" s="5">
        <v>213.3</v>
      </c>
      <c r="N2870" s="1">
        <v>302.03680000000003</v>
      </c>
      <c r="O2870">
        <v>2.4</v>
      </c>
      <c r="P2870">
        <v>299</v>
      </c>
    </row>
    <row r="2871" spans="1:16" x14ac:dyDescent="0.35">
      <c r="A2871" s="4">
        <v>45901</v>
      </c>
      <c r="B2871" t="s">
        <v>18</v>
      </c>
      <c r="C2871" t="s">
        <v>11</v>
      </c>
      <c r="D2871">
        <v>1</v>
      </c>
      <c r="E2871" s="2">
        <v>3875</v>
      </c>
      <c r="F2871" s="2">
        <f t="shared" ref="F2871:F2875" si="466">(3813.13+3821.88)/2</f>
        <v>3817.5050000000001</v>
      </c>
      <c r="G2871" s="3">
        <v>1</v>
      </c>
      <c r="H2871" t="s">
        <v>27</v>
      </c>
      <c r="I2871" t="s">
        <v>27</v>
      </c>
      <c r="J2871">
        <v>31328</v>
      </c>
      <c r="K2871">
        <v>20000</v>
      </c>
      <c r="L2871" s="2">
        <v>26.7</v>
      </c>
      <c r="M2871" s="5">
        <v>213.3</v>
      </c>
      <c r="N2871" s="1">
        <v>302.03680000000003</v>
      </c>
      <c r="O2871">
        <v>2.4</v>
      </c>
      <c r="P2871">
        <v>299</v>
      </c>
    </row>
    <row r="2872" spans="1:16" x14ac:dyDescent="0.35">
      <c r="A2872" s="4">
        <v>45901</v>
      </c>
      <c r="B2872" t="s">
        <v>18</v>
      </c>
      <c r="C2872" t="s">
        <v>12</v>
      </c>
      <c r="D2872">
        <v>1</v>
      </c>
      <c r="E2872" s="2">
        <v>3695</v>
      </c>
      <c r="F2872" s="2">
        <f t="shared" si="466"/>
        <v>3817.5050000000001</v>
      </c>
      <c r="G2872" s="3">
        <v>1</v>
      </c>
      <c r="H2872" t="s">
        <v>27</v>
      </c>
      <c r="I2872" t="s">
        <v>27</v>
      </c>
      <c r="J2872">
        <v>31328</v>
      </c>
      <c r="K2872">
        <v>20000</v>
      </c>
      <c r="L2872" s="2">
        <v>26.7</v>
      </c>
      <c r="M2872" s="5">
        <v>213.3</v>
      </c>
      <c r="N2872" s="1">
        <v>302.03680000000003</v>
      </c>
      <c r="O2872">
        <v>2.4</v>
      </c>
      <c r="P2872">
        <v>299</v>
      </c>
    </row>
    <row r="2873" spans="1:16" x14ac:dyDescent="0.35">
      <c r="A2873" s="4">
        <v>45901</v>
      </c>
      <c r="B2873" t="s">
        <v>18</v>
      </c>
      <c r="C2873" t="s">
        <v>13</v>
      </c>
      <c r="D2873">
        <v>1</v>
      </c>
      <c r="E2873" s="2">
        <v>3887.5</v>
      </c>
      <c r="F2873" s="2">
        <f t="shared" si="466"/>
        <v>3817.5050000000001</v>
      </c>
      <c r="G2873" s="3">
        <v>1</v>
      </c>
      <c r="H2873" t="s">
        <v>27</v>
      </c>
      <c r="I2873" t="s">
        <v>27</v>
      </c>
      <c r="J2873">
        <v>31328</v>
      </c>
      <c r="K2873">
        <v>20000</v>
      </c>
      <c r="L2873" s="2">
        <v>26.7</v>
      </c>
      <c r="M2873" s="5">
        <v>213.3</v>
      </c>
      <c r="N2873" s="1">
        <v>302.03680000000003</v>
      </c>
      <c r="O2873">
        <v>2.4</v>
      </c>
      <c r="P2873">
        <v>299</v>
      </c>
    </row>
    <row r="2874" spans="1:16" x14ac:dyDescent="0.35">
      <c r="A2874" s="4">
        <v>45901</v>
      </c>
      <c r="B2874" t="s">
        <v>18</v>
      </c>
      <c r="C2874" t="s">
        <v>14</v>
      </c>
      <c r="D2874">
        <v>1</v>
      </c>
      <c r="E2874" s="2">
        <v>3840</v>
      </c>
      <c r="F2874" s="2">
        <f t="shared" si="466"/>
        <v>3817.5050000000001</v>
      </c>
      <c r="G2874" s="3">
        <v>1</v>
      </c>
      <c r="H2874" t="s">
        <v>27</v>
      </c>
      <c r="I2874" t="s">
        <v>27</v>
      </c>
      <c r="J2874">
        <v>31328</v>
      </c>
      <c r="K2874">
        <v>20000</v>
      </c>
      <c r="L2874" s="2">
        <v>26.7</v>
      </c>
      <c r="M2874" s="5">
        <v>213.3</v>
      </c>
      <c r="N2874" s="1">
        <v>302.03680000000003</v>
      </c>
      <c r="O2874">
        <v>2.4</v>
      </c>
      <c r="P2874">
        <v>299</v>
      </c>
    </row>
    <row r="2875" spans="1:16" x14ac:dyDescent="0.35">
      <c r="A2875" s="4">
        <v>45901</v>
      </c>
      <c r="B2875" t="s">
        <v>18</v>
      </c>
      <c r="C2875" t="s">
        <v>15</v>
      </c>
      <c r="D2875">
        <v>1</v>
      </c>
      <c r="E2875" s="2">
        <v>4000</v>
      </c>
      <c r="F2875" s="2">
        <f t="shared" si="466"/>
        <v>3817.5050000000001</v>
      </c>
      <c r="G2875" s="3">
        <v>1</v>
      </c>
      <c r="H2875" t="s">
        <v>27</v>
      </c>
      <c r="I2875" t="s">
        <v>27</v>
      </c>
      <c r="J2875">
        <v>31328</v>
      </c>
      <c r="K2875">
        <v>20000</v>
      </c>
      <c r="L2875" s="2">
        <v>26.7</v>
      </c>
      <c r="M2875" s="5">
        <v>213.3</v>
      </c>
      <c r="N2875" s="1">
        <v>302.03680000000003</v>
      </c>
      <c r="O2875">
        <v>2.4</v>
      </c>
      <c r="P2875">
        <v>299</v>
      </c>
    </row>
    <row r="2876" spans="1:16" x14ac:dyDescent="0.35">
      <c r="A2876" s="4">
        <v>45901</v>
      </c>
      <c r="B2876" t="s">
        <v>19</v>
      </c>
      <c r="C2876" t="s">
        <v>10</v>
      </c>
      <c r="D2876">
        <v>1</v>
      </c>
      <c r="E2876" s="2">
        <v>3660</v>
      </c>
      <c r="F2876" s="2">
        <f>(3647.78+3629.56)/2</f>
        <v>3638.67</v>
      </c>
      <c r="G2876" s="3">
        <v>1</v>
      </c>
      <c r="H2876" t="s">
        <v>27</v>
      </c>
      <c r="I2876" t="s">
        <v>27</v>
      </c>
      <c r="J2876">
        <v>31328</v>
      </c>
      <c r="K2876">
        <v>20000</v>
      </c>
      <c r="L2876" s="2">
        <v>26.7</v>
      </c>
      <c r="M2876" s="5">
        <v>213.3</v>
      </c>
      <c r="N2876" s="1">
        <v>302.03680000000003</v>
      </c>
      <c r="O2876">
        <v>2.4</v>
      </c>
      <c r="P2876">
        <v>299</v>
      </c>
    </row>
    <row r="2877" spans="1:16" x14ac:dyDescent="0.35">
      <c r="A2877" s="4">
        <v>45901</v>
      </c>
      <c r="B2877" t="s">
        <v>19</v>
      </c>
      <c r="C2877" t="s">
        <v>11</v>
      </c>
      <c r="D2877">
        <v>1</v>
      </c>
      <c r="E2877" s="2">
        <v>3700</v>
      </c>
      <c r="F2877" s="2">
        <f t="shared" ref="F2877:F2881" si="467">(3647.78+3629.56)/2</f>
        <v>3638.67</v>
      </c>
      <c r="G2877" s="3">
        <v>1</v>
      </c>
      <c r="H2877" t="s">
        <v>27</v>
      </c>
      <c r="I2877" t="s">
        <v>27</v>
      </c>
      <c r="J2877">
        <v>31328</v>
      </c>
      <c r="K2877">
        <v>20000</v>
      </c>
      <c r="L2877" s="2">
        <v>26.7</v>
      </c>
      <c r="M2877" s="5">
        <v>213.3</v>
      </c>
      <c r="N2877" s="1">
        <v>302.03680000000003</v>
      </c>
      <c r="O2877">
        <v>2.4</v>
      </c>
      <c r="P2877">
        <v>299</v>
      </c>
    </row>
    <row r="2878" spans="1:16" x14ac:dyDescent="0.35">
      <c r="A2878" s="4">
        <v>45901</v>
      </c>
      <c r="B2878" t="s">
        <v>19</v>
      </c>
      <c r="C2878" t="s">
        <v>12</v>
      </c>
      <c r="D2878">
        <v>1</v>
      </c>
      <c r="E2878" s="2">
        <v>3490</v>
      </c>
      <c r="F2878" s="2">
        <f t="shared" si="467"/>
        <v>3638.67</v>
      </c>
      <c r="G2878" s="3">
        <v>1</v>
      </c>
      <c r="H2878" t="s">
        <v>27</v>
      </c>
      <c r="I2878" t="s">
        <v>27</v>
      </c>
      <c r="J2878">
        <v>31328</v>
      </c>
      <c r="K2878">
        <v>20000</v>
      </c>
      <c r="L2878" s="2">
        <v>26.7</v>
      </c>
      <c r="M2878" s="5">
        <v>213.3</v>
      </c>
      <c r="N2878" s="1">
        <v>302.03680000000003</v>
      </c>
      <c r="O2878">
        <v>2.4</v>
      </c>
      <c r="P2878">
        <v>299</v>
      </c>
    </row>
    <row r="2879" spans="1:16" x14ac:dyDescent="0.35">
      <c r="A2879" s="4">
        <v>45901</v>
      </c>
      <c r="B2879" t="s">
        <v>19</v>
      </c>
      <c r="C2879" t="s">
        <v>13</v>
      </c>
      <c r="D2879">
        <v>1</v>
      </c>
      <c r="E2879" s="2">
        <v>3750</v>
      </c>
      <c r="F2879" s="2">
        <f t="shared" si="467"/>
        <v>3638.67</v>
      </c>
      <c r="G2879" s="3">
        <v>1</v>
      </c>
      <c r="H2879" t="s">
        <v>27</v>
      </c>
      <c r="I2879" t="s">
        <v>27</v>
      </c>
      <c r="J2879">
        <v>31328</v>
      </c>
      <c r="K2879">
        <v>20000</v>
      </c>
      <c r="L2879" s="2">
        <v>26.7</v>
      </c>
      <c r="M2879" s="5">
        <v>213.3</v>
      </c>
      <c r="N2879" s="1">
        <v>302.03680000000003</v>
      </c>
      <c r="O2879">
        <v>2.4</v>
      </c>
      <c r="P2879">
        <v>299</v>
      </c>
    </row>
    <row r="2880" spans="1:16" x14ac:dyDescent="0.35">
      <c r="A2880" s="4">
        <v>45901</v>
      </c>
      <c r="B2880" t="s">
        <v>19</v>
      </c>
      <c r="C2880" t="s">
        <v>14</v>
      </c>
      <c r="D2880">
        <v>1</v>
      </c>
      <c r="E2880" s="2">
        <v>3753</v>
      </c>
      <c r="F2880" s="2">
        <f t="shared" si="467"/>
        <v>3638.67</v>
      </c>
      <c r="G2880" s="3">
        <v>1</v>
      </c>
      <c r="H2880" t="s">
        <v>27</v>
      </c>
      <c r="I2880" t="s">
        <v>27</v>
      </c>
      <c r="J2880">
        <v>31328</v>
      </c>
      <c r="K2880">
        <v>20000</v>
      </c>
      <c r="L2880" s="2">
        <v>26.7</v>
      </c>
      <c r="M2880" s="5">
        <v>213.3</v>
      </c>
      <c r="N2880" s="1">
        <v>302.03680000000003</v>
      </c>
      <c r="O2880">
        <v>2.4</v>
      </c>
      <c r="P2880">
        <v>299</v>
      </c>
    </row>
    <row r="2881" spans="1:16" x14ac:dyDescent="0.35">
      <c r="A2881" s="4">
        <v>45901</v>
      </c>
      <c r="B2881" t="s">
        <v>19</v>
      </c>
      <c r="C2881" t="s">
        <v>15</v>
      </c>
      <c r="D2881">
        <v>1</v>
      </c>
      <c r="E2881" s="2">
        <v>3745</v>
      </c>
      <c r="F2881" s="2">
        <f t="shared" si="467"/>
        <v>3638.67</v>
      </c>
      <c r="G2881" s="3">
        <v>1</v>
      </c>
      <c r="H2881" t="s">
        <v>27</v>
      </c>
      <c r="I2881" t="s">
        <v>27</v>
      </c>
      <c r="J2881">
        <v>31328</v>
      </c>
      <c r="K2881">
        <v>20000</v>
      </c>
      <c r="L2881" s="2">
        <v>26.7</v>
      </c>
      <c r="M2881" s="5">
        <v>213.3</v>
      </c>
      <c r="N2881" s="1">
        <v>302.03680000000003</v>
      </c>
      <c r="O2881">
        <v>2.4</v>
      </c>
      <c r="P2881">
        <v>299</v>
      </c>
    </row>
    <row r="2882" spans="1:16" x14ac:dyDescent="0.35">
      <c r="A2882" s="4">
        <v>45901</v>
      </c>
      <c r="B2882" t="s">
        <v>20</v>
      </c>
      <c r="C2882" t="s">
        <v>10</v>
      </c>
      <c r="D2882">
        <v>1</v>
      </c>
      <c r="E2882" s="2">
        <v>3200</v>
      </c>
      <c r="F2882" s="2">
        <f>(3236.43+3235.71)/2</f>
        <v>3236.0699999999997</v>
      </c>
      <c r="G2882" s="3">
        <v>1</v>
      </c>
      <c r="H2882" t="s">
        <v>27</v>
      </c>
      <c r="I2882" t="s">
        <v>27</v>
      </c>
      <c r="J2882">
        <v>31328</v>
      </c>
      <c r="K2882">
        <v>20000</v>
      </c>
      <c r="L2882" s="2">
        <v>26.7</v>
      </c>
      <c r="M2882" s="5">
        <v>213.3</v>
      </c>
      <c r="N2882" s="1">
        <v>302.03680000000003</v>
      </c>
      <c r="O2882">
        <v>2.4</v>
      </c>
      <c r="P2882">
        <v>299</v>
      </c>
    </row>
    <row r="2883" spans="1:16" x14ac:dyDescent="0.35">
      <c r="A2883" s="4">
        <v>45901</v>
      </c>
      <c r="B2883" t="s">
        <v>20</v>
      </c>
      <c r="C2883" t="s">
        <v>11</v>
      </c>
      <c r="D2883">
        <v>1</v>
      </c>
      <c r="E2883" s="2">
        <v>3050</v>
      </c>
      <c r="F2883" s="2">
        <f t="shared" ref="F2883:F2887" si="468">(3236.43+3235.71)/2</f>
        <v>3236.0699999999997</v>
      </c>
      <c r="G2883" s="3">
        <v>1</v>
      </c>
      <c r="H2883" t="s">
        <v>27</v>
      </c>
      <c r="I2883" t="s">
        <v>27</v>
      </c>
      <c r="J2883">
        <v>31328</v>
      </c>
      <c r="K2883">
        <v>20000</v>
      </c>
      <c r="L2883" s="2">
        <v>26.7</v>
      </c>
      <c r="M2883" s="5">
        <v>213.3</v>
      </c>
      <c r="N2883" s="1">
        <v>302.03680000000003</v>
      </c>
      <c r="O2883">
        <v>2.4</v>
      </c>
      <c r="P2883">
        <v>299</v>
      </c>
    </row>
    <row r="2884" spans="1:16" x14ac:dyDescent="0.35">
      <c r="A2884" s="4">
        <v>45901</v>
      </c>
      <c r="B2884" t="s">
        <v>20</v>
      </c>
      <c r="C2884" t="s">
        <v>12</v>
      </c>
      <c r="D2884">
        <v>1</v>
      </c>
      <c r="E2884" s="2">
        <v>3312.5</v>
      </c>
      <c r="F2884" s="2">
        <f t="shared" si="468"/>
        <v>3236.0699999999997</v>
      </c>
      <c r="G2884" s="3">
        <v>1</v>
      </c>
      <c r="H2884" t="s">
        <v>27</v>
      </c>
      <c r="I2884" t="s">
        <v>27</v>
      </c>
      <c r="J2884">
        <v>31328</v>
      </c>
      <c r="K2884">
        <v>20000</v>
      </c>
      <c r="L2884" s="2">
        <v>26.7</v>
      </c>
      <c r="M2884" s="5">
        <v>213.3</v>
      </c>
      <c r="N2884" s="1">
        <v>302.03680000000003</v>
      </c>
      <c r="O2884">
        <v>2.4</v>
      </c>
      <c r="P2884">
        <v>299</v>
      </c>
    </row>
    <row r="2885" spans="1:16" x14ac:dyDescent="0.35">
      <c r="A2885" s="4">
        <v>45901</v>
      </c>
      <c r="B2885" t="s">
        <v>20</v>
      </c>
      <c r="C2885" t="s">
        <v>13</v>
      </c>
      <c r="D2885">
        <v>1</v>
      </c>
      <c r="E2885" s="2">
        <v>3312.5</v>
      </c>
      <c r="F2885" s="2">
        <f t="shared" si="468"/>
        <v>3236.0699999999997</v>
      </c>
      <c r="G2885" s="3">
        <v>1</v>
      </c>
      <c r="H2885" t="s">
        <v>27</v>
      </c>
      <c r="I2885" t="s">
        <v>27</v>
      </c>
      <c r="J2885">
        <v>31328</v>
      </c>
      <c r="K2885">
        <v>20000</v>
      </c>
      <c r="L2885" s="2">
        <v>26.7</v>
      </c>
      <c r="M2885" s="5">
        <v>213.3</v>
      </c>
      <c r="N2885" s="1">
        <v>302.03680000000003</v>
      </c>
      <c r="O2885">
        <v>2.4</v>
      </c>
      <c r="P2885">
        <v>299</v>
      </c>
    </row>
    <row r="2886" spans="1:16" x14ac:dyDescent="0.35">
      <c r="A2886" s="4">
        <v>45901</v>
      </c>
      <c r="B2886" t="s">
        <v>20</v>
      </c>
      <c r="C2886" t="s">
        <v>14</v>
      </c>
      <c r="D2886">
        <v>1</v>
      </c>
      <c r="E2886" s="2">
        <v>3345</v>
      </c>
      <c r="F2886" s="2">
        <f t="shared" si="468"/>
        <v>3236.0699999999997</v>
      </c>
      <c r="G2886" s="3">
        <v>1</v>
      </c>
      <c r="H2886" t="s">
        <v>27</v>
      </c>
      <c r="I2886" t="s">
        <v>27</v>
      </c>
      <c r="J2886">
        <v>31328</v>
      </c>
      <c r="K2886">
        <v>20000</v>
      </c>
      <c r="L2886" s="2">
        <v>26.7</v>
      </c>
      <c r="M2886" s="5">
        <v>213.3</v>
      </c>
      <c r="N2886" s="1">
        <v>302.03680000000003</v>
      </c>
      <c r="O2886">
        <v>2.4</v>
      </c>
      <c r="P2886">
        <v>299</v>
      </c>
    </row>
    <row r="2887" spans="1:16" x14ac:dyDescent="0.35">
      <c r="A2887" s="4">
        <v>45901</v>
      </c>
      <c r="B2887" t="s">
        <v>20</v>
      </c>
      <c r="C2887" t="s">
        <v>15</v>
      </c>
      <c r="D2887">
        <v>1</v>
      </c>
      <c r="E2887" s="2">
        <v>3300</v>
      </c>
      <c r="F2887" s="2">
        <f t="shared" si="468"/>
        <v>3236.0699999999997</v>
      </c>
      <c r="G2887" s="3">
        <v>1</v>
      </c>
      <c r="H2887" t="s">
        <v>27</v>
      </c>
      <c r="I2887" t="s">
        <v>27</v>
      </c>
      <c r="J2887">
        <v>31328</v>
      </c>
      <c r="K2887">
        <v>20000</v>
      </c>
      <c r="L2887" s="2">
        <v>26.7</v>
      </c>
      <c r="M2887" s="5">
        <v>213.3</v>
      </c>
      <c r="N2887" s="1">
        <v>302.03680000000003</v>
      </c>
      <c r="O2887">
        <v>2.4</v>
      </c>
      <c r="P2887">
        <v>299</v>
      </c>
    </row>
    <row r="2888" spans="1:16" x14ac:dyDescent="0.35">
      <c r="A2888" s="4">
        <v>45901</v>
      </c>
      <c r="B2888" t="s">
        <v>21</v>
      </c>
      <c r="C2888" t="s">
        <v>10</v>
      </c>
      <c r="D2888">
        <v>1</v>
      </c>
      <c r="E2888" s="2">
        <v>3000</v>
      </c>
      <c r="F2888" s="2">
        <f>(3110.86+3125.71)/2</f>
        <v>3118.2849999999999</v>
      </c>
      <c r="G2888" s="3">
        <v>1</v>
      </c>
      <c r="H2888" t="s">
        <v>27</v>
      </c>
      <c r="I2888" t="s">
        <v>27</v>
      </c>
      <c r="J2888">
        <v>31328</v>
      </c>
      <c r="K2888">
        <v>20000</v>
      </c>
      <c r="L2888" s="2">
        <v>26.7</v>
      </c>
      <c r="M2888" s="5">
        <v>213.3</v>
      </c>
      <c r="N2888" s="1">
        <v>302.03680000000003</v>
      </c>
      <c r="O2888">
        <v>2.4</v>
      </c>
      <c r="P2888">
        <v>299</v>
      </c>
    </row>
    <row r="2889" spans="1:16" x14ac:dyDescent="0.35">
      <c r="A2889" s="4">
        <v>45901</v>
      </c>
      <c r="B2889" t="s">
        <v>21</v>
      </c>
      <c r="C2889" t="s">
        <v>11</v>
      </c>
      <c r="D2889">
        <v>1</v>
      </c>
      <c r="E2889" s="2">
        <v>2950</v>
      </c>
      <c r="F2889" s="2">
        <f t="shared" ref="F2889:F2893" si="469">(3110.86+3125.71)/2</f>
        <v>3118.2849999999999</v>
      </c>
      <c r="G2889" s="3">
        <v>1</v>
      </c>
      <c r="H2889" t="s">
        <v>27</v>
      </c>
      <c r="I2889" t="s">
        <v>27</v>
      </c>
      <c r="J2889">
        <v>31328</v>
      </c>
      <c r="K2889">
        <v>20000</v>
      </c>
      <c r="L2889" s="2">
        <v>26.7</v>
      </c>
      <c r="M2889" s="5">
        <v>213.3</v>
      </c>
      <c r="N2889" s="1">
        <v>302.03680000000003</v>
      </c>
      <c r="O2889">
        <v>2.4</v>
      </c>
      <c r="P2889">
        <v>299</v>
      </c>
    </row>
    <row r="2890" spans="1:16" x14ac:dyDescent="0.35">
      <c r="A2890" s="4">
        <v>45901</v>
      </c>
      <c r="B2890" t="s">
        <v>21</v>
      </c>
      <c r="C2890" t="s">
        <v>12</v>
      </c>
      <c r="D2890">
        <v>1</v>
      </c>
      <c r="E2890" s="2">
        <v>3175</v>
      </c>
      <c r="F2890" s="2">
        <f t="shared" si="469"/>
        <v>3118.2849999999999</v>
      </c>
      <c r="G2890" s="3">
        <v>1</v>
      </c>
      <c r="H2890" t="s">
        <v>27</v>
      </c>
      <c r="I2890" t="s">
        <v>27</v>
      </c>
      <c r="J2890">
        <v>31328</v>
      </c>
      <c r="K2890">
        <v>20000</v>
      </c>
      <c r="L2890" s="2">
        <v>26.7</v>
      </c>
      <c r="M2890" s="5">
        <v>213.3</v>
      </c>
      <c r="N2890" s="1">
        <v>302.03680000000003</v>
      </c>
      <c r="O2890">
        <v>2.4</v>
      </c>
      <c r="P2890">
        <v>299</v>
      </c>
    </row>
    <row r="2891" spans="1:16" x14ac:dyDescent="0.35">
      <c r="A2891" s="4">
        <v>45901</v>
      </c>
      <c r="B2891" t="s">
        <v>21</v>
      </c>
      <c r="C2891" t="s">
        <v>13</v>
      </c>
      <c r="D2891">
        <v>1</v>
      </c>
      <c r="E2891" s="2">
        <v>3175</v>
      </c>
      <c r="F2891" s="2">
        <f t="shared" si="469"/>
        <v>3118.2849999999999</v>
      </c>
      <c r="G2891" s="3">
        <v>1</v>
      </c>
      <c r="H2891" t="s">
        <v>27</v>
      </c>
      <c r="I2891" t="s">
        <v>27</v>
      </c>
      <c r="J2891">
        <v>31328</v>
      </c>
      <c r="K2891">
        <v>20000</v>
      </c>
      <c r="L2891" s="2">
        <v>26.7</v>
      </c>
      <c r="M2891" s="5">
        <v>213.3</v>
      </c>
      <c r="N2891" s="1">
        <v>302.03680000000003</v>
      </c>
      <c r="O2891">
        <v>2.4</v>
      </c>
      <c r="P2891">
        <v>299</v>
      </c>
    </row>
    <row r="2892" spans="1:16" x14ac:dyDescent="0.35">
      <c r="A2892" s="4">
        <v>45901</v>
      </c>
      <c r="B2892" t="s">
        <v>21</v>
      </c>
      <c r="C2892" t="s">
        <v>14</v>
      </c>
      <c r="D2892">
        <v>1</v>
      </c>
      <c r="E2892" s="2">
        <v>3260.5</v>
      </c>
      <c r="F2892" s="2">
        <f t="shared" si="469"/>
        <v>3118.2849999999999</v>
      </c>
      <c r="G2892" s="3">
        <v>1</v>
      </c>
      <c r="H2892" t="s">
        <v>27</v>
      </c>
      <c r="I2892" t="s">
        <v>27</v>
      </c>
      <c r="J2892">
        <v>31328</v>
      </c>
      <c r="K2892">
        <v>20000</v>
      </c>
      <c r="L2892" s="2">
        <v>26.7</v>
      </c>
      <c r="M2892" s="5">
        <v>213.3</v>
      </c>
      <c r="N2892" s="1">
        <v>302.03680000000003</v>
      </c>
      <c r="O2892">
        <v>2.4</v>
      </c>
      <c r="P2892">
        <v>299</v>
      </c>
    </row>
    <row r="2893" spans="1:16" x14ac:dyDescent="0.35">
      <c r="A2893" s="4">
        <v>45901</v>
      </c>
      <c r="B2893" t="s">
        <v>21</v>
      </c>
      <c r="C2893" t="s">
        <v>15</v>
      </c>
      <c r="D2893">
        <v>1</v>
      </c>
      <c r="E2893" s="2">
        <v>3242.5</v>
      </c>
      <c r="F2893" s="2">
        <f t="shared" si="469"/>
        <v>3118.2849999999999</v>
      </c>
      <c r="G2893" s="3">
        <v>1</v>
      </c>
      <c r="H2893" t="s">
        <v>27</v>
      </c>
      <c r="I2893" t="s">
        <v>27</v>
      </c>
      <c r="J2893">
        <v>31328</v>
      </c>
      <c r="K2893">
        <v>20000</v>
      </c>
      <c r="L2893" s="2">
        <v>26.7</v>
      </c>
      <c r="M2893" s="5">
        <v>213.3</v>
      </c>
      <c r="N2893" s="1">
        <v>302.03680000000003</v>
      </c>
      <c r="O2893">
        <v>2.4</v>
      </c>
      <c r="P2893">
        <v>299</v>
      </c>
    </row>
    <row r="2894" spans="1:16" x14ac:dyDescent="0.35">
      <c r="A2894" s="4">
        <v>45901</v>
      </c>
      <c r="B2894" t="s">
        <v>22</v>
      </c>
      <c r="C2894" t="s">
        <v>10</v>
      </c>
      <c r="D2894">
        <v>0</v>
      </c>
      <c r="E2894" s="2" t="s">
        <v>27</v>
      </c>
      <c r="F2894" s="2">
        <v>2960</v>
      </c>
      <c r="G2894" s="3">
        <v>1</v>
      </c>
      <c r="H2894" t="s">
        <v>27</v>
      </c>
      <c r="I2894" t="s">
        <v>27</v>
      </c>
      <c r="J2894">
        <v>31328</v>
      </c>
      <c r="K2894">
        <v>20000</v>
      </c>
      <c r="L2894" s="2">
        <v>26.7</v>
      </c>
      <c r="M2894" s="5">
        <v>213.3</v>
      </c>
      <c r="N2894" s="1">
        <v>302.03680000000003</v>
      </c>
      <c r="O2894">
        <v>2.4</v>
      </c>
      <c r="P2894">
        <v>299</v>
      </c>
    </row>
    <row r="2895" spans="1:16" x14ac:dyDescent="0.35">
      <c r="A2895" s="4">
        <v>45901</v>
      </c>
      <c r="B2895" t="s">
        <v>22</v>
      </c>
      <c r="C2895" t="s">
        <v>11</v>
      </c>
      <c r="D2895">
        <v>0</v>
      </c>
      <c r="E2895" s="2" t="s">
        <v>27</v>
      </c>
      <c r="F2895" s="2">
        <v>2960</v>
      </c>
      <c r="G2895" s="3">
        <v>1</v>
      </c>
      <c r="H2895" t="s">
        <v>27</v>
      </c>
      <c r="I2895" t="s">
        <v>27</v>
      </c>
      <c r="J2895">
        <v>31328</v>
      </c>
      <c r="K2895">
        <v>20000</v>
      </c>
      <c r="L2895" s="2">
        <v>26.7</v>
      </c>
      <c r="M2895" s="5">
        <v>213.3</v>
      </c>
      <c r="N2895" s="1">
        <v>302.03680000000003</v>
      </c>
      <c r="O2895">
        <v>2.4</v>
      </c>
      <c r="P2895">
        <v>299</v>
      </c>
    </row>
    <row r="2896" spans="1:16" x14ac:dyDescent="0.35">
      <c r="A2896" s="4">
        <v>45901</v>
      </c>
      <c r="B2896" t="s">
        <v>22</v>
      </c>
      <c r="C2896" t="s">
        <v>12</v>
      </c>
      <c r="D2896">
        <v>0</v>
      </c>
      <c r="E2896" s="2" t="s">
        <v>27</v>
      </c>
      <c r="F2896" s="2">
        <v>2960</v>
      </c>
      <c r="G2896" s="3">
        <v>1</v>
      </c>
      <c r="H2896" t="s">
        <v>27</v>
      </c>
      <c r="I2896" t="s">
        <v>27</v>
      </c>
      <c r="J2896">
        <v>31328</v>
      </c>
      <c r="K2896">
        <v>20000</v>
      </c>
      <c r="L2896" s="2">
        <v>26.7</v>
      </c>
      <c r="M2896" s="5">
        <v>213.3</v>
      </c>
      <c r="N2896" s="1">
        <v>302.03680000000003</v>
      </c>
      <c r="O2896">
        <v>2.4</v>
      </c>
      <c r="P2896">
        <v>299</v>
      </c>
    </row>
    <row r="2897" spans="1:16" x14ac:dyDescent="0.35">
      <c r="A2897" s="4">
        <v>45901</v>
      </c>
      <c r="B2897" t="s">
        <v>22</v>
      </c>
      <c r="C2897" t="s">
        <v>13</v>
      </c>
      <c r="D2897">
        <v>0</v>
      </c>
      <c r="E2897" s="2" t="s">
        <v>27</v>
      </c>
      <c r="F2897" s="2">
        <v>2960</v>
      </c>
      <c r="G2897" s="3">
        <v>1</v>
      </c>
      <c r="H2897" t="s">
        <v>27</v>
      </c>
      <c r="I2897" t="s">
        <v>27</v>
      </c>
      <c r="J2897">
        <v>31328</v>
      </c>
      <c r="K2897">
        <v>20000</v>
      </c>
      <c r="L2897" s="2">
        <v>26.7</v>
      </c>
      <c r="M2897" s="5">
        <v>213.3</v>
      </c>
      <c r="N2897" s="1">
        <v>302.03680000000003</v>
      </c>
      <c r="O2897">
        <v>2.4</v>
      </c>
      <c r="P2897">
        <v>299</v>
      </c>
    </row>
    <row r="2898" spans="1:16" x14ac:dyDescent="0.35">
      <c r="A2898" s="4">
        <v>45901</v>
      </c>
      <c r="B2898" t="s">
        <v>22</v>
      </c>
      <c r="C2898" t="s">
        <v>14</v>
      </c>
      <c r="D2898">
        <v>1</v>
      </c>
      <c r="E2898" s="2">
        <v>2960</v>
      </c>
      <c r="F2898" s="2">
        <v>2960</v>
      </c>
      <c r="G2898" s="3">
        <v>1</v>
      </c>
      <c r="H2898" t="s">
        <v>27</v>
      </c>
      <c r="I2898" t="s">
        <v>27</v>
      </c>
      <c r="J2898">
        <v>31328</v>
      </c>
      <c r="K2898">
        <v>20000</v>
      </c>
      <c r="L2898" s="2">
        <v>26.7</v>
      </c>
      <c r="M2898" s="5">
        <v>213.3</v>
      </c>
      <c r="N2898" s="1">
        <v>302.03680000000003</v>
      </c>
      <c r="O2898">
        <v>2.4</v>
      </c>
      <c r="P2898">
        <v>299</v>
      </c>
    </row>
    <row r="2899" spans="1:16" x14ac:dyDescent="0.35">
      <c r="A2899" s="4">
        <v>45901</v>
      </c>
      <c r="B2899" t="s">
        <v>22</v>
      </c>
      <c r="C2899" t="s">
        <v>15</v>
      </c>
      <c r="D2899">
        <v>0</v>
      </c>
      <c r="E2899" s="2" t="s">
        <v>27</v>
      </c>
      <c r="F2899" s="2">
        <v>2960</v>
      </c>
      <c r="G2899" s="3">
        <v>1</v>
      </c>
      <c r="H2899" t="s">
        <v>27</v>
      </c>
      <c r="I2899" t="s">
        <v>27</v>
      </c>
      <c r="J2899">
        <v>31328</v>
      </c>
      <c r="K2899">
        <v>20000</v>
      </c>
      <c r="L2899" s="2">
        <v>26.7</v>
      </c>
      <c r="M2899" s="5">
        <v>213.3</v>
      </c>
      <c r="N2899" s="1">
        <v>302.03680000000003</v>
      </c>
      <c r="O2899">
        <v>2.4</v>
      </c>
      <c r="P2899">
        <v>299</v>
      </c>
    </row>
  </sheetData>
  <autoFilter ref="A1:C2899" xr:uid="{D8E19AB6-0F4E-45D7-9C21-A676A2F9F1AA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Vimesh Herath</dc:creator>
  <cp:lastModifiedBy>Vimesh Herath</cp:lastModifiedBy>
  <dcterms:created xsi:type="dcterms:W3CDTF">2025-06-27T07:14:08Z</dcterms:created>
  <dcterms:modified xsi:type="dcterms:W3CDTF">2025-12-15T11:01:53Z</dcterms:modified>
</cp:coreProperties>
</file>